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arruther\bin\Scripts\BOM_analysis\"/>
    </mc:Choice>
  </mc:AlternateContent>
  <xr:revisionPtr revIDLastSave="0" documentId="13_ncr:1_{68C2D1AA-FB9E-40EB-A77B-49E856EC936D}" xr6:coauthVersionLast="47" xr6:coauthVersionMax="47" xr10:uidLastSave="{00000000-0000-0000-0000-000000000000}"/>
  <bookViews>
    <workbookView xWindow="57492" yWindow="-108" windowWidth="29016" windowHeight="1581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</definedName>
  </definedNames>
  <calcPr calcId="191029" calcMode="autoNoTable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S3" i="1"/>
  <c r="T3" i="1"/>
  <c r="U3" i="1"/>
  <c r="V3" i="1"/>
  <c r="W3" i="1"/>
  <c r="X3" i="1"/>
  <c r="Y3" i="1"/>
  <c r="Z3" i="1"/>
  <c r="AA3" i="1"/>
  <c r="AB3" i="1"/>
  <c r="AC3" i="1"/>
  <c r="AD3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B2" i="1"/>
  <c r="AC2" i="1"/>
  <c r="AD2" i="1"/>
  <c r="AA2" i="1"/>
  <c r="Z2" i="1"/>
  <c r="Y2" i="1"/>
  <c r="X2" i="1"/>
  <c r="W2" i="1"/>
  <c r="V2" i="1"/>
  <c r="U2" i="1"/>
  <c r="T2" i="1"/>
  <c r="S2" i="1"/>
  <c r="R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2" i="1"/>
</calcChain>
</file>

<file path=xl/sharedStrings.xml><?xml version="1.0" encoding="utf-8"?>
<sst xmlns="http://schemas.openxmlformats.org/spreadsheetml/2006/main" count="169" uniqueCount="67">
  <si>
    <t>WO_no</t>
  </si>
  <si>
    <t>grade</t>
  </si>
  <si>
    <t>Hours</t>
  </si>
  <si>
    <t>Sawdust</t>
  </si>
  <si>
    <t>Caustic</t>
  </si>
  <si>
    <t>Caustic Flow</t>
  </si>
  <si>
    <t>Fresh acid Flow</t>
  </si>
  <si>
    <t>Fresh acid tank</t>
  </si>
  <si>
    <t>Plant Acid</t>
  </si>
  <si>
    <t>Bled Acid</t>
  </si>
  <si>
    <t>output</t>
  </si>
  <si>
    <t>start</t>
  </si>
  <si>
    <t>end</t>
  </si>
  <si>
    <t>OSF</t>
  </si>
  <si>
    <t>OSF External</t>
  </si>
  <si>
    <t>OSF internal</t>
  </si>
  <si>
    <t>WF</t>
  </si>
  <si>
    <t>TRANS - CN</t>
  </si>
  <si>
    <t>trans (CA)</t>
  </si>
  <si>
    <t>trans</t>
  </si>
  <si>
    <t>transition</t>
  </si>
  <si>
    <t>trans- CA</t>
  </si>
  <si>
    <t xml:space="preserve">transition </t>
  </si>
  <si>
    <t>CN</t>
  </si>
  <si>
    <t>CA</t>
  </si>
  <si>
    <t>CAW</t>
  </si>
  <si>
    <t>CA1P</t>
  </si>
  <si>
    <t>CG1P</t>
  </si>
  <si>
    <t>CAPSU</t>
  </si>
  <si>
    <t>CGPSU</t>
  </si>
  <si>
    <t>CNR115</t>
  </si>
  <si>
    <t>CG</t>
  </si>
  <si>
    <t>CAPSUW</t>
  </si>
  <si>
    <t>CGSP</t>
  </si>
  <si>
    <t>115 LB</t>
  </si>
  <si>
    <t>CAS</t>
  </si>
  <si>
    <t>Row Labels</t>
  </si>
  <si>
    <t>Grand Total</t>
  </si>
  <si>
    <t>unity</t>
  </si>
  <si>
    <t>Date</t>
  </si>
  <si>
    <t>Jan</t>
  </si>
  <si>
    <t>Mar</t>
  </si>
  <si>
    <t>Apr</t>
  </si>
  <si>
    <t>May</t>
  </si>
  <si>
    <t>Jun</t>
  </si>
  <si>
    <t>Jul</t>
  </si>
  <si>
    <t>Aug</t>
  </si>
  <si>
    <t>Hours per MT</t>
  </si>
  <si>
    <t>Sawdust per MT</t>
  </si>
  <si>
    <t>Caustic per MT</t>
  </si>
  <si>
    <t>Caustic Flow per MT</t>
  </si>
  <si>
    <t>Fresh acid Flow per MT</t>
  </si>
  <si>
    <t>Fresh acid tank per MT</t>
  </si>
  <si>
    <t>Plant Acid per MT</t>
  </si>
  <si>
    <t>Bled Acid per MT</t>
  </si>
  <si>
    <t>OSF per MT</t>
  </si>
  <si>
    <t>OSF External per MT</t>
  </si>
  <si>
    <t>OSF internal per MT</t>
  </si>
  <si>
    <t>WF per MT</t>
  </si>
  <si>
    <t>Average of Hours per MT</t>
  </si>
  <si>
    <t>Average of Sawdust per MT</t>
  </si>
  <si>
    <t>Average of Caustic per MT</t>
  </si>
  <si>
    <t>Average of Caustic Flow per MT</t>
  </si>
  <si>
    <t>Average of Fresh acid Flow per MT</t>
  </si>
  <si>
    <t>Average of Fresh acid tank per MT</t>
  </si>
  <si>
    <t>Average of Plant Acid per MT</t>
  </si>
  <si>
    <t>Average of Bled Acid per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</si>
</sst>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arruthers" refreshedDate="45196.613872106478" createdVersion="8" refreshedVersion="8" minRefreshableVersion="3" recordCount="71" xr:uid="{D4924807-DF6C-4F4C-9F8E-5A794D2B4008}">
  <cacheSource type="worksheet">
    <worksheetSource ref="A1:AE72" sheet="Sheet1"/>
  </cacheSource>
  <cacheFields count="31">
    <cacheField name="WO_no" numFmtId="0">
      <sharedItems containsMixedTypes="1" containsNumber="1" containsInteger="1" minValue="5317177" maxValue="5380412"/>
    </cacheField>
    <cacheField name="grade" numFmtId="0">
      <sharedItems containsMixedTypes="1" containsNumber="1" containsInteger="1" minValue="120" maxValue="120" count="14">
        <s v="CN"/>
        <s v="CA1P"/>
        <s v="CA"/>
        <s v="CAW"/>
        <s v="CG1P"/>
        <s v="CGPSU"/>
        <s v="CAPSU"/>
        <s v="CNR115"/>
        <s v="CG"/>
        <s v="CGSP"/>
        <s v="CAPSUW"/>
        <s v="115 LB"/>
        <n v="120"/>
        <s v="CAS"/>
      </sharedItems>
    </cacheField>
    <cacheField name="Hours" numFmtId="0">
      <sharedItems containsSemiMixedTypes="0" containsString="0" containsNumber="1" minValue="0.33333333333333331" maxValue="301.18666666666672"/>
    </cacheField>
    <cacheField name="Sawdust" numFmtId="0">
      <sharedItems containsSemiMixedTypes="0" containsString="0" containsNumber="1" minValue="0" maxValue="398628.04271822551"/>
    </cacheField>
    <cacheField name="Caustic" numFmtId="0">
      <sharedItems containsString="0" containsBlank="1" containsNumber="1" minValue="-36385.569752966752" maxValue="21664.080859856778"/>
    </cacheField>
    <cacheField name="Caustic Flow" numFmtId="0">
      <sharedItems containsSemiMixedTypes="0" containsString="0" containsNumber="1" minValue="107.71129653127031" maxValue="94786.289907378523"/>
    </cacheField>
    <cacheField name="Fresh acid Flow" numFmtId="0">
      <sharedItems containsSemiMixedTypes="0" containsString="0" containsNumber="1" minValue="0" maxValue="304498.0286574944"/>
    </cacheField>
    <cacheField name="Fresh acid tank" numFmtId="0">
      <sharedItems containsString="0" containsBlank="1" containsNumber="1" minValue="-24278.526068461459" maxValue="35939.23573501085"/>
    </cacheField>
    <cacheField name="Plant Acid" numFmtId="0">
      <sharedItems containsSemiMixedTypes="0" containsString="0" containsNumber="1" minValue="-2074" maxValue="130382.93090363769"/>
    </cacheField>
    <cacheField name="Bled Acid" numFmtId="0">
      <sharedItems containsSemiMixedTypes="0" containsString="0" containsNumber="1" minValue="8.0393158712604027" maxValue="273092.92538115132"/>
    </cacheField>
    <cacheField name="output" numFmtId="0">
      <sharedItems containsSemiMixedTypes="0" containsString="0" containsNumber="1" minValue="382.27567306909287" maxValue="219396.01537955939"/>
    </cacheField>
    <cacheField name="start" numFmtId="164">
      <sharedItems containsSemiMixedTypes="0" containsNonDate="0" containsDate="1" containsString="0" minDate="2023-01-01T07:00:00" maxDate="2023-08-29T07:00:00"/>
    </cacheField>
    <cacheField name="end" numFmtId="164">
      <sharedItems containsSemiMixedTypes="0" containsNonDate="0" containsDate="1" containsString="0" minDate="2023-01-02T08:30:00" maxDate="2023-09-01T07:00:00"/>
    </cacheField>
    <cacheField name="OSF" numFmtId="0">
      <sharedItems containsString="0" containsBlank="1" containsNumber="1" minValue="26717.83450000003" maxValue="450595.53638653911"/>
    </cacheField>
    <cacheField name="OSF External" numFmtId="0">
      <sharedItems containsString="0" containsBlank="1" containsNumber="1" minValue="2665.2652833333332" maxValue="132078.07750000001"/>
    </cacheField>
    <cacheField name="OSF internal" numFmtId="0">
      <sharedItems containsString="0" containsBlank="1" containsNumber="1" minValue="0" maxValue="415361.58349298133"/>
    </cacheField>
    <cacheField name="WF" numFmtId="0">
      <sharedItems containsString="0" containsBlank="1" containsNumber="1" minValue="8905.9448333333421" maxValue="50066.170709615457"/>
    </cacheField>
    <cacheField name="Hours per MT" numFmtId="0">
      <sharedItems containsSemiMixedTypes="0" containsString="0" containsNumber="1" minValue="0.70769699283154097" maxValue="2.3742502637652509"/>
    </cacheField>
    <cacheField name="Sawdust per MT" numFmtId="0">
      <sharedItems containsSemiMixedTypes="0" containsString="0" containsNumber="1" minValue="0" maxValue="2317.0000000000009"/>
    </cacheField>
    <cacheField name="Caustic per MT" numFmtId="0">
      <sharedItems containsSemiMixedTypes="0" containsString="0" containsNumber="1" minValue="-2990.2844225425083" maxValue="1920.9315680745062"/>
    </cacheField>
    <cacheField name="Caustic Flow per MT" numFmtId="0">
      <sharedItems containsSemiMixedTypes="0" containsString="0" containsNumber="1" minValue="110.19337869472815" maxValue="1856.4737527444033"/>
    </cacheField>
    <cacheField name="Fresh acid Flow per MT" numFmtId="0">
      <sharedItems containsSemiMixedTypes="0" containsString="0" containsNumber="1" minValue="0" maxValue="1943.7543854241869"/>
    </cacheField>
    <cacheField name="Fresh acid tank per MT" numFmtId="0">
      <sharedItems containsSemiMixedTypes="0" containsString="0" containsNumber="1" minValue="-1069.1340625394039" maxValue="2106.8952847534329"/>
    </cacheField>
    <cacheField name="Plant Acid per MT" numFmtId="0">
      <sharedItems containsSemiMixedTypes="0" containsString="0" containsNumber="1" minValue="-194.05250559052359" maxValue="1018.6890869409441"/>
    </cacheField>
    <cacheField name="Bled Acid per MT" numFmtId="0">
      <sharedItems containsSemiMixedTypes="0" containsString="0" containsNumber="1" minValue="0.2812831383676721" maxValue="1611.0104105299979"/>
    </cacheField>
    <cacheField name="unity" numFmtId="0">
      <sharedItems containsSemiMixedTypes="0" containsString="0" containsNumber="1" minValue="999.99999999999989" maxValue="1000.0000000000001"/>
    </cacheField>
    <cacheField name="OSF per MT" numFmtId="0">
      <sharedItems containsSemiMixedTypes="0" containsString="0" containsNumber="1" minValue="0" maxValue="2272.0000000000009"/>
    </cacheField>
    <cacheField name="OSF External per MT" numFmtId="0">
      <sharedItems containsSemiMixedTypes="0" containsString="0" containsNumber="1" minValue="0" maxValue="2272.0000000000009"/>
    </cacheField>
    <cacheField name="OSF internal per MT" numFmtId="0">
      <sharedItems containsSemiMixedTypes="0" containsString="0" containsNumber="1" minValue="0" maxValue="2112.9599999999996"/>
    </cacheField>
    <cacheField name="WF per MT" numFmtId="0">
      <sharedItems containsSemiMixedTypes="0" containsString="0" containsNumber="1" minValue="0" maxValue="553.99999999999989"/>
    </cacheField>
    <cacheField name="Date" numFmtId="14">
      <sharedItems containsSemiMixedTypes="0" containsNonDate="0" containsDate="1" containsString="0" minDate="2023-01-01T00:00:00" maxDate="2023-08-30T00:00:00" count="52">
        <d v="2023-01-01T00:00:00"/>
        <d v="2023-01-02T00:00:00"/>
        <d v="2023-01-03T00:00:00"/>
        <d v="2023-01-04T00:00:00"/>
        <d v="2023-01-05T00:00:00"/>
        <d v="2023-01-06T00:00:00"/>
        <d v="2023-01-09T00:00:00"/>
        <d v="2023-03-01T00:00:00"/>
        <d v="2023-03-07T00:00:00"/>
        <d v="2023-03-09T00:00:00"/>
        <d v="2023-03-10T00:00:00"/>
        <d v="2023-03-13T00:00:00"/>
        <d v="2023-03-16T00:00:00"/>
        <d v="2023-03-17T00:00:00"/>
        <d v="2023-03-23T00:00:00"/>
        <d v="2023-03-24T00:00:00"/>
        <d v="2023-04-01T00:00:00"/>
        <d v="2023-04-02T00:00:00"/>
        <d v="2023-04-26T00:00:00"/>
        <d v="2023-05-03T00:00:00"/>
        <d v="2023-05-24T00:00:00"/>
        <d v="2023-06-02T00:00:00"/>
        <d v="2023-06-04T00:00:00"/>
        <d v="2023-06-08T00:00:00"/>
        <d v="2023-06-15T00:00:00"/>
        <d v="2023-06-22T00:00:00"/>
        <d v="2023-06-23T00:00:00"/>
        <d v="2023-06-26T00:00:00"/>
        <d v="2023-06-27T00:00:00"/>
        <d v="2023-06-28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2T00:00:00"/>
        <d v="2023-07-13T00:00:00"/>
        <d v="2023-07-14T00:00:00"/>
        <d v="2023-07-16T00:00:00"/>
        <d v="2023-07-17T00:00:00"/>
        <d v="2023-07-18T00:00:00"/>
        <d v="2023-08-16T00:00:00"/>
        <d v="2023-08-17T00:00:00"/>
        <d v="2023-08-19T00:00:00"/>
        <d v="2023-08-24T00:00:00"/>
        <d v="2023-08-26T00:00:00"/>
        <d v="2023-08-29T00:00:00"/>
      </sharedItems>
      <fieldGroup base="30">
        <rangePr groupBy="months" startDate="2023-01-01T00:00:00" endDate="2023-08-30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5362964"/>
    <x v="0"/>
    <n v="18.166666666666661"/>
    <n v="33359.37626213672"/>
    <n v="5686.9831493173924"/>
    <n v="5738.6263848809776"/>
    <n v="0"/>
    <n v="208.40181753674611"/>
    <n v="14924.26414354095"/>
    <n v="9721.0169329783675"/>
    <n v="15472.80902696508"/>
    <d v="2023-01-01T07:00:00"/>
    <d v="2023-01-02T11:00:00"/>
    <m/>
    <m/>
    <m/>
    <m/>
    <n v="1.1741026878187979"/>
    <n v="2156.0000000000005"/>
    <n v="367.54691015745493"/>
    <n v="370.88458694733743"/>
    <n v="0"/>
    <n v="13.468906465112831"/>
    <n v="964.54781530178786"/>
    <n v="628.26451978029093"/>
    <n v="1000"/>
    <n v="0"/>
    <n v="0"/>
    <n v="0"/>
    <n v="0"/>
    <x v="0"/>
  </r>
  <r>
    <s v="TRANS - CN"/>
    <x v="1"/>
    <n v="3.916666666666667"/>
    <n v="9553.7278641506455"/>
    <n v="1175.7947666511011"/>
    <n v="1182.0197021658339"/>
    <n v="0"/>
    <n v="-6.4136817729973927"/>
    <n v="3746.2440083361739"/>
    <n v="1983.7987022333291"/>
    <n v="4222.0735633380173"/>
    <d v="2023-01-02T07:00:00"/>
    <d v="2023-01-02T08:30:00"/>
    <m/>
    <m/>
    <m/>
    <m/>
    <n v="0.92766424078364651"/>
    <n v="2262.8046908300112"/>
    <n v="278.48751306964556"/>
    <n v="279.96189181301622"/>
    <n v="0"/>
    <n v="-1.5190833785299245"/>
    <n v="887.29955841279866"/>
    <n v="469.86360433400796"/>
    <n v="1000"/>
    <n v="0"/>
    <n v="0"/>
    <n v="0"/>
    <n v="0"/>
    <x v="1"/>
  </r>
  <r>
    <n v="5360983"/>
    <x v="2"/>
    <n v="86.25"/>
    <n v="197922.28622098899"/>
    <n v="-2369.546764090454"/>
    <n v="24261.761780115499"/>
    <n v="36934.966457954171"/>
    <n v="28745.3890835893"/>
    <n v="42887.636890247537"/>
    <n v="47276.680749991632"/>
    <n v="91800.689341831603"/>
    <d v="2023-01-02T18:40:00"/>
    <d v="2023-01-09T14:45:00"/>
    <m/>
    <m/>
    <m/>
    <m/>
    <n v="0.93953542852861482"/>
    <n v="2156.0000000000005"/>
    <n v="-25.811862428038459"/>
    <n v="264.28735943118824"/>
    <n v="402.33866131900271"/>
    <n v="313.12824870576048"/>
    <n v="467.18207888995192"/>
    <n v="514.99265516352352"/>
    <n v="1000.0000000000001"/>
    <n v="0"/>
    <n v="0"/>
    <n v="0"/>
    <n v="0"/>
    <x v="1"/>
  </r>
  <r>
    <n v="5363167"/>
    <x v="3"/>
    <n v="16"/>
    <n v="34862.377896062193"/>
    <n v="-23040.32603008482"/>
    <n v="3758.878136048284"/>
    <n v="3197.5583917222871"/>
    <n v="3164.8137465813661"/>
    <n v="0"/>
    <n v="2893.8192868414599"/>
    <n v="22608.545976694029"/>
    <d v="2023-01-03T05:15:00"/>
    <d v="2023-01-03T21:35:00"/>
    <m/>
    <m/>
    <m/>
    <m/>
    <n v="0.70769699283154097"/>
    <n v="1542"/>
    <n v="-1019.0980903343315"/>
    <n v="166.2591720813499"/>
    <n v="141.43140363907008"/>
    <n v="139.98307320797224"/>
    <n v="0"/>
    <n v="127.99670044347599"/>
    <n v="1000"/>
    <n v="0"/>
    <n v="0"/>
    <n v="0"/>
    <n v="0"/>
    <x v="2"/>
  </r>
  <r>
    <n v="5363631"/>
    <x v="0"/>
    <n v="16.083333333333339"/>
    <n v="38642.225388876061"/>
    <n v="4842.540401439891"/>
    <n v="4826.0308211963111"/>
    <n v="7205.074074232909"/>
    <n v="7306.7249561828976"/>
    <n v="0"/>
    <n v="3165.9762570502971"/>
    <n v="17923.110106157721"/>
    <d v="2023-01-04T06:45:00"/>
    <d v="2023-01-04T22:50:00"/>
    <m/>
    <m/>
    <m/>
    <m/>
    <n v="0.89735170057386959"/>
    <n v="2156.0000000000005"/>
    <n v="270.18415736765309"/>
    <n v="269.26302369465805"/>
    <n v="401.99909678385063"/>
    <n v="407.67059471852355"/>
    <n v="0"/>
    <n v="176.64212507195302"/>
    <n v="1000"/>
    <n v="0"/>
    <n v="0"/>
    <n v="0"/>
    <n v="0"/>
    <x v="3"/>
  </r>
  <r>
    <n v="5363371"/>
    <x v="4"/>
    <n v="8.0833333333333339"/>
    <n v="18128.2985111491"/>
    <n v="1931.972125967171"/>
    <n v="1946.5791569488731"/>
    <n v="1600.2633981056319"/>
    <n v="1635.7253829008509"/>
    <n v="3957.335048134943"/>
    <n v="2990.9791892708781"/>
    <n v="8014.2787405610507"/>
    <d v="2023-01-05T08:10:00"/>
    <d v="2023-01-05T16:15:00"/>
    <m/>
    <m/>
    <m/>
    <m/>
    <n v="1.0086164450985204"/>
    <n v="2262.0000000000005"/>
    <n v="241.06625043988933"/>
    <n v="242.88887621253363"/>
    <n v="199.67653358580381"/>
    <n v="204.101384023778"/>
    <n v="493.78555154395644"/>
    <n v="373.2062841953873"/>
    <n v="1000"/>
    <n v="0"/>
    <n v="0"/>
    <n v="0"/>
    <n v="0"/>
    <x v="4"/>
  </r>
  <r>
    <n v="5362969"/>
    <x v="1"/>
    <n v="12.08333333333333"/>
    <n v="27260.405871604009"/>
    <n v="3193.6254782888868"/>
    <n v="3230.8915963878549"/>
    <n v="248.86535019476179"/>
    <n v="205.59986636833119"/>
    <n v="12276.692293096299"/>
    <n v="6156.8543640883217"/>
    <n v="12051.46148169938"/>
    <d v="2023-01-05T16:10:00"/>
    <d v="2023-01-06T04:15:00"/>
    <m/>
    <m/>
    <m/>
    <m/>
    <n v="1.0026446461852241"/>
    <n v="2262.0000000000009"/>
    <n v="264.99901967396511"/>
    <n v="268.09126853984401"/>
    <n v="20.650221599485974"/>
    <n v="17.060160436187985"/>
    <n v="1018.6890869409441"/>
    <n v="510.8803088685757"/>
    <n v="999.99999999999989"/>
    <n v="0"/>
    <n v="0"/>
    <n v="0"/>
    <n v="0"/>
    <x v="4"/>
  </r>
  <r>
    <n v="5363536"/>
    <x v="0"/>
    <n v="18.5"/>
    <n v="38719.153168617508"/>
    <n v="4179.0721213286379"/>
    <n v="4050.508391234152"/>
    <n v="0"/>
    <n v="-19200.355067369881"/>
    <n v="14005.48475176869"/>
    <n v="12152.745281719081"/>
    <n v="17958.790894535021"/>
    <d v="2023-01-06T12:40:00"/>
    <d v="2023-01-07T07:05:00"/>
    <m/>
    <m/>
    <m/>
    <m/>
    <n v="1.0301361661062423"/>
    <n v="2156.0000000000005"/>
    <n v="232.70342340253859"/>
    <n v="225.54460459065473"/>
    <n v="0"/>
    <n v="-1069.1340625394039"/>
    <n v="779.86791171061805"/>
    <n v="676.70175309058482"/>
    <n v="1000"/>
    <n v="0"/>
    <n v="0"/>
    <n v="0"/>
    <n v="0"/>
    <x v="5"/>
  </r>
  <r>
    <s v="trans"/>
    <x v="5"/>
    <n v="6.25"/>
    <n v="11580.820865753871"/>
    <n v="4302.4935553824052"/>
    <n v="4346.7673429388542"/>
    <n v="7429.0408486976448"/>
    <n v="7321.7111951390734"/>
    <n v="0"/>
    <n v="4287.8734351709199"/>
    <n v="4998.1963166827218"/>
    <d v="2023-01-09T07:00:00"/>
    <d v="2023-01-09T13:15:00"/>
    <m/>
    <m/>
    <m/>
    <m/>
    <n v="1.2504510835516949"/>
    <n v="2317.0000000000009"/>
    <n v="860.80923652833815"/>
    <n v="869.66718942800196"/>
    <n v="1486.3443486406036"/>
    <n v="1464.8706715862768"/>
    <n v="0"/>
    <n v="857.88415730272072"/>
    <n v="1000"/>
    <n v="0"/>
    <n v="0"/>
    <n v="0"/>
    <n v="0"/>
    <x v="6"/>
  </r>
  <r>
    <s v="trans (CA)"/>
    <x v="1"/>
    <n v="0.33333333333333331"/>
    <n v="864.70757248228813"/>
    <n v="117.8001332167327"/>
    <n v="107.71129653127031"/>
    <n v="446.91304421317778"/>
    <n v="401.37622324187561"/>
    <n v="0"/>
    <n v="332.45979066822872"/>
    <n v="382.27567306909287"/>
    <d v="2023-01-09T14:45:00"/>
    <d v="2023-01-09T15:05:00"/>
    <m/>
    <m/>
    <m/>
    <m/>
    <n v="0.87197108478594276"/>
    <n v="2262"/>
    <n v="308.15492984676899"/>
    <n v="281.76340824021639"/>
    <n v="1169.0857559026581"/>
    <n v="1049.965382362509"/>
    <n v="0"/>
    <n v="869.68597295004849"/>
    <n v="999.99999999999989"/>
    <n v="0"/>
    <n v="0"/>
    <n v="0"/>
    <n v="0"/>
    <x v="6"/>
  </r>
  <r>
    <n v="5363846"/>
    <x v="6"/>
    <n v="3.166666666666667"/>
    <n v="3827.264057521576"/>
    <n v="3173.0307930298309"/>
    <n v="3066.558164700411"/>
    <n v="3210.7299507915109"/>
    <n v="3480.2091481650841"/>
    <n v="0"/>
    <n v="812.29811230159351"/>
    <n v="1651.8187559437099"/>
    <d v="2023-01-09T15:10:00"/>
    <d v="2023-01-09T18:20:00"/>
    <m/>
    <m/>
    <m/>
    <m/>
    <n v="1.9170787686434161"/>
    <n v="2317"/>
    <n v="1920.9315680745062"/>
    <n v="1856.4737527444033"/>
    <n v="1943.7543854241869"/>
    <n v="2106.8952847534329"/>
    <n v="0"/>
    <n v="491.75983102184534"/>
    <n v="1000"/>
    <n v="0"/>
    <n v="0"/>
    <n v="0"/>
    <n v="0"/>
    <x v="6"/>
  </r>
  <r>
    <n v="5365846"/>
    <x v="7"/>
    <n v="89.666666666666657"/>
    <n v="0"/>
    <n v="0"/>
    <n v="46877.77728946117"/>
    <n v="104411.9260428415"/>
    <n v="0"/>
    <n v="0"/>
    <n v="93795.922433709318"/>
    <n v="72565.679650821636"/>
    <d v="2023-03-01T07:00:00"/>
    <d v="2023-03-06T01:50:00"/>
    <n v="164869.22416666671"/>
    <n v="40545.690485000006"/>
    <n v="124323.5336816667"/>
    <m/>
    <n v="1.2356621904202256"/>
    <n v="0"/>
    <n v="0"/>
    <n v="646.00479889435439"/>
    <n v="1438.8609952426632"/>
    <n v="0"/>
    <n v="0"/>
    <n v="1292.5658918244185"/>
    <n v="1000.0000000000001"/>
    <n v="2271.9999999999995"/>
    <n v="558.74472174865002"/>
    <n v="1713.2552782513494"/>
    <n v="0"/>
    <x v="7"/>
  </r>
  <r>
    <n v="5367586"/>
    <x v="2"/>
    <n v="72.666666666666671"/>
    <n v="133412.4802255579"/>
    <n v="-36385.569752966752"/>
    <n v="19206.19240839026"/>
    <n v="5657.2504900916292"/>
    <n v="-22465.44016114304"/>
    <n v="33763.544686585323"/>
    <n v="18437.33756058817"/>
    <n v="61879.629047104791"/>
    <d v="2023-03-07T20:45:00"/>
    <d v="2023-03-20T19:55:00"/>
    <m/>
    <m/>
    <m/>
    <m/>
    <n v="1.1743229199281469"/>
    <n v="2155.9999999999995"/>
    <n v="-588.0056217736676"/>
    <n v="310.37988921636685"/>
    <n v="91.423471297559743"/>
    <n v="-363.05065991978745"/>
    <n v="545.63262913039466"/>
    <n v="297.95488183280912"/>
    <n v="1000"/>
    <n v="0"/>
    <n v="0"/>
    <n v="0"/>
    <n v="0"/>
    <x v="8"/>
  </r>
  <r>
    <s v="transition"/>
    <x v="1"/>
    <n v="11.91666666666667"/>
    <n v="27068.185140948299"/>
    <n v="2503.6401985360039"/>
    <n v="2565.0028308972178"/>
    <n v="3116.6919769403521"/>
    <n v="3079.4962928950649"/>
    <n v="4325.3743211226993"/>
    <n v="1879.3826644641661"/>
    <n v="11994.47514607361"/>
    <d v="2023-03-09T17:00:00"/>
    <d v="2023-08-16T17:05:00"/>
    <m/>
    <m/>
    <m/>
    <m/>
    <n v="0.99351297339322009"/>
    <n v="2256.7210996146896"/>
    <n v="208.73278472343748"/>
    <n v="213.84869280727727"/>
    <n v="259.84396474076658"/>
    <n v="256.74289665797824"/>
    <n v="360.61388834830427"/>
    <n v="156.68736160409503"/>
    <n v="1000"/>
    <n v="0"/>
    <n v="0"/>
    <n v="0"/>
    <n v="0"/>
    <x v="9"/>
  </r>
  <r>
    <n v="5367591"/>
    <x v="6"/>
    <n v="6.75"/>
    <n v="11934.63461561067"/>
    <n v="1546.051736600127"/>
    <n v="1515.895303206953"/>
    <n v="3927.058957111672"/>
    <n v="3904.5720480898331"/>
    <n v="0"/>
    <n v="1624.1630360125371"/>
    <n v="5150.8997046226468"/>
    <d v="2023-03-09T19:40:00"/>
    <d v="2023-03-10T02:25:00"/>
    <m/>
    <m/>
    <m/>
    <m/>
    <n v="1.3104506760134058"/>
    <n v="2316.9999999999995"/>
    <n v="300.15178420434614"/>
    <n v="294.29718886712567"/>
    <n v="762.40252816170243"/>
    <n v="758.036900735166"/>
    <n v="0"/>
    <n v="315.31637755535036"/>
    <n v="1000"/>
    <n v="0"/>
    <n v="0"/>
    <n v="0"/>
    <n v="0"/>
    <x v="9"/>
  </r>
  <r>
    <n v="5367594"/>
    <x v="5"/>
    <n v="62.416666666666671"/>
    <n v="99873.533578501854"/>
    <n v="12699.39163984152"/>
    <n v="12741.504080125909"/>
    <n v="20091.144860413569"/>
    <n v="20072.560140456451"/>
    <n v="0"/>
    <n v="11194.9578536183"/>
    <n v="43104.675692059493"/>
    <d v="2023-03-10T02:25:00"/>
    <d v="2023-03-13T04:50:00"/>
    <m/>
    <m/>
    <m/>
    <m/>
    <n v="1.4480254326136766"/>
    <n v="2317"/>
    <n v="294.61749650005913"/>
    <n v="295.59447729409732"/>
    <n v="466.10128803531751"/>
    <n v="465.67013480985565"/>
    <n v="0"/>
    <n v="259.71562652727658"/>
    <n v="1000"/>
    <n v="0"/>
    <n v="0"/>
    <n v="0"/>
    <n v="0"/>
    <x v="10"/>
  </r>
  <r>
    <n v="5368007"/>
    <x v="0"/>
    <n v="115"/>
    <n v="237167.64027830589"/>
    <n v="6631.2611634661171"/>
    <n v="33571.470567025972"/>
    <n v="3830.5797870282659"/>
    <n v="3911.233676458914"/>
    <n v="81394.774747881282"/>
    <n v="45509.354005218069"/>
    <n v="110003.54372834229"/>
    <d v="2023-03-13T08:10:00"/>
    <d v="2023-03-23T15:50:00"/>
    <m/>
    <m/>
    <m/>
    <m/>
    <n v="1.0454208664767803"/>
    <n v="2155.9999999999991"/>
    <n v="60.282250359518009"/>
    <n v="305.1853552093915"/>
    <n v="34.822330783161135"/>
    <n v="35.555524339450791"/>
    <n v="739.92866037923829"/>
    <n v="413.70807214724874"/>
    <n v="1000"/>
    <n v="0"/>
    <n v="0"/>
    <n v="0"/>
    <n v="0"/>
    <x v="11"/>
  </r>
  <r>
    <s v="trans- CA"/>
    <x v="1"/>
    <n v="1.083333333333333"/>
    <n v="1032.1152902027379"/>
    <n v="309.4243495033524"/>
    <n v="322.45538176728752"/>
    <n v="0"/>
    <n v="-4.5696663000995841"/>
    <n v="170.95740440098029"/>
    <n v="88.201606088485093"/>
    <n v="456.28439001005222"/>
    <d v="2023-03-16T07:00:00"/>
    <d v="2023-03-16T08:05:00"/>
    <m/>
    <m/>
    <m/>
    <m/>
    <n v="2.3742502637652509"/>
    <n v="2261.9999999999995"/>
    <n v="678.13924008343918"/>
    <n v="706.6982540432374"/>
    <n v="0"/>
    <n v="-10.014952078459032"/>
    <n v="374.67291922306174"/>
    <n v="193.30401832625034"/>
    <n v="1000"/>
    <n v="0"/>
    <n v="0"/>
    <n v="0"/>
    <n v="0"/>
    <x v="12"/>
  </r>
  <r>
    <n v="5368630"/>
    <x v="4"/>
    <n v="15.58333333333333"/>
    <n v="33064.696030342609"/>
    <n v="5156.6372512776434"/>
    <n v="5174.8734654674436"/>
    <n v="0.32906249999999998"/>
    <n v="70.610557126400408"/>
    <n v="10441.09396891866"/>
    <n v="6830.7968869599481"/>
    <n v="14617.4606677023"/>
    <d v="2023-03-16T22:30:00"/>
    <d v="2023-03-17T16:45:00"/>
    <m/>
    <m/>
    <m/>
    <m/>
    <n v="1.0660766385891602"/>
    <n v="2262.0000000000005"/>
    <n v="352.7724389689231"/>
    <n v="354.02000272875546"/>
    <n v="2.2511604955235014E-2"/>
    <n v="4.8305624849339575"/>
    <n v="714.28917828310341"/>
    <n v="467.30393481083826"/>
    <n v="1000"/>
    <n v="0"/>
    <n v="0"/>
    <n v="0"/>
    <n v="0"/>
    <x v="12"/>
  </r>
  <r>
    <n v="5368633"/>
    <x v="1"/>
    <n v="8"/>
    <n v="19436.094524278269"/>
    <n v="2637.5295725408141"/>
    <n v="2633.334373627963"/>
    <n v="0"/>
    <n v="0.94437379536316257"/>
    <n v="6559.1340946278397"/>
    <n v="3944.4173921533879"/>
    <n v="8592.437897558917"/>
    <d v="2023-03-17T16:30:00"/>
    <d v="2023-03-18T00:30:00"/>
    <m/>
    <m/>
    <m/>
    <m/>
    <n v="0.93105124475473644"/>
    <n v="2261.9999999999995"/>
    <n v="306.95939894894411"/>
    <n v="306.47115580271861"/>
    <n v="0"/>
    <n v="0.1099075497108284"/>
    <n v="763.36124541456013"/>
    <n v="459.0568403495804"/>
    <n v="999.99999999999989"/>
    <n v="0"/>
    <n v="0"/>
    <n v="0"/>
    <n v="0"/>
    <x v="13"/>
  </r>
  <r>
    <n v="5368720"/>
    <x v="2"/>
    <n v="120.6666666666667"/>
    <n v="268626.52485047688"/>
    <n v="-27848.548020585869"/>
    <n v="29607.07031716124"/>
    <n v="3731.0864930103971"/>
    <n v="3731.0496307207259"/>
    <n v="101285.1156976277"/>
    <n v="65039.97087867884"/>
    <n v="124594.86310318969"/>
    <d v="2023-03-23T21:20:00"/>
    <d v="2023-03-31T10:45:00"/>
    <m/>
    <m/>
    <m/>
    <m/>
    <n v="0.96847224405014476"/>
    <n v="2155.9999999999991"/>
    <n v="-223.51281045609119"/>
    <n v="237.62673339622845"/>
    <n v="29.945748966554941"/>
    <n v="29.945453109336167"/>
    <n v="812.91566261237574"/>
    <n v="522.01165649030509"/>
    <n v="1000"/>
    <n v="0"/>
    <n v="0"/>
    <n v="0"/>
    <n v="0"/>
    <x v="14"/>
  </r>
  <r>
    <n v="5368204"/>
    <x v="8"/>
    <n v="15.41666666666667"/>
    <n v="34703.559792091757"/>
    <n v="6265.4796570142107"/>
    <n v="4298.1208554482964"/>
    <n v="0.68343750000000003"/>
    <n v="11.084518582570981"/>
    <n v="14443.7317150974"/>
    <n v="8881.2192621475024"/>
    <n v="16096.27077555277"/>
    <d v="2023-03-24T04:35:00"/>
    <d v="2023-03-24T20:00:00"/>
    <m/>
    <m/>
    <m/>
    <m/>
    <n v="0.95777878501408586"/>
    <n v="2155.9999999999991"/>
    <n v="389.25038876273777"/>
    <n v="267.0258791854036"/>
    <n v="4.2459368976198758E-2"/>
    <n v="0.68863892370686852"/>
    <n v="897.33404193440458"/>
    <n v="551.75632828172957"/>
    <n v="1000"/>
    <n v="0"/>
    <n v="0"/>
    <n v="0"/>
    <n v="0"/>
    <x v="15"/>
  </r>
  <r>
    <n v="5369400"/>
    <x v="0"/>
    <n v="40.416666666666657"/>
    <n v="79515.035078142071"/>
    <n v="7399.0400551032317"/>
    <n v="10355.600958986941"/>
    <n v="1842.784071712038"/>
    <n v="1808.1303809650251"/>
    <n v="27505.087587937462"/>
    <n v="17129.417904346908"/>
    <n v="36880.814043665152"/>
    <d v="2023-03-24T20:00:00"/>
    <d v="2023-03-26T13:25:00"/>
    <m/>
    <m/>
    <m/>
    <m/>
    <n v="1.0958724126537778"/>
    <n v="2156.0000000000005"/>
    <n v="200.62030209916503"/>
    <n v="280.78558533785065"/>
    <n v="49.965927257740795"/>
    <n v="49.026314300554311"/>
    <n v="745.78309349063534"/>
    <n v="464.45335734906729"/>
    <n v="999.99999999999989"/>
    <n v="0"/>
    <n v="0"/>
    <n v="0"/>
    <n v="0"/>
    <x v="15"/>
  </r>
  <r>
    <n v="5369879"/>
    <x v="4"/>
    <n v="4.416666666666667"/>
    <n v="9856.058553143208"/>
    <n v="869.1122240156019"/>
    <n v="798.92690487646757"/>
    <n v="4232.576921692108"/>
    <n v="4383.8457967352933"/>
    <n v="0"/>
    <n v="5362.7086020688203"/>
    <n v="4357.2318979412948"/>
    <d v="2023-04-01T07:00:00"/>
    <d v="2023-04-01T11:25:00"/>
    <m/>
    <m/>
    <m/>
    <m/>
    <n v="1.0136404878412493"/>
    <n v="2262"/>
    <n v="199.46430311093613"/>
    <n v="183.35652625097703"/>
    <n v="971.39124582557008"/>
    <n v="1006.1079830996769"/>
    <n v="0"/>
    <n v="1230.7604294833591"/>
    <n v="1000"/>
    <n v="0"/>
    <n v="0"/>
    <n v="0"/>
    <n v="0"/>
    <x v="16"/>
  </r>
  <r>
    <n v="5368217"/>
    <x v="9"/>
    <n v="13.66666666666667"/>
    <n v="23876.24168367208"/>
    <n v="2539.7653209601708"/>
    <n v="2307.4090477465302"/>
    <n v="12546.281268057721"/>
    <n v="13185.390554864531"/>
    <n v="0"/>
    <n v="16601.154042609411"/>
    <n v="10304.80866796378"/>
    <d v="2023-04-01T11:45:00"/>
    <d v="2023-04-02T01:25:00"/>
    <m/>
    <m/>
    <m/>
    <m/>
    <n v="1.3262416709544971"/>
    <n v="2317.0000000000005"/>
    <n v="246.46409290993907"/>
    <n v="223.91575837016217"/>
    <n v="1217.5171487717544"/>
    <n v="1279.5376391466714"/>
    <n v="0"/>
    <n v="1611.0104105299979"/>
    <n v="1000"/>
    <n v="0"/>
    <n v="0"/>
    <n v="0"/>
    <n v="0"/>
    <x v="16"/>
  </r>
  <r>
    <n v="5369886"/>
    <x v="10"/>
    <n v="11.75"/>
    <n v="20336.377294453239"/>
    <n v="2015.036925414563"/>
    <n v="2111.9909575752731"/>
    <n v="5395.289416475538"/>
    <n v="5847.6274533312062"/>
    <n v="0"/>
    <n v="4146.972085925604"/>
    <n v="11768.736860216"/>
    <d v="2023-04-02T01:00:00"/>
    <d v="2023-04-02T12:50:00"/>
    <m/>
    <m/>
    <m/>
    <m/>
    <n v="0.99840791238358473"/>
    <n v="1727.9999999999993"/>
    <n v="171.21947319821197"/>
    <n v="179.45774322772226"/>
    <n v="458.44252280924178"/>
    <n v="496.87808664488063"/>
    <n v="0"/>
    <n v="352.37189302314744"/>
    <n v="1000"/>
    <n v="0"/>
    <n v="0"/>
    <n v="0"/>
    <n v="0"/>
    <x v="17"/>
  </r>
  <r>
    <n v="5369889"/>
    <x v="5"/>
    <n v="12.91666666666667"/>
    <n v="21167.9791091201"/>
    <n v="2915.6943270951738"/>
    <n v="3261.969669335725"/>
    <n v="6566.9788074641056"/>
    <n v="5964.4547453684527"/>
    <n v="0"/>
    <n v="2358.4677719559891"/>
    <n v="9135.9426452827338"/>
    <d v="2023-04-02T12:55:00"/>
    <d v="2023-04-03T01:50:00"/>
    <m/>
    <m/>
    <m/>
    <m/>
    <n v="1.4138296581071554"/>
    <n v="2317.0000000000009"/>
    <n v="319.14542815137611"/>
    <n v="357.04795837570362"/>
    <n v="718.80692145707701"/>
    <n v="652.85597523405511"/>
    <n v="0"/>
    <n v="258.15264647855071"/>
    <n v="1000"/>
    <n v="0"/>
    <n v="0"/>
    <n v="0"/>
    <n v="0"/>
    <x v="17"/>
  </r>
  <r>
    <n v="5371714"/>
    <x v="7"/>
    <n v="21.916666666666671"/>
    <n v="0"/>
    <n v="0"/>
    <n v="11961.70589692109"/>
    <n v="29364.84133822691"/>
    <n v="0"/>
    <n v="0"/>
    <n v="18318.060131433351"/>
    <n v="16758.45877347418"/>
    <d v="2023-04-26T13:35:00"/>
    <d v="2023-04-29T07:30:00"/>
    <n v="38075.218333333338"/>
    <n v="2665.2652833333332"/>
    <n v="35409.953049999996"/>
    <m/>
    <n v="1.3077972719876285"/>
    <n v="0"/>
    <n v="0"/>
    <n v="713.77123986213212"/>
    <n v="1752.2399723718336"/>
    <n v="0"/>
    <n v="0"/>
    <n v="1093.0635316194921"/>
    <n v="1000"/>
    <n v="2272"/>
    <n v="159.04"/>
    <n v="2112.9599999999996"/>
    <n v="0"/>
    <x v="18"/>
  </r>
  <r>
    <n v="5371929"/>
    <x v="11"/>
    <n v="301.18666666666672"/>
    <n v="0"/>
    <n v="3920.4425699113708"/>
    <n v="94786.289907378523"/>
    <n v="304498.0286574944"/>
    <n v="19566.01863440848"/>
    <n v="0"/>
    <n v="273092.92538115132"/>
    <n v="219396.01537955939"/>
    <d v="2023-05-03T15:00:00"/>
    <d v="2023-05-24T12:00:00"/>
    <n v="450595.53638653911"/>
    <n v="35233.952893557733"/>
    <n v="415361.58349298133"/>
    <n v="50066.170709615457"/>
    <n v="1.372799164768822"/>
    <n v="0"/>
    <n v="17.869251468076705"/>
    <n v="432.03286870728436"/>
    <n v="1387.8922464963955"/>
    <n v="89.181285268827182"/>
    <n v="0"/>
    <n v="1244.7487932207666"/>
    <n v="1000"/>
    <n v="2053.8000000000002"/>
    <n v="160.59522700356388"/>
    <n v="1893.2047729964358"/>
    <n v="228.2"/>
    <x v="19"/>
  </r>
  <r>
    <n v="5372229"/>
    <x v="7"/>
    <n v="162.33333333333329"/>
    <n v="0"/>
    <n v="0"/>
    <n v="62012.918154714243"/>
    <n v="169940.4911152198"/>
    <n v="0"/>
    <n v="0"/>
    <n v="156231.50166614621"/>
    <n v="135244.76892605639"/>
    <d v="2023-05-24T12:00:00"/>
    <d v="2023-05-31T11:50:00"/>
    <n v="307276.11499999999"/>
    <n v="29916.80330000001"/>
    <n v="277359.31170000002"/>
    <m/>
    <n v="1.2002928809918503"/>
    <n v="0"/>
    <n v="0"/>
    <n v="458.52359871026977"/>
    <n v="1256.5402156746848"/>
    <n v="0"/>
    <n v="0"/>
    <n v="1155.1759295885529"/>
    <n v="999.99999999999989"/>
    <n v="2271.9999999999991"/>
    <n v="221.20488309870748"/>
    <n v="2050.7951169012922"/>
    <n v="0"/>
    <x v="20"/>
  </r>
  <r>
    <n v="5373955"/>
    <x v="12"/>
    <n v="28.5"/>
    <n v="0"/>
    <n v="-8423.558040815713"/>
    <n v="7986.1216907580929"/>
    <n v="26017.15831517048"/>
    <n v="12421.21027544901"/>
    <n v="0"/>
    <n v="14096.579883812819"/>
    <n v="16075.712695547551"/>
    <d v="2023-06-02T07:00:00"/>
    <d v="2023-06-04T15:00:00"/>
    <n v="26717.83450000003"/>
    <n v="7213.8153150000071"/>
    <n v="19504.019185000019"/>
    <n v="8905.9448333333421"/>
    <n v="1.7728607458811809"/>
    <n v="0"/>
    <n v="-523.99282074434961"/>
    <n v="496.78181253948321"/>
    <n v="1618.4139893453298"/>
    <n v="772.66933732208838"/>
    <n v="0"/>
    <n v="876.88677639263312"/>
    <n v="1000"/>
    <n v="1662"/>
    <n v="448.73999999999995"/>
    <n v="1213.26"/>
    <n v="553.99999999999989"/>
    <x v="21"/>
  </r>
  <r>
    <n v="5374272"/>
    <x v="7"/>
    <n v="69.916666666666671"/>
    <n v="0"/>
    <n v="0"/>
    <n v="31161.655448786281"/>
    <n v="72825.095314148159"/>
    <n v="0"/>
    <n v="0"/>
    <n v="64636.44905587488"/>
    <n v="54127.759683098571"/>
    <d v="2023-06-04T15:00:00"/>
    <d v="2023-06-08T05:05:00"/>
    <n v="122978.27"/>
    <n v="33204.13289999999"/>
    <n v="89774.137099999964"/>
    <m/>
    <n v="1.2916970344977754"/>
    <n v="0"/>
    <n v="0"/>
    <n v="575.70562002248414"/>
    <n v="1345.429697081807"/>
    <n v="0"/>
    <n v="0"/>
    <n v="1194.1460247810267"/>
    <n v="1000"/>
    <n v="2272.0000000000009"/>
    <n v="613.44000000000005"/>
    <n v="1658.56"/>
    <n v="0"/>
    <x v="22"/>
  </r>
  <r>
    <n v="5374593"/>
    <x v="11"/>
    <n v="110"/>
    <n v="0"/>
    <n v="-12074.96845205293"/>
    <n v="37785.75475232902"/>
    <n v="111050.91972573291"/>
    <n v="35939.23573501085"/>
    <n v="0"/>
    <n v="103976.2641630888"/>
    <n v="78226.851446099929"/>
    <d v="2023-06-08T17:30:00"/>
    <d v="2023-06-15T19:45:00"/>
    <n v="160662.30750000011"/>
    <n v="120482.25750000001"/>
    <n v="40180.050000000003"/>
    <n v="17851.3675"/>
    <n v="1.4061667824607831"/>
    <n v="0"/>
    <n v="-154.35835942307938"/>
    <n v="483.02793802667952"/>
    <n v="1419.6010407276779"/>
    <n v="459.42326797818004"/>
    <n v="0"/>
    <n v="1329.1633530045729"/>
    <n v="999.99999999999989"/>
    <n v="2053.8000000000011"/>
    <n v="1540.1649852035141"/>
    <n v="513.63501479648539"/>
    <n v="228.19999999999996"/>
    <x v="23"/>
  </r>
  <r>
    <n v="5374965"/>
    <x v="7"/>
    <n v="71.416666666666671"/>
    <n v="0"/>
    <n v="0"/>
    <n v="30384.632937627379"/>
    <n v="76314.453998647106"/>
    <n v="0"/>
    <n v="0"/>
    <n v="70701.28411133906"/>
    <n v="58132.956646126739"/>
    <d v="2023-06-15T19:40:00"/>
    <d v="2023-06-18T19:10:00"/>
    <n v="132078.07750000001"/>
    <n v="132078.07750000001"/>
    <n v="0"/>
    <m/>
    <n v="1.2285056667838516"/>
    <n v="0"/>
    <n v="0"/>
    <n v="522.67482492913655"/>
    <n v="1312.7571415848804"/>
    <n v="0"/>
    <n v="0"/>
    <n v="1216.1996944645291"/>
    <n v="1000"/>
    <n v="2272.0000000000009"/>
    <n v="2272.0000000000009"/>
    <n v="0"/>
    <n v="0"/>
    <x v="24"/>
  </r>
  <r>
    <n v="5375015"/>
    <x v="2"/>
    <n v="14.58333333333333"/>
    <n v="23892.36632614168"/>
    <n v="2916.2721309276658"/>
    <n v="2950.0738976188418"/>
    <n v="4663.6525009754923"/>
    <n v="4692.9977347167551"/>
    <n v="0"/>
    <n v="688.17096615223386"/>
    <n v="11081.802563145489"/>
    <d v="2023-06-22T15:30:00"/>
    <d v="2023-06-23T18:35:00"/>
    <m/>
    <m/>
    <m/>
    <m/>
    <n v="1.3159712285285434"/>
    <n v="2156.0000000000005"/>
    <n v="263.15864357900119"/>
    <n v="266.208848317677"/>
    <n v="420.83880076381263"/>
    <n v="423.48685676138609"/>
    <n v="0"/>
    <n v="62.099190292459205"/>
    <n v="999.99999999999989"/>
    <n v="0"/>
    <n v="0"/>
    <n v="0"/>
    <n v="0"/>
    <x v="25"/>
  </r>
  <r>
    <n v="5375020"/>
    <x v="6"/>
    <n v="29.916666666666671"/>
    <n v="55615.254496342917"/>
    <n v="5427.7934298486634"/>
    <n v="5374.5508714680254"/>
    <n v="9437.3965002897239"/>
    <n v="9458.4969979550115"/>
    <n v="0"/>
    <n v="4804.92681697225"/>
    <n v="24003.130986768629"/>
    <d v="2023-06-23T23:35:00"/>
    <d v="2023-06-26T09:35:00"/>
    <m/>
    <m/>
    <m/>
    <m/>
    <n v="1.2463651797408344"/>
    <n v="2317.0000000000005"/>
    <n v="226.12855934672248"/>
    <n v="223.91040878919785"/>
    <n v="393.17356162793715"/>
    <n v="394.05263434878009"/>
    <n v="0"/>
    <n v="200.17916911010047"/>
    <n v="1000"/>
    <n v="0"/>
    <n v="0"/>
    <n v="0"/>
    <n v="0"/>
    <x v="26"/>
  </r>
  <r>
    <n v="5375761"/>
    <x v="5"/>
    <n v="10.16666666666667"/>
    <n v="19159.44872486926"/>
    <n v="-24726.888677806852"/>
    <n v="1739.88096499678"/>
    <n v="3386.909462213679"/>
    <n v="3360.8471652348871"/>
    <n v="0"/>
    <n v="1753.5001427505019"/>
    <n v="8269.0758415490982"/>
    <d v="2023-06-26T09:40:00"/>
    <d v="2023-06-26T19:50:00"/>
    <m/>
    <m/>
    <m/>
    <m/>
    <n v="1.2294803991980419"/>
    <n v="2317"/>
    <n v="-2990.2844225425083"/>
    <n v="210.4081518099654"/>
    <n v="409.58742271968185"/>
    <n v="406.43564403507492"/>
    <n v="0"/>
    <n v="212.05515300026656"/>
    <n v="1000"/>
    <n v="0"/>
    <n v="0"/>
    <n v="0"/>
    <n v="0"/>
    <x v="27"/>
  </r>
  <r>
    <n v="5375764"/>
    <x v="9"/>
    <n v="6.5"/>
    <n v="12295.215309531161"/>
    <m/>
    <n v="1002.942515080418"/>
    <n v="15.914624859760661"/>
    <m/>
    <n v="3794.15139727421"/>
    <n v="54.54385996695391"/>
    <n v="5306.5236553867744"/>
    <d v="2023-06-26T19:45:00"/>
    <d v="2023-06-27T02:15:00"/>
    <m/>
    <m/>
    <m/>
    <m/>
    <n v="1.2249073823315006"/>
    <n v="2317.0000000000005"/>
    <n v="0"/>
    <n v="189.00179858094253"/>
    <n v="2.9990679196549626"/>
    <n v="0"/>
    <n v="714.99754710839363"/>
    <n v="10.278642574519607"/>
    <n v="1000.0000000000001"/>
    <n v="0"/>
    <n v="0"/>
    <n v="0"/>
    <n v="0"/>
    <x v="27"/>
  </r>
  <r>
    <n v="5375852"/>
    <x v="8"/>
    <n v="22.75"/>
    <n v="61620.348517945473"/>
    <n v="7492.6321110656254"/>
    <n v="6148.4835449432258"/>
    <n v="0"/>
    <n v="23.47809630477116"/>
    <n v="4761.294004527077"/>
    <n v="8.0393158712604027"/>
    <n v="28580.866659529431"/>
    <d v="2023-06-27T04:15:00"/>
    <d v="2023-06-28T03:00:00"/>
    <m/>
    <m/>
    <m/>
    <m/>
    <n v="0.7959870591403041"/>
    <n v="2156.0000000000009"/>
    <n v="262.15552524427846"/>
    <n v="215.12586088404001"/>
    <n v="0"/>
    <n v="0.82146201458670931"/>
    <n v="166.59025988421408"/>
    <n v="0.2812831383676721"/>
    <n v="999.99999999999989"/>
    <n v="0"/>
    <n v="0"/>
    <n v="0"/>
    <n v="0"/>
    <x v="28"/>
  </r>
  <r>
    <n v="5375849"/>
    <x v="0"/>
    <n v="74.166666666666671"/>
    <n v="206448.49681802531"/>
    <n v="21664.080859856778"/>
    <n v="22944.188908167202"/>
    <n v="2252.2346821623269"/>
    <n v="2295.7791195485129"/>
    <n v="58111.886704741861"/>
    <n v="36533.855918653469"/>
    <n v="95755.33247589301"/>
    <d v="2023-06-28T03:00:00"/>
    <d v="2023-07-01T05:10:00"/>
    <m/>
    <m/>
    <m/>
    <m/>
    <n v="0.77454346143426089"/>
    <n v="2155.9999999999995"/>
    <n v="226.24411925373286"/>
    <n v="239.61264939415818"/>
    <n v="23.520723326080461"/>
    <n v="23.975470192498047"/>
    <n v="606.87885679235546"/>
    <n v="381.53338277898087"/>
    <n v="1000"/>
    <n v="0"/>
    <n v="0"/>
    <n v="0"/>
    <n v="0"/>
    <x v="29"/>
  </r>
  <r>
    <n v="5376297"/>
    <x v="2"/>
    <n v="20.916666666666671"/>
    <n v="54141.72985496834"/>
    <n v="6009.6729644065299"/>
    <n v="6013.7003998891378"/>
    <n v="292.96058335293861"/>
    <n v="291.3737224470978"/>
    <n v="19675.50046521008"/>
    <n v="11679.354863352721"/>
    <n v="25112.11959877938"/>
    <d v="2023-07-01T07:00:00"/>
    <d v="2023-07-02T03:55:00"/>
    <m/>
    <m/>
    <m/>
    <m/>
    <n v="0.83293115041087029"/>
    <n v="2156"/>
    <n v="239.31364856587575"/>
    <n v="239.47402672379135"/>
    <n v="11.666103380902124"/>
    <n v="11.602912342821933"/>
    <n v="783.50616274408173"/>
    <n v="465.08837366004013"/>
    <n v="1000"/>
    <n v="0"/>
    <n v="0"/>
    <n v="0"/>
    <n v="0"/>
    <x v="30"/>
  </r>
  <r>
    <n v="5376301"/>
    <x v="0"/>
    <n v="24.083333333333329"/>
    <n v="50567.580073038"/>
    <n v="894.74684988134356"/>
    <n v="5796.9046605356698"/>
    <n v="2308.1961449301102"/>
    <n v="911.17262555476941"/>
    <n v="8948.3372598375208"/>
    <n v="7000.1786664707925"/>
    <n v="23454.350683227269"/>
    <d v="2023-07-02T03:55:00"/>
    <d v="2023-07-03T04:00:00"/>
    <m/>
    <m/>
    <m/>
    <m/>
    <n v="1.0268173124296236"/>
    <n v="2156.0000000000005"/>
    <n v="38.148438298963313"/>
    <n v="247.15690230901026"/>
    <n v="98.412280779137191"/>
    <n v="38.848767883664728"/>
    <n v="381.5214234959264"/>
    <n v="298.45970843596098"/>
    <n v="999.99999999999989"/>
    <n v="0"/>
    <n v="0"/>
    <n v="0"/>
    <n v="0"/>
    <x v="31"/>
  </r>
  <r>
    <n v="5376451"/>
    <x v="2"/>
    <n v="155"/>
    <n v="398628.04271822551"/>
    <n v="1825.676389020038"/>
    <n v="31783.441916341078"/>
    <n v="943.45456127000421"/>
    <n v="-24278.526068461459"/>
    <n v="130382.93090363769"/>
    <n v="83699.128834674208"/>
    <n v="184892.4131346129"/>
    <d v="2023-07-03T14:00:00"/>
    <d v="2023-07-17T21:15:00"/>
    <m/>
    <m/>
    <m/>
    <m/>
    <n v="0.83832536647758815"/>
    <n v="2156.0000000000005"/>
    <n v="9.8742634057722789"/>
    <n v="171.90235866087593"/>
    <n v="5.1027218763330868"/>
    <n v="-131.3116404121202"/>
    <n v="705.18269891751049"/>
    <n v="452.69098615602019"/>
    <n v="999.99999999999989"/>
    <n v="0"/>
    <n v="0"/>
    <n v="0"/>
    <n v="0"/>
    <x v="32"/>
  </r>
  <r>
    <n v="5376454"/>
    <x v="9"/>
    <n v="23.5"/>
    <n v="44394.560791768417"/>
    <n v="3811.132597312941"/>
    <n v="3801.5474271407979"/>
    <n v="0"/>
    <n v="-38.882178125589917"/>
    <n v="11172.668421525441"/>
    <n v="6994.6870350563368"/>
    <n v="19160.362879485721"/>
    <d v="2023-07-04T08:30:00"/>
    <d v="2023-07-05T07:50:00"/>
    <m/>
    <m/>
    <m/>
    <m/>
    <n v="1.2264903409089691"/>
    <n v="2317"/>
    <n v="198.90711993734615"/>
    <n v="198.40685957002262"/>
    <n v="0"/>
    <n v="-2.0293028044484274"/>
    <n v="583.1136128161537"/>
    <n v="365.06025898628906"/>
    <n v="1000.0000000000001"/>
    <n v="0"/>
    <n v="0"/>
    <n v="0"/>
    <n v="0"/>
    <x v="33"/>
  </r>
  <r>
    <n v="5376531"/>
    <x v="13"/>
    <n v="2.416666666666667"/>
    <n v="4573.4333620339085"/>
    <n v="287.50425922393669"/>
    <n v="310.78715946027393"/>
    <n v="0"/>
    <n v="55.244075368243273"/>
    <n v="1018.848842152589"/>
    <n v="665.05888906831422"/>
    <n v="1973.8598886637501"/>
    <d v="2023-07-05T07:45:00"/>
    <d v="2023-07-05T10:10:00"/>
    <m/>
    <m/>
    <m/>
    <m/>
    <n v="1.2243354660308159"/>
    <n v="2316.9999999999995"/>
    <n v="145.65585980804815"/>
    <n v="157.45147933000879"/>
    <n v="0"/>
    <n v="27.987840315070194"/>
    <n v="516.17080219524712"/>
    <n v="336.93317995257564"/>
    <n v="1000"/>
    <n v="0"/>
    <n v="0"/>
    <n v="0"/>
    <n v="0"/>
    <x v="34"/>
  </r>
  <r>
    <n v="5376448"/>
    <x v="1"/>
    <n v="8.9166666666666661"/>
    <n v="23363.455632166639"/>
    <n v="1502.6708245341069"/>
    <n v="1579.758387951194"/>
    <n v="0"/>
    <n v="2.8101065747492271"/>
    <n v="7000.3268392709479"/>
    <n v="4044.7338349249549"/>
    <n v="10328.67180909223"/>
    <d v="2023-07-05T10:10:00"/>
    <d v="2023-07-05T19:05:00"/>
    <m/>
    <m/>
    <m/>
    <m/>
    <n v="0.86329267029449142"/>
    <n v="2262.0000000000014"/>
    <n v="145.48538788998218"/>
    <n v="152.94884155003822"/>
    <n v="0"/>
    <n v="0.27206853181989166"/>
    <n v="677.75673084206505"/>
    <n v="391.60251285788894"/>
    <n v="1000"/>
    <n v="0"/>
    <n v="0"/>
    <n v="0"/>
    <n v="0"/>
    <x v="34"/>
  </r>
  <r>
    <n v="5376742"/>
    <x v="0"/>
    <n v="20.333333333333339"/>
    <n v="46173.638152898217"/>
    <n v="-22039.101452756218"/>
    <n v="4343.6480056702421"/>
    <n v="49.537368426724143"/>
    <n v="-1.8306455865868541"/>
    <n v="14166.14586680229"/>
    <n v="9150.2873537480464"/>
    <n v="21416.344226761688"/>
    <d v="2023-07-05T19:15:00"/>
    <d v="2023-07-06T15:35:00"/>
    <m/>
    <m/>
    <m/>
    <m/>
    <n v="0.94943063662214455"/>
    <n v="2156.0000000000009"/>
    <n v="-1029.0785962067391"/>
    <n v="202.81930285013141"/>
    <n v="2.3130637004247743"/>
    <n v="-8.5478901870623389E-2"/>
    <n v="661.46424043279944"/>
    <n v="427.25720397760148"/>
    <n v="1000"/>
    <n v="0"/>
    <n v="0"/>
    <n v="0"/>
    <n v="0"/>
    <x v="34"/>
  </r>
  <r>
    <n v="5376350"/>
    <x v="8"/>
    <n v="6.666666666666667"/>
    <n v="17167.420059782329"/>
    <n v="0"/>
    <n v="1349.738105808224"/>
    <n v="0"/>
    <n v="0"/>
    <n v="6342.9993920182133"/>
    <n v="3752.2328375413458"/>
    <n v="7962.6252596392969"/>
    <d v="2023-07-06T15:30:00"/>
    <d v="2023-07-06T22:10:00"/>
    <m/>
    <m/>
    <m/>
    <m/>
    <n v="0.83724480925385958"/>
    <n v="2156.0000000000009"/>
    <n v="0"/>
    <n v="169.50918344101083"/>
    <n v="0"/>
    <n v="0"/>
    <n v="796.59649741014528"/>
    <n v="471.23061995150584"/>
    <n v="1000"/>
    <n v="0"/>
    <n v="0"/>
    <n v="0"/>
    <n v="0"/>
    <x v="35"/>
  </r>
  <r>
    <n v="5376984"/>
    <x v="8"/>
    <n v="7.583333333333333"/>
    <n v="19486.84032670944"/>
    <n v="2374.7416221360349"/>
    <n v="1874.679152532806"/>
    <n v="0"/>
    <n v="19.70813818615369"/>
    <n v="6659.5933018306896"/>
    <n v="4355.8506710087167"/>
    <n v="9038.4231571008513"/>
    <d v="2023-07-07T10:20:00"/>
    <d v="2023-07-07T17:55:00"/>
    <m/>
    <m/>
    <m/>
    <m/>
    <n v="0.83901065501404892"/>
    <n v="2156.0000000000009"/>
    <n v="262.73848666516216"/>
    <n v="207.41219125816241"/>
    <n v="0"/>
    <n v="2.1804841224622677"/>
    <n v="736.80919625883155"/>
    <n v="481.92595050018565"/>
    <n v="999.99999999999989"/>
    <n v="0"/>
    <n v="0"/>
    <n v="0"/>
    <n v="0"/>
    <x v="36"/>
  </r>
  <r>
    <n v="5376987"/>
    <x v="0"/>
    <n v="13.75"/>
    <n v="35438.864041889668"/>
    <n v="3748.677148127264"/>
    <n v="3774.056128792779"/>
    <n v="0"/>
    <n v="26.902259043943388"/>
    <n v="10734.18234754721"/>
    <n v="7902.809652930312"/>
    <n v="16437.320984178881"/>
    <d v="2023-07-08T05:00:00"/>
    <d v="2023-07-08T18:45:00"/>
    <m/>
    <m/>
    <m/>
    <m/>
    <n v="0.83651101132809536"/>
    <n v="2156"/>
    <n v="228.05888816890604"/>
    <n v="229.60287338948686"/>
    <n v="0"/>
    <n v="1.6366571578079625"/>
    <n v="653.037216823775"/>
    <n v="480.78453055317595"/>
    <n v="1000"/>
    <n v="0"/>
    <n v="0"/>
    <n v="0"/>
    <n v="0"/>
    <x v="37"/>
  </r>
  <r>
    <n v="5376990"/>
    <x v="0"/>
    <n v="12.08333333333333"/>
    <n v="30483.067665825649"/>
    <n v="3334.008165904514"/>
    <n v="3313.3785513515741"/>
    <n v="391.45630925458028"/>
    <n v="385.11141730763399"/>
    <n v="9472.8262422973148"/>
    <n v="6177.8298699263587"/>
    <n v="14138.7141307169"/>
    <d v="2023-07-09T05:10:00"/>
    <d v="2023-07-09T17:20:00"/>
    <m/>
    <m/>
    <m/>
    <m/>
    <n v="0.85462745916064775"/>
    <n v="2156.0000000000009"/>
    <n v="235.80702849499255"/>
    <n v="234.34794145481249"/>
    <n v="27.686839526950077"/>
    <n v="27.238079343507241"/>
    <n v="669.99206255378169"/>
    <n v="436.94425198857266"/>
    <n v="1000.0000000000001"/>
    <n v="0"/>
    <n v="0"/>
    <n v="0"/>
    <n v="0"/>
    <x v="38"/>
  </r>
  <r>
    <n v="5376992"/>
    <x v="8"/>
    <n v="14.58333333333333"/>
    <n v="38929.115159031782"/>
    <n v="2989.154168663013"/>
    <n v="3662.7028172734199"/>
    <n v="0"/>
    <n v="-29.284833921799699"/>
    <n v="12100.58604937987"/>
    <n v="7983.9518394043498"/>
    <n v="18056.175862259639"/>
    <d v="2023-07-10T04:30:00"/>
    <d v="2023-07-10T19:05:00"/>
    <m/>
    <m/>
    <m/>
    <m/>
    <n v="0.80766456001433184"/>
    <n v="2156"/>
    <n v="165.54746649930641"/>
    <n v="202.85041778580967"/>
    <n v="0"/>
    <n v="-1.6218735431686724"/>
    <n v="670.16328051345988"/>
    <n v="442.17291082615759"/>
    <n v="999.99999999999989"/>
    <n v="0"/>
    <n v="0"/>
    <n v="0"/>
    <n v="0"/>
    <x v="39"/>
  </r>
  <r>
    <n v="5377108"/>
    <x v="0"/>
    <n v="13.08333333333333"/>
    <n v="31483.94550567128"/>
    <n v="4292.5175754153888"/>
    <n v="3548.3954846308029"/>
    <n v="0"/>
    <n v="15.688751195881419"/>
    <n v="10863.830065367951"/>
    <n v="6680.4911587269917"/>
    <n v="14602.94318444865"/>
    <d v="2023-07-12T06:05:00"/>
    <d v="2023-07-12T19:10:00"/>
    <m/>
    <m/>
    <m/>
    <m/>
    <n v="0.89593811111080524"/>
    <n v="2155.9999999999995"/>
    <n v="293.94879656771445"/>
    <n v="242.991802392935"/>
    <n v="0"/>
    <n v="1.0743554225828322"/>
    <n v="743.94797871550622"/>
    <n v="457.47566599049406"/>
    <n v="1000"/>
    <n v="0"/>
    <n v="0"/>
    <n v="0"/>
    <n v="0"/>
    <x v="40"/>
  </r>
  <r>
    <n v="5377174"/>
    <x v="0"/>
    <n v="15.91666666666667"/>
    <n v="45004.163138238502"/>
    <n v="4933.4837929222394"/>
    <n v="4358.7322064059217"/>
    <n v="0"/>
    <n v="28.334149788022959"/>
    <n v="15054.30574805882"/>
    <n v="7866.5275275529239"/>
    <n v="20873.91611235552"/>
    <d v="2023-07-13T04:45:00"/>
    <d v="2023-07-13T20:40:00"/>
    <m/>
    <m/>
    <m/>
    <m/>
    <n v="0.76251464176601746"/>
    <n v="2156"/>
    <n v="236.34682473415"/>
    <n v="208.81238493748359"/>
    <n v="0"/>
    <n v="1.3573950204414031"/>
    <n v="721.2017940010785"/>
    <n v="376.85920960928996"/>
    <n v="999.99999999999989"/>
    <n v="0"/>
    <n v="0"/>
    <n v="0"/>
    <n v="0"/>
    <x v="41"/>
  </r>
  <r>
    <n v="5377177"/>
    <x v="0"/>
    <n v="5.583333333333333"/>
    <n v="15183.395345836099"/>
    <n v="0"/>
    <n v="1431.2042367677309"/>
    <n v="0"/>
    <n v="0"/>
    <n v="3692.2121706003809"/>
    <n v="2755.5540922897449"/>
    <n v="7042.3911622616433"/>
    <d v="2023-07-14T01:25:00"/>
    <d v="2023-07-14T07:00:00"/>
    <m/>
    <m/>
    <m/>
    <m/>
    <n v="0.79281783767606884"/>
    <n v="2155.9999999999995"/>
    <n v="0"/>
    <n v="203.22702954036194"/>
    <n v="0"/>
    <n v="0"/>
    <n v="524.28388107522244"/>
    <n v="391.28103350124144"/>
    <n v="1000"/>
    <n v="0"/>
    <n v="0"/>
    <n v="0"/>
    <n v="0"/>
    <x v="42"/>
  </r>
  <r>
    <n v="5317177"/>
    <x v="0"/>
    <n v="11.08333333333333"/>
    <n v="30138.312499315169"/>
    <n v="2538.4451718457371"/>
    <n v="2571.1389876814228"/>
    <n v="0"/>
    <n v="25.85781309177548"/>
    <n v="5903.7597279012643"/>
    <n v="5636.8440829543424"/>
    <n v="13978.809136973639"/>
    <d v="2023-07-14T07:00:00"/>
    <d v="2023-07-14T18:05:00"/>
    <m/>
    <m/>
    <m/>
    <m/>
    <n v="0.79286677604161282"/>
    <n v="2156"/>
    <n v="181.59237650162962"/>
    <n v="183.9311891655218"/>
    <n v="0"/>
    <n v="1.8497865475094111"/>
    <n v="422.33638574304234"/>
    <n v="403.24208076101525"/>
    <n v="1000"/>
    <n v="0"/>
    <n v="0"/>
    <n v="0"/>
    <n v="0"/>
    <x v="42"/>
  </r>
  <r>
    <n v="5377181"/>
    <x v="0"/>
    <n v="6.916666666666667"/>
    <n v="17716.75163397607"/>
    <n v="2099.7896692898189"/>
    <n v="2188.3984931876962"/>
    <n v="224.42385468750001"/>
    <n v="363.53502351529698"/>
    <n v="4783.8387311692504"/>
    <n v="3315.502663600932"/>
    <n v="8217.4172699332394"/>
    <d v="2023-07-16T03:50:00"/>
    <d v="2023-07-16T19:00:00"/>
    <m/>
    <m/>
    <m/>
    <m/>
    <n v="0.84170809872027585"/>
    <n v="2156.0000000000005"/>
    <n v="255.52915232536051"/>
    <n v="266.31220264240949"/>
    <n v="27.31075316190233"/>
    <n v="44.23957206669273"/>
    <n v="582.15842934894749"/>
    <n v="403.47259420938082"/>
    <n v="1000"/>
    <n v="0"/>
    <n v="0"/>
    <n v="0"/>
    <n v="0"/>
    <x v="43"/>
  </r>
  <r>
    <n v="5377184"/>
    <x v="0"/>
    <n v="9.4166666666666661"/>
    <n v="24253.627531831618"/>
    <n v="-25202.301285226131"/>
    <n v="2457.3210976014461"/>
    <n v="0"/>
    <n v="39.921860979667663"/>
    <n v="7297.7098348582786"/>
    <n v="5392.6458144616126"/>
    <n v="11249.36341921689"/>
    <d v="2023-07-17T07:00:00"/>
    <d v="2023-07-17T16:25:00"/>
    <m/>
    <m/>
    <m/>
    <m/>
    <n v="0.83708440342326451"/>
    <n v="2156.0000000000005"/>
    <n v="-2240.3313277419707"/>
    <n v="218.44090247841859"/>
    <n v="0"/>
    <n v="3.5488106741640646"/>
    <n v="648.72202656301943"/>
    <n v="479.37341994388294"/>
    <n v="1000"/>
    <n v="0"/>
    <n v="0"/>
    <n v="0"/>
    <n v="0"/>
    <x v="44"/>
  </r>
  <r>
    <n v="5377612"/>
    <x v="8"/>
    <n v="4.333333333333333"/>
    <n v="8481.561671414489"/>
    <n v="553.86143936568283"/>
    <n v="1003.480605608444"/>
    <n v="2126.1835085397038"/>
    <n v="1651.392820752463"/>
    <n v="1229.533841740604"/>
    <n v="3231.7972986800569"/>
    <n v="3933.9339848861268"/>
    <d v="2023-07-18T00:00:00"/>
    <d v="2023-07-18T09:25:00"/>
    <m/>
    <m/>
    <m/>
    <m/>
    <n v="1.1015267032903113"/>
    <n v="2156"/>
    <n v="140.79073047325554"/>
    <n v="255.08323461037719"/>
    <n v="540.47259478891556"/>
    <n v="419.78152838786514"/>
    <n v="312.54562137147673"/>
    <n v="821.51792864251775"/>
    <n v="1000"/>
    <n v="0"/>
    <n v="0"/>
    <n v="0"/>
    <n v="0"/>
    <x v="45"/>
  </r>
  <r>
    <s v="transition "/>
    <x v="4"/>
    <n v="4"/>
    <n v="11042.43493159575"/>
    <n v="1117.1851885696431"/>
    <n v="1200.915645930274"/>
    <n v="4494.6216154855183"/>
    <n v="4785.0842861175524"/>
    <n v="0"/>
    <n v="4288.8758375488096"/>
    <n v="4881.7130555242038"/>
    <d v="2023-07-18T15:40:00"/>
    <d v="2023-07-18T19:40:00"/>
    <m/>
    <m/>
    <m/>
    <m/>
    <n v="0.8193844977171596"/>
    <n v="2262.0000000000005"/>
    <n v="228.85105614829681"/>
    <n v="246.00291583531393"/>
    <n v="920.70581870832245"/>
    <n v="980.20597107867604"/>
    <n v="0"/>
    <n v="878.55959348029842"/>
    <n v="1000"/>
    <n v="0"/>
    <n v="0"/>
    <n v="0"/>
    <n v="0"/>
    <x v="45"/>
  </r>
  <r>
    <n v="5377686"/>
    <x v="5"/>
    <n v="26.833333333333339"/>
    <n v="45795.953541070667"/>
    <n v="7121.2494872143207"/>
    <n v="6956.4927050826354"/>
    <n v="27621.11111511504"/>
    <n v="27834.013196672939"/>
    <n v="0"/>
    <n v="28743.5748721038"/>
    <n v="19765.1935869964"/>
    <d v="2023-07-18T21:30:00"/>
    <d v="2023-07-20T08:55:00"/>
    <m/>
    <m/>
    <m/>
    <m/>
    <n v="1.3576053892529085"/>
    <n v="2317.0000000000005"/>
    <n v="360.29242293378894"/>
    <n v="351.95672000194014"/>
    <n v="1397.4622102000094"/>
    <n v="1408.2337759132827"/>
    <n v="0"/>
    <n v="1454.2521299166183"/>
    <n v="1000"/>
    <n v="0"/>
    <n v="0"/>
    <n v="0"/>
    <n v="0"/>
    <x v="45"/>
  </r>
  <r>
    <n v="5379646"/>
    <x v="2"/>
    <n v="3.333333333333333"/>
    <n v="4420.7274542038558"/>
    <n v="173.40878882856001"/>
    <n v="225.94382860262851"/>
    <n v="237.19802189610019"/>
    <n v="297.51776589169759"/>
    <n v="0"/>
    <n v="168.59323739188861"/>
    <n v="2050.430173563941"/>
    <d v="2023-08-16T11:40:00"/>
    <d v="2023-08-16T15:00:00"/>
    <m/>
    <m/>
    <m/>
    <m/>
    <n v="1.6256751272536742"/>
    <n v="2155.9999999999995"/>
    <n v="84.571906453732453"/>
    <n v="110.19337869472815"/>
    <n v="115.68207732907875"/>
    <n v="145.10016957786431"/>
    <n v="0"/>
    <n v="82.223349795350231"/>
    <n v="1000"/>
    <n v="0"/>
    <n v="0"/>
    <n v="0"/>
    <n v="0"/>
    <x v="46"/>
  </r>
  <r>
    <n v="5379649"/>
    <x v="6"/>
    <n v="11"/>
    <n v="20722.12437718215"/>
    <n v="1972.8750174226379"/>
    <n v="1985.2818237997999"/>
    <n v="3337.3002466594298"/>
    <n v="3338.0676399230888"/>
    <n v="0"/>
    <n v="1520.958612035432"/>
    <n v="8943.5150527329079"/>
    <d v="2023-08-16T17:10:00"/>
    <d v="2023-08-17T04:10:00"/>
    <m/>
    <m/>
    <m/>
    <m/>
    <n v="1.2299414643058808"/>
    <n v="2317"/>
    <n v="220.59279889284448"/>
    <n v="221.98003940219778"/>
    <n v="373.15308656406148"/>
    <n v="373.23889099991635"/>
    <n v="0"/>
    <n v="170.06273294868174"/>
    <n v="999.99999999999989"/>
    <n v="0"/>
    <n v="0"/>
    <n v="0"/>
    <n v="0"/>
    <x v="46"/>
  </r>
  <r>
    <n v="5379652"/>
    <x v="5"/>
    <n v="14.856666666666669"/>
    <n v="24763.418331529891"/>
    <n v="515.83706404785801"/>
    <n v="3227.689391018142"/>
    <n v="6016.624134428881"/>
    <n v="475.56438538869372"/>
    <n v="-2074"/>
    <n v="1069.1051049077421"/>
    <n v="10687.82901662921"/>
    <d v="2023-08-17T04:05:00"/>
    <d v="2023-08-17T18:56:24"/>
    <m/>
    <m/>
    <m/>
    <m/>
    <n v="1.3900546728012919"/>
    <n v="2316.9736616295459"/>
    <n v="48.263970470080153"/>
    <n v="301.99672786645209"/>
    <n v="562.94165307730941"/>
    <n v="44.495882620199325"/>
    <n v="-194.05250559052359"/>
    <n v="100.03014674395705"/>
    <n v="1000"/>
    <n v="0"/>
    <n v="0"/>
    <n v="0"/>
    <n v="0"/>
    <x v="47"/>
  </r>
  <r>
    <n v="5379655"/>
    <x v="9"/>
    <n v="41.7"/>
    <n v="69509"/>
    <n v="0"/>
    <n v="9060"/>
    <n v="16891"/>
    <n v="0"/>
    <n v="7260"/>
    <n v="22501"/>
    <n v="30000"/>
    <d v="2023-08-17T07:00:00"/>
    <d v="2023-08-19T12:38:24"/>
    <m/>
    <m/>
    <m/>
    <m/>
    <n v="1.39"/>
    <n v="2316.9666666666667"/>
    <n v="0"/>
    <n v="302"/>
    <n v="563.0333333333333"/>
    <n v="0"/>
    <n v="242"/>
    <n v="750.0333333333333"/>
    <n v="1000"/>
    <n v="0"/>
    <n v="0"/>
    <n v="0"/>
    <n v="0"/>
    <x v="47"/>
  </r>
  <r>
    <n v="5379968"/>
    <x v="1"/>
    <n v="9.0399999999999991"/>
    <n v="22224"/>
    <n v="0"/>
    <n v="2309"/>
    <n v="865"/>
    <n v="0"/>
    <n v="6652"/>
    <n v="4205"/>
    <n v="9825"/>
    <d v="2023-08-19T07:00:00"/>
    <d v="2023-08-19T16:02:24"/>
    <m/>
    <m/>
    <m/>
    <m/>
    <n v="0.92010178117048347"/>
    <n v="2261.9847328244273"/>
    <n v="0"/>
    <n v="235.01272264631044"/>
    <n v="88.040712468193391"/>
    <n v="0"/>
    <n v="677.04834605597966"/>
    <n v="427.98982188295167"/>
    <n v="1000"/>
    <n v="0"/>
    <n v="0"/>
    <n v="0"/>
    <n v="0"/>
    <x v="48"/>
  </r>
  <r>
    <n v="5379965"/>
    <x v="4"/>
    <n v="5.98"/>
    <n v="14703"/>
    <n v="0"/>
    <n v="1528"/>
    <n v="572"/>
    <n v="0"/>
    <n v="4401"/>
    <n v="2782"/>
    <n v="6500"/>
    <d v="2023-08-19T12:45:00"/>
    <d v="2023-08-19T18:43:48"/>
    <m/>
    <m/>
    <m/>
    <m/>
    <n v="0.92"/>
    <n v="2262"/>
    <n v="0"/>
    <n v="235.07692307692307"/>
    <n v="88"/>
    <n v="0"/>
    <n v="677.07692307692309"/>
    <n v="428"/>
    <n v="1000"/>
    <n v="0"/>
    <n v="0"/>
    <n v="0"/>
    <n v="0"/>
    <x v="48"/>
  </r>
  <r>
    <n v="5379971"/>
    <x v="2"/>
    <n v="106"/>
    <n v="266522"/>
    <n v="0"/>
    <n v="27814.775000000001"/>
    <n v="8899.9680000000008"/>
    <n v="4095.8389999999999"/>
    <n v="80230"/>
    <n v="49942"/>
    <n v="123618"/>
    <d v="2023-08-19T23:45:00"/>
    <d v="2023-08-24T12:45:00"/>
    <m/>
    <m/>
    <m/>
    <m/>
    <n v="0.8574803022213594"/>
    <n v="2156.012878383407"/>
    <n v="0"/>
    <n v="225.00586484168971"/>
    <n v="71.995728777362515"/>
    <n v="33.133030788396511"/>
    <n v="649.01551553980812"/>
    <n v="404.00265333527477"/>
    <n v="1000"/>
    <n v="0"/>
    <n v="0"/>
    <n v="0"/>
    <n v="0"/>
    <x v="48"/>
  </r>
  <r>
    <n v="5380239"/>
    <x v="0"/>
    <n v="42.25"/>
    <n v="107852"/>
    <n v="0"/>
    <n v="13556.376"/>
    <n v="3601.4319999999998"/>
    <n v="0"/>
    <n v="32465"/>
    <n v="20209"/>
    <n v="50024"/>
    <d v="2023-08-24T12:45:00"/>
    <d v="2023-08-26T07:00:00"/>
    <m/>
    <m/>
    <m/>
    <m/>
    <n v="0.84459459459459463"/>
    <n v="2156.0051175435792"/>
    <n v="0"/>
    <n v="270.99744122821045"/>
    <n v="71.994082840236686"/>
    <n v="0"/>
    <n v="648.9884855269471"/>
    <n v="403.98608667839437"/>
    <n v="1000"/>
    <n v="0"/>
    <n v="0"/>
    <n v="0"/>
    <n v="0"/>
    <x v="49"/>
  </r>
  <r>
    <n v="5380406"/>
    <x v="8"/>
    <n v="72"/>
    <n v="181668"/>
    <n v="0"/>
    <n v="21823.858"/>
    <n v="6066.8639999999996"/>
    <n v="0"/>
    <n v="54686.144"/>
    <n v="34041.423999999999"/>
    <n v="84262"/>
    <d v="2023-08-26T07:00:00"/>
    <d v="2023-08-29T07:00:00"/>
    <m/>
    <m/>
    <m/>
    <m/>
    <n v="0.85447770050556593"/>
    <n v="2155.9896513256272"/>
    <n v="0"/>
    <n v="259"/>
    <n v="72"/>
    <n v="0"/>
    <n v="649.0012579810591"/>
    <n v="403.99496807576367"/>
    <n v="1000"/>
    <n v="0"/>
    <n v="0"/>
    <n v="0"/>
    <n v="0"/>
    <x v="50"/>
  </r>
  <r>
    <n v="5380412"/>
    <x v="2"/>
    <n v="72"/>
    <n v="160210"/>
    <n v="0"/>
    <n v="16719.525000000001"/>
    <n v="5350.2479999999996"/>
    <n v="0"/>
    <n v="48226.540999999997"/>
    <n v="30020.835999999999"/>
    <n v="74309"/>
    <d v="2023-08-29T07:00:00"/>
    <d v="2023-09-01T07:00:00"/>
    <m/>
    <m/>
    <m/>
    <m/>
    <n v="0.96892704786768757"/>
    <n v="2155.9972547066977"/>
    <n v="0"/>
    <n v="225.00000000000003"/>
    <n v="72"/>
    <n v="0"/>
    <n v="649"/>
    <n v="404"/>
    <n v="1000"/>
    <n v="0"/>
    <n v="0"/>
    <n v="0"/>
    <n v="0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3B25D-4408-4D93-9D37-43FF4F102F6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57" firstHeaderRow="0" firstDataRow="1" firstDataCol="1"/>
  <pivotFields count="31">
    <pivotField showAll="0"/>
    <pivotField axis="axisRow" showAll="0">
      <items count="15">
        <item sd="0" x="12"/>
        <item sd="0" x="11"/>
        <item x="2"/>
        <item sd="0" x="1"/>
        <item x="6"/>
        <item sd="0" x="10"/>
        <item x="13"/>
        <item x="3"/>
        <item x="8"/>
        <item x="4"/>
        <item x="5"/>
        <item x="9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0"/>
  </rowFields>
  <rowItems count="54">
    <i>
      <x/>
    </i>
    <i>
      <x v="1"/>
    </i>
    <i>
      <x v="2"/>
    </i>
    <i r="1">
      <x v="1"/>
    </i>
    <i r="1">
      <x v="3"/>
    </i>
    <i r="1">
      <x v="6"/>
    </i>
    <i r="1">
      <x v="7"/>
    </i>
    <i r="1">
      <x v="8"/>
    </i>
    <i>
      <x v="3"/>
    </i>
    <i>
      <x v="4"/>
    </i>
    <i r="1">
      <x v="1"/>
    </i>
    <i r="1">
      <x v="3"/>
    </i>
    <i r="1">
      <x v="6"/>
    </i>
    <i r="1">
      <x v="8"/>
    </i>
    <i>
      <x v="5"/>
    </i>
    <i>
      <x v="6"/>
    </i>
    <i r="1">
      <x v="7"/>
    </i>
    <i>
      <x v="7"/>
    </i>
    <i r="1">
      <x v="1"/>
    </i>
    <i>
      <x v="8"/>
    </i>
    <i r="1">
      <x v="3"/>
    </i>
    <i r="1">
      <x v="6"/>
    </i>
    <i r="1">
      <x v="7"/>
    </i>
    <i r="1">
      <x v="8"/>
    </i>
    <i>
      <x v="9"/>
    </i>
    <i r="1">
      <x v="1"/>
    </i>
    <i r="1">
      <x v="3"/>
    </i>
    <i r="1">
      <x v="4"/>
    </i>
    <i r="1">
      <x v="7"/>
    </i>
    <i r="1">
      <x v="8"/>
    </i>
    <i>
      <x v="10"/>
    </i>
    <i r="1">
      <x v="1"/>
    </i>
    <i r="1">
      <x v="3"/>
    </i>
    <i r="1">
      <x v="4"/>
    </i>
    <i r="1">
      <x v="6"/>
    </i>
    <i r="1">
      <x v="7"/>
    </i>
    <i r="1">
      <x v="8"/>
    </i>
    <i>
      <x v="11"/>
    </i>
    <i r="1">
      <x v="4"/>
    </i>
    <i r="1">
      <x v="6"/>
    </i>
    <i r="1">
      <x v="7"/>
    </i>
    <i r="1">
      <x v="8"/>
    </i>
    <i>
      <x v="12"/>
    </i>
    <i r="1">
      <x v="1"/>
    </i>
    <i r="1">
      <x v="3"/>
    </i>
    <i r="1">
      <x v="6"/>
    </i>
    <i r="1">
      <x v="7"/>
    </i>
    <i r="1">
      <x v="8"/>
    </i>
    <i>
      <x v="13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Hours per MT" fld="17" subtotal="average" baseField="0" baseItem="0"/>
    <dataField name="Average of Sawdust per MT" fld="18" subtotal="average" baseField="0" baseItem="0"/>
    <dataField name="Average of Caustic per MT" fld="19" subtotal="average" baseField="0" baseItem="0"/>
    <dataField name="Average of Caustic Flow per MT" fld="20" subtotal="average" baseField="0" baseItem="0"/>
    <dataField name="Average of Fresh acid Flow per MT" fld="21" subtotal="average" baseField="0" baseItem="0"/>
    <dataField name="Average of Fresh acid tank per MT" fld="22" subtotal="average" baseField="0" baseItem="0"/>
    <dataField name="Average of Plant Acid per MT" fld="23" subtotal="average" baseField="0" baseItem="0"/>
    <dataField name="Average of Bled Acid per MT" fld="2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"/>
  <sheetViews>
    <sheetView topLeftCell="I1" workbookViewId="0">
      <selection activeCell="AD2" sqref="AD2"/>
    </sheetView>
  </sheetViews>
  <sheetFormatPr defaultRowHeight="14.4" x14ac:dyDescent="0.3"/>
  <cols>
    <col min="1" max="1" width="19.77734375" customWidth="1"/>
    <col min="3" max="3" width="15.21875" customWidth="1"/>
    <col min="4" max="4" width="12.5546875" bestFit="1" customWidth="1"/>
    <col min="5" max="5" width="12.6640625" bestFit="1" customWidth="1"/>
    <col min="6" max="6" width="15.77734375" bestFit="1" customWidth="1"/>
    <col min="7" max="7" width="18.21875" bestFit="1" customWidth="1"/>
    <col min="8" max="8" width="18.109375" bestFit="1" customWidth="1"/>
    <col min="9" max="9" width="13.88671875" bestFit="1" customWidth="1"/>
    <col min="10" max="10" width="13.21875" bestFit="1" customWidth="1"/>
    <col min="11" max="11" width="12" bestFit="1" customWidth="1"/>
    <col min="12" max="13" width="18.109375" bestFit="1" customWidth="1"/>
    <col min="14" max="14" width="12" bestFit="1" customWidth="1"/>
    <col min="15" max="15" width="15.88671875" bestFit="1" customWidth="1"/>
    <col min="16" max="16" width="15.5546875" bestFit="1" customWidth="1"/>
    <col min="17" max="17" width="12" bestFit="1" customWidth="1"/>
    <col min="31" max="31" width="18.1093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5" t="s">
        <v>38</v>
      </c>
      <c r="AA1" s="1" t="s">
        <v>55</v>
      </c>
      <c r="AB1" s="1" t="s">
        <v>56</v>
      </c>
      <c r="AC1" s="1" t="s">
        <v>57</v>
      </c>
      <c r="AD1" s="1" t="s">
        <v>58</v>
      </c>
      <c r="AE1" s="5" t="s">
        <v>39</v>
      </c>
    </row>
    <row r="2" spans="1:31" x14ac:dyDescent="0.3">
      <c r="A2">
        <v>5362964</v>
      </c>
      <c r="B2" t="s">
        <v>23</v>
      </c>
      <c r="C2">
        <v>18.166666666666661</v>
      </c>
      <c r="D2">
        <v>33359.37626213672</v>
      </c>
      <c r="E2">
        <v>5686.9831493173924</v>
      </c>
      <c r="F2">
        <v>5738.6263848809776</v>
      </c>
      <c r="G2">
        <v>0</v>
      </c>
      <c r="H2">
        <v>208.40181753674611</v>
      </c>
      <c r="I2">
        <v>14924.26414354095</v>
      </c>
      <c r="J2">
        <v>9721.0169329783675</v>
      </c>
      <c r="K2">
        <v>15472.80902696508</v>
      </c>
      <c r="L2" s="2">
        <v>44927.291666666664</v>
      </c>
      <c r="M2" s="2">
        <v>44928.458333333343</v>
      </c>
      <c r="R2">
        <f>1000*C2/$K2</f>
        <v>1.1741026878187979</v>
      </c>
      <c r="S2">
        <f>1000*D2/$K2</f>
        <v>2156.0000000000005</v>
      </c>
      <c r="T2">
        <f>1000*E2/$K2</f>
        <v>367.54691015745493</v>
      </c>
      <c r="U2">
        <f>1000*F2/$K2</f>
        <v>370.88458694733743</v>
      </c>
      <c r="V2">
        <f>1000*G2/$K2</f>
        <v>0</v>
      </c>
      <c r="W2">
        <f>1000*H2/$K2</f>
        <v>13.468906465112831</v>
      </c>
      <c r="X2">
        <f>1000*I2/$K2</f>
        <v>964.54781530178786</v>
      </c>
      <c r="Y2">
        <f>1000*J2/$K2</f>
        <v>628.26451978029093</v>
      </c>
      <c r="Z2">
        <f>1000*K2/$K2</f>
        <v>1000</v>
      </c>
      <c r="AA2">
        <f>1000*N2/$K2</f>
        <v>0</v>
      </c>
      <c r="AB2">
        <f t="shared" ref="AB2:AD2" si="0">1000*O2/$K2</f>
        <v>0</v>
      </c>
      <c r="AC2">
        <f t="shared" si="0"/>
        <v>0</v>
      </c>
      <c r="AD2">
        <f t="shared" si="0"/>
        <v>0</v>
      </c>
      <c r="AE2" s="6">
        <f>DATE(YEAR(L2),MONTH(L2),DAY(L2))</f>
        <v>44927</v>
      </c>
    </row>
    <row r="3" spans="1:31" x14ac:dyDescent="0.3">
      <c r="A3" t="s">
        <v>17</v>
      </c>
      <c r="B3" t="s">
        <v>26</v>
      </c>
      <c r="C3">
        <v>3.916666666666667</v>
      </c>
      <c r="D3">
        <v>9553.7278641506455</v>
      </c>
      <c r="E3">
        <v>1175.7947666511011</v>
      </c>
      <c r="F3">
        <v>1182.0197021658339</v>
      </c>
      <c r="G3">
        <v>0</v>
      </c>
      <c r="H3">
        <v>-6.4136817729973927</v>
      </c>
      <c r="I3">
        <v>3746.2440083361739</v>
      </c>
      <c r="J3">
        <v>1983.7987022333291</v>
      </c>
      <c r="K3">
        <v>4222.0735633380173</v>
      </c>
      <c r="L3" s="2">
        <v>44928.291666666657</v>
      </c>
      <c r="M3" s="2">
        <v>44928.354166666657</v>
      </c>
      <c r="R3">
        <f t="shared" ref="R3:R66" si="1">1000*C3/$K3</f>
        <v>0.92766424078364651</v>
      </c>
      <c r="S3">
        <f t="shared" ref="S3:S66" si="2">1000*D3/$K3</f>
        <v>2262.8046908300112</v>
      </c>
      <c r="T3">
        <f t="shared" ref="T3:T66" si="3">1000*E3/$K3</f>
        <v>278.48751306964556</v>
      </c>
      <c r="U3">
        <f t="shared" ref="U3:U66" si="4">1000*F3/$K3</f>
        <v>279.96189181301622</v>
      </c>
      <c r="V3">
        <f t="shared" ref="V3:V66" si="5">1000*G3/$K3</f>
        <v>0</v>
      </c>
      <c r="W3">
        <f t="shared" ref="W3:W66" si="6">1000*H3/$K3</f>
        <v>-1.5190833785299245</v>
      </c>
      <c r="X3">
        <f t="shared" ref="X3:X66" si="7">1000*I3/$K3</f>
        <v>887.29955841279866</v>
      </c>
      <c r="Y3">
        <f t="shared" ref="Y3:Y66" si="8">1000*J3/$K3</f>
        <v>469.86360433400796</v>
      </c>
      <c r="Z3">
        <f t="shared" ref="Z3:Z66" si="9">1000*K3/$K3</f>
        <v>1000</v>
      </c>
      <c r="AA3">
        <f t="shared" ref="AA3:AA66" si="10">1000*N3/$K3</f>
        <v>0</v>
      </c>
      <c r="AB3">
        <f t="shared" ref="AB3:AB66" si="11">1000*O3/$K3</f>
        <v>0</v>
      </c>
      <c r="AC3">
        <f t="shared" ref="AC3:AC66" si="12">1000*P3/$K3</f>
        <v>0</v>
      </c>
      <c r="AD3">
        <f t="shared" ref="AD3:AD66" si="13">1000*Q3/$K3</f>
        <v>0</v>
      </c>
      <c r="AE3" s="6">
        <f t="shared" ref="AE3:AE66" si="14">DATE(YEAR(L3),MONTH(L3),DAY(L3))</f>
        <v>44928</v>
      </c>
    </row>
    <row r="4" spans="1:31" x14ac:dyDescent="0.3">
      <c r="A4">
        <v>5360983</v>
      </c>
      <c r="B4" t="s">
        <v>24</v>
      </c>
      <c r="C4">
        <v>86.25</v>
      </c>
      <c r="D4">
        <v>197922.28622098899</v>
      </c>
      <c r="E4">
        <v>-2369.546764090454</v>
      </c>
      <c r="F4">
        <v>24261.761780115499</v>
      </c>
      <c r="G4">
        <v>36934.966457954171</v>
      </c>
      <c r="H4">
        <v>28745.3890835893</v>
      </c>
      <c r="I4">
        <v>42887.636890247537</v>
      </c>
      <c r="J4">
        <v>47276.680749991632</v>
      </c>
      <c r="K4">
        <v>91800.689341831603</v>
      </c>
      <c r="L4" s="2">
        <v>44928.777777777781</v>
      </c>
      <c r="M4" s="2">
        <v>44935.614583333343</v>
      </c>
      <c r="R4">
        <f t="shared" si="1"/>
        <v>0.93953542852861482</v>
      </c>
      <c r="S4">
        <f t="shared" si="2"/>
        <v>2156.0000000000005</v>
      </c>
      <c r="T4">
        <f t="shared" si="3"/>
        <v>-25.811862428038459</v>
      </c>
      <c r="U4">
        <f t="shared" si="4"/>
        <v>264.28735943118824</v>
      </c>
      <c r="V4">
        <f t="shared" si="5"/>
        <v>402.33866131900271</v>
      </c>
      <c r="W4">
        <f t="shared" si="6"/>
        <v>313.12824870576048</v>
      </c>
      <c r="X4">
        <f t="shared" si="7"/>
        <v>467.18207888995192</v>
      </c>
      <c r="Y4">
        <f t="shared" si="8"/>
        <v>514.99265516352352</v>
      </c>
      <c r="Z4">
        <f t="shared" si="9"/>
        <v>1000.0000000000001</v>
      </c>
      <c r="AA4">
        <f t="shared" si="10"/>
        <v>0</v>
      </c>
      <c r="AB4">
        <f t="shared" si="11"/>
        <v>0</v>
      </c>
      <c r="AC4">
        <f t="shared" si="12"/>
        <v>0</v>
      </c>
      <c r="AD4">
        <f t="shared" si="13"/>
        <v>0</v>
      </c>
      <c r="AE4" s="6">
        <f t="shared" si="14"/>
        <v>44928</v>
      </c>
    </row>
    <row r="5" spans="1:31" x14ac:dyDescent="0.3">
      <c r="A5">
        <v>5363167</v>
      </c>
      <c r="B5" t="s">
        <v>25</v>
      </c>
      <c r="C5">
        <v>16</v>
      </c>
      <c r="D5">
        <v>34862.377896062193</v>
      </c>
      <c r="E5">
        <v>-23040.32603008482</v>
      </c>
      <c r="F5">
        <v>3758.878136048284</v>
      </c>
      <c r="G5">
        <v>3197.5583917222871</v>
      </c>
      <c r="H5">
        <v>3164.8137465813661</v>
      </c>
      <c r="I5">
        <v>0</v>
      </c>
      <c r="J5">
        <v>2893.8192868414599</v>
      </c>
      <c r="K5">
        <v>22608.545976694029</v>
      </c>
      <c r="L5" s="2">
        <v>44929.21875</v>
      </c>
      <c r="M5" s="2">
        <v>44929.899305555547</v>
      </c>
      <c r="R5">
        <f t="shared" si="1"/>
        <v>0.70769699283154097</v>
      </c>
      <c r="S5">
        <f t="shared" si="2"/>
        <v>1542</v>
      </c>
      <c r="T5">
        <f t="shared" si="3"/>
        <v>-1019.0980903343315</v>
      </c>
      <c r="U5">
        <f t="shared" si="4"/>
        <v>166.2591720813499</v>
      </c>
      <c r="V5">
        <f t="shared" si="5"/>
        <v>141.43140363907008</v>
      </c>
      <c r="W5">
        <f t="shared" si="6"/>
        <v>139.98307320797224</v>
      </c>
      <c r="X5">
        <f t="shared" si="7"/>
        <v>0</v>
      </c>
      <c r="Y5">
        <f t="shared" si="8"/>
        <v>127.99670044347599</v>
      </c>
      <c r="Z5">
        <f t="shared" si="9"/>
        <v>1000</v>
      </c>
      <c r="AA5">
        <f t="shared" si="10"/>
        <v>0</v>
      </c>
      <c r="AB5">
        <f t="shared" si="11"/>
        <v>0</v>
      </c>
      <c r="AC5">
        <f t="shared" si="12"/>
        <v>0</v>
      </c>
      <c r="AD5">
        <f t="shared" si="13"/>
        <v>0</v>
      </c>
      <c r="AE5" s="6">
        <f t="shared" si="14"/>
        <v>44929</v>
      </c>
    </row>
    <row r="6" spans="1:31" x14ac:dyDescent="0.3">
      <c r="A6">
        <v>5363631</v>
      </c>
      <c r="B6" t="s">
        <v>23</v>
      </c>
      <c r="C6">
        <v>16.083333333333339</v>
      </c>
      <c r="D6">
        <v>38642.225388876061</v>
      </c>
      <c r="E6">
        <v>4842.540401439891</v>
      </c>
      <c r="F6">
        <v>4826.0308211963111</v>
      </c>
      <c r="G6">
        <v>7205.074074232909</v>
      </c>
      <c r="H6">
        <v>7306.7249561828976</v>
      </c>
      <c r="I6">
        <v>0</v>
      </c>
      <c r="J6">
        <v>3165.9762570502971</v>
      </c>
      <c r="K6">
        <v>17923.110106157721</v>
      </c>
      <c r="L6" s="2">
        <v>44930.28125</v>
      </c>
      <c r="M6" s="2">
        <v>44930.951388888891</v>
      </c>
      <c r="R6">
        <f t="shared" si="1"/>
        <v>0.89735170057386959</v>
      </c>
      <c r="S6">
        <f t="shared" si="2"/>
        <v>2156.0000000000005</v>
      </c>
      <c r="T6">
        <f t="shared" si="3"/>
        <v>270.18415736765309</v>
      </c>
      <c r="U6">
        <f t="shared" si="4"/>
        <v>269.26302369465805</v>
      </c>
      <c r="V6">
        <f t="shared" si="5"/>
        <v>401.99909678385063</v>
      </c>
      <c r="W6">
        <f t="shared" si="6"/>
        <v>407.67059471852355</v>
      </c>
      <c r="X6">
        <f t="shared" si="7"/>
        <v>0</v>
      </c>
      <c r="Y6">
        <f t="shared" si="8"/>
        <v>176.64212507195302</v>
      </c>
      <c r="Z6">
        <f t="shared" si="9"/>
        <v>1000</v>
      </c>
      <c r="AA6">
        <f t="shared" si="10"/>
        <v>0</v>
      </c>
      <c r="AB6">
        <f t="shared" si="11"/>
        <v>0</v>
      </c>
      <c r="AC6">
        <f t="shared" si="12"/>
        <v>0</v>
      </c>
      <c r="AD6">
        <f t="shared" si="13"/>
        <v>0</v>
      </c>
      <c r="AE6" s="6">
        <f t="shared" si="14"/>
        <v>44930</v>
      </c>
    </row>
    <row r="7" spans="1:31" x14ac:dyDescent="0.3">
      <c r="A7">
        <v>5363371</v>
      </c>
      <c r="B7" t="s">
        <v>27</v>
      </c>
      <c r="C7">
        <v>8.0833333333333339</v>
      </c>
      <c r="D7">
        <v>18128.2985111491</v>
      </c>
      <c r="E7">
        <v>1931.972125967171</v>
      </c>
      <c r="F7">
        <v>1946.5791569488731</v>
      </c>
      <c r="G7">
        <v>1600.2633981056319</v>
      </c>
      <c r="H7">
        <v>1635.7253829008509</v>
      </c>
      <c r="I7">
        <v>3957.335048134943</v>
      </c>
      <c r="J7">
        <v>2990.9791892708781</v>
      </c>
      <c r="K7">
        <v>8014.2787405610507</v>
      </c>
      <c r="L7" s="2">
        <v>44931.340277777781</v>
      </c>
      <c r="M7" s="2">
        <v>44931.677083333343</v>
      </c>
      <c r="R7">
        <f t="shared" si="1"/>
        <v>1.0086164450985204</v>
      </c>
      <c r="S7">
        <f t="shared" si="2"/>
        <v>2262.0000000000005</v>
      </c>
      <c r="T7">
        <f t="shared" si="3"/>
        <v>241.06625043988933</v>
      </c>
      <c r="U7">
        <f t="shared" si="4"/>
        <v>242.88887621253363</v>
      </c>
      <c r="V7">
        <f t="shared" si="5"/>
        <v>199.67653358580381</v>
      </c>
      <c r="W7">
        <f t="shared" si="6"/>
        <v>204.101384023778</v>
      </c>
      <c r="X7">
        <f t="shared" si="7"/>
        <v>493.78555154395644</v>
      </c>
      <c r="Y7">
        <f t="shared" si="8"/>
        <v>373.2062841953873</v>
      </c>
      <c r="Z7">
        <f t="shared" si="9"/>
        <v>1000</v>
      </c>
      <c r="AA7">
        <f t="shared" si="10"/>
        <v>0</v>
      </c>
      <c r="AB7">
        <f t="shared" si="11"/>
        <v>0</v>
      </c>
      <c r="AC7">
        <f t="shared" si="12"/>
        <v>0</v>
      </c>
      <c r="AD7">
        <f t="shared" si="13"/>
        <v>0</v>
      </c>
      <c r="AE7" s="6">
        <f t="shared" si="14"/>
        <v>44931</v>
      </c>
    </row>
    <row r="8" spans="1:31" x14ac:dyDescent="0.3">
      <c r="A8">
        <v>5362969</v>
      </c>
      <c r="B8" t="s">
        <v>26</v>
      </c>
      <c r="C8">
        <v>12.08333333333333</v>
      </c>
      <c r="D8">
        <v>27260.405871604009</v>
      </c>
      <c r="E8">
        <v>3193.6254782888868</v>
      </c>
      <c r="F8">
        <v>3230.8915963878549</v>
      </c>
      <c r="G8">
        <v>248.86535019476179</v>
      </c>
      <c r="H8">
        <v>205.59986636833119</v>
      </c>
      <c r="I8">
        <v>12276.692293096299</v>
      </c>
      <c r="J8">
        <v>6156.8543640883217</v>
      </c>
      <c r="K8">
        <v>12051.46148169938</v>
      </c>
      <c r="L8" s="2">
        <v>44931.673611111109</v>
      </c>
      <c r="M8" s="2">
        <v>44932.177083333343</v>
      </c>
      <c r="R8">
        <f t="shared" si="1"/>
        <v>1.0026446461852241</v>
      </c>
      <c r="S8">
        <f t="shared" si="2"/>
        <v>2262.0000000000009</v>
      </c>
      <c r="T8">
        <f t="shared" si="3"/>
        <v>264.99901967396511</v>
      </c>
      <c r="U8">
        <f t="shared" si="4"/>
        <v>268.09126853984401</v>
      </c>
      <c r="V8">
        <f t="shared" si="5"/>
        <v>20.650221599485974</v>
      </c>
      <c r="W8">
        <f t="shared" si="6"/>
        <v>17.060160436187985</v>
      </c>
      <c r="X8">
        <f t="shared" si="7"/>
        <v>1018.6890869409441</v>
      </c>
      <c r="Y8">
        <f t="shared" si="8"/>
        <v>510.8803088685757</v>
      </c>
      <c r="Z8">
        <f t="shared" si="9"/>
        <v>999.99999999999989</v>
      </c>
      <c r="AA8">
        <f t="shared" si="10"/>
        <v>0</v>
      </c>
      <c r="AB8">
        <f t="shared" si="11"/>
        <v>0</v>
      </c>
      <c r="AC8">
        <f t="shared" si="12"/>
        <v>0</v>
      </c>
      <c r="AD8">
        <f t="shared" si="13"/>
        <v>0</v>
      </c>
      <c r="AE8" s="6">
        <f t="shared" si="14"/>
        <v>44931</v>
      </c>
    </row>
    <row r="9" spans="1:31" x14ac:dyDescent="0.3">
      <c r="A9">
        <v>5363536</v>
      </c>
      <c r="B9" t="s">
        <v>23</v>
      </c>
      <c r="C9">
        <v>18.5</v>
      </c>
      <c r="D9">
        <v>38719.153168617508</v>
      </c>
      <c r="E9">
        <v>4179.0721213286379</v>
      </c>
      <c r="F9">
        <v>4050.508391234152</v>
      </c>
      <c r="G9">
        <v>0</v>
      </c>
      <c r="H9">
        <v>-19200.355067369881</v>
      </c>
      <c r="I9">
        <v>14005.48475176869</v>
      </c>
      <c r="J9">
        <v>12152.745281719081</v>
      </c>
      <c r="K9">
        <v>17958.790894535021</v>
      </c>
      <c r="L9" s="2">
        <v>44932.527777777781</v>
      </c>
      <c r="M9" s="2">
        <v>44933.295138888891</v>
      </c>
      <c r="R9">
        <f t="shared" si="1"/>
        <v>1.0301361661062423</v>
      </c>
      <c r="S9">
        <f t="shared" si="2"/>
        <v>2156.0000000000005</v>
      </c>
      <c r="T9">
        <f t="shared" si="3"/>
        <v>232.70342340253859</v>
      </c>
      <c r="U9">
        <f t="shared" si="4"/>
        <v>225.54460459065473</v>
      </c>
      <c r="V9">
        <f t="shared" si="5"/>
        <v>0</v>
      </c>
      <c r="W9">
        <f t="shared" si="6"/>
        <v>-1069.1340625394039</v>
      </c>
      <c r="X9">
        <f t="shared" si="7"/>
        <v>779.86791171061805</v>
      </c>
      <c r="Y9">
        <f t="shared" si="8"/>
        <v>676.70175309058482</v>
      </c>
      <c r="Z9">
        <f t="shared" si="9"/>
        <v>1000</v>
      </c>
      <c r="AA9">
        <f t="shared" si="10"/>
        <v>0</v>
      </c>
      <c r="AB9">
        <f t="shared" si="11"/>
        <v>0</v>
      </c>
      <c r="AC9">
        <f t="shared" si="12"/>
        <v>0</v>
      </c>
      <c r="AD9">
        <f t="shared" si="13"/>
        <v>0</v>
      </c>
      <c r="AE9" s="6">
        <f t="shared" si="14"/>
        <v>44932</v>
      </c>
    </row>
    <row r="10" spans="1:31" x14ac:dyDescent="0.3">
      <c r="A10" t="s">
        <v>19</v>
      </c>
      <c r="B10" t="s">
        <v>29</v>
      </c>
      <c r="C10">
        <v>6.25</v>
      </c>
      <c r="D10">
        <v>11580.820865753871</v>
      </c>
      <c r="E10">
        <v>4302.4935553824052</v>
      </c>
      <c r="F10">
        <v>4346.7673429388542</v>
      </c>
      <c r="G10">
        <v>7429.0408486976448</v>
      </c>
      <c r="H10">
        <v>7321.7111951390734</v>
      </c>
      <c r="I10">
        <v>0</v>
      </c>
      <c r="J10">
        <v>4287.8734351709199</v>
      </c>
      <c r="K10">
        <v>4998.1963166827218</v>
      </c>
      <c r="L10" s="2">
        <v>44935.291666666657</v>
      </c>
      <c r="M10" s="2">
        <v>44935.552083333343</v>
      </c>
      <c r="R10">
        <f t="shared" si="1"/>
        <v>1.2504510835516949</v>
      </c>
      <c r="S10">
        <f t="shared" si="2"/>
        <v>2317.0000000000009</v>
      </c>
      <c r="T10">
        <f t="shared" si="3"/>
        <v>860.80923652833815</v>
      </c>
      <c r="U10">
        <f t="shared" si="4"/>
        <v>869.66718942800196</v>
      </c>
      <c r="V10">
        <f t="shared" si="5"/>
        <v>1486.3443486406036</v>
      </c>
      <c r="W10">
        <f t="shared" si="6"/>
        <v>1464.8706715862768</v>
      </c>
      <c r="X10">
        <f t="shared" si="7"/>
        <v>0</v>
      </c>
      <c r="Y10">
        <f t="shared" si="8"/>
        <v>857.88415730272072</v>
      </c>
      <c r="Z10">
        <f t="shared" si="9"/>
        <v>1000</v>
      </c>
      <c r="AA10">
        <f t="shared" si="10"/>
        <v>0</v>
      </c>
      <c r="AB10">
        <f t="shared" si="11"/>
        <v>0</v>
      </c>
      <c r="AC10">
        <f t="shared" si="12"/>
        <v>0</v>
      </c>
      <c r="AD10">
        <f t="shared" si="13"/>
        <v>0</v>
      </c>
      <c r="AE10" s="6">
        <f t="shared" si="14"/>
        <v>44935</v>
      </c>
    </row>
    <row r="11" spans="1:31" x14ac:dyDescent="0.3">
      <c r="A11" t="s">
        <v>18</v>
      </c>
      <c r="B11" t="s">
        <v>26</v>
      </c>
      <c r="C11">
        <v>0.33333333333333331</v>
      </c>
      <c r="D11">
        <v>864.70757248228813</v>
      </c>
      <c r="E11">
        <v>117.8001332167327</v>
      </c>
      <c r="F11">
        <v>107.71129653127031</v>
      </c>
      <c r="G11">
        <v>446.91304421317778</v>
      </c>
      <c r="H11">
        <v>401.37622324187561</v>
      </c>
      <c r="I11">
        <v>0</v>
      </c>
      <c r="J11">
        <v>332.45979066822872</v>
      </c>
      <c r="K11">
        <v>382.27567306909287</v>
      </c>
      <c r="L11" s="2">
        <v>44935.614583333343</v>
      </c>
      <c r="M11" s="2">
        <v>44935.628472222219</v>
      </c>
      <c r="R11">
        <f t="shared" si="1"/>
        <v>0.87197108478594276</v>
      </c>
      <c r="S11">
        <f t="shared" si="2"/>
        <v>2262</v>
      </c>
      <c r="T11">
        <f t="shared" si="3"/>
        <v>308.15492984676899</v>
      </c>
      <c r="U11">
        <f t="shared" si="4"/>
        <v>281.76340824021639</v>
      </c>
      <c r="V11">
        <f t="shared" si="5"/>
        <v>1169.0857559026581</v>
      </c>
      <c r="W11">
        <f t="shared" si="6"/>
        <v>1049.965382362509</v>
      </c>
      <c r="X11">
        <f t="shared" si="7"/>
        <v>0</v>
      </c>
      <c r="Y11">
        <f t="shared" si="8"/>
        <v>869.68597295004849</v>
      </c>
      <c r="Z11">
        <f t="shared" si="9"/>
        <v>999.99999999999989</v>
      </c>
      <c r="AA11">
        <f t="shared" si="10"/>
        <v>0</v>
      </c>
      <c r="AB11">
        <f t="shared" si="11"/>
        <v>0</v>
      </c>
      <c r="AC11">
        <f t="shared" si="12"/>
        <v>0</v>
      </c>
      <c r="AD11">
        <f t="shared" si="13"/>
        <v>0</v>
      </c>
      <c r="AE11" s="6">
        <f t="shared" si="14"/>
        <v>44935</v>
      </c>
    </row>
    <row r="12" spans="1:31" x14ac:dyDescent="0.3">
      <c r="A12">
        <v>5363846</v>
      </c>
      <c r="B12" t="s">
        <v>28</v>
      </c>
      <c r="C12">
        <v>3.166666666666667</v>
      </c>
      <c r="D12">
        <v>3827.264057521576</v>
      </c>
      <c r="E12">
        <v>3173.0307930298309</v>
      </c>
      <c r="F12">
        <v>3066.558164700411</v>
      </c>
      <c r="G12">
        <v>3210.7299507915109</v>
      </c>
      <c r="H12">
        <v>3480.2091481650841</v>
      </c>
      <c r="I12">
        <v>0</v>
      </c>
      <c r="J12">
        <v>812.29811230159351</v>
      </c>
      <c r="K12">
        <v>1651.8187559437099</v>
      </c>
      <c r="L12" s="2">
        <v>44935.631944444453</v>
      </c>
      <c r="M12" s="2">
        <v>44935.763888888891</v>
      </c>
      <c r="R12">
        <f t="shared" si="1"/>
        <v>1.9170787686434161</v>
      </c>
      <c r="S12">
        <f t="shared" si="2"/>
        <v>2317</v>
      </c>
      <c r="T12">
        <f t="shared" si="3"/>
        <v>1920.9315680745062</v>
      </c>
      <c r="U12">
        <f t="shared" si="4"/>
        <v>1856.4737527444033</v>
      </c>
      <c r="V12">
        <f t="shared" si="5"/>
        <v>1943.7543854241869</v>
      </c>
      <c r="W12">
        <f t="shared" si="6"/>
        <v>2106.8952847534329</v>
      </c>
      <c r="X12">
        <f t="shared" si="7"/>
        <v>0</v>
      </c>
      <c r="Y12">
        <f t="shared" si="8"/>
        <v>491.75983102184534</v>
      </c>
      <c r="Z12">
        <f t="shared" si="9"/>
        <v>1000</v>
      </c>
      <c r="AA12">
        <f t="shared" si="10"/>
        <v>0</v>
      </c>
      <c r="AB12">
        <f t="shared" si="11"/>
        <v>0</v>
      </c>
      <c r="AC12">
        <f t="shared" si="12"/>
        <v>0</v>
      </c>
      <c r="AD12">
        <f t="shared" si="13"/>
        <v>0</v>
      </c>
      <c r="AE12" s="6">
        <f t="shared" si="14"/>
        <v>44935</v>
      </c>
    </row>
    <row r="13" spans="1:31" x14ac:dyDescent="0.3">
      <c r="A13">
        <v>5365846</v>
      </c>
      <c r="B13" t="s">
        <v>30</v>
      </c>
      <c r="C13">
        <v>89.666666666666657</v>
      </c>
      <c r="D13">
        <v>0</v>
      </c>
      <c r="E13">
        <v>0</v>
      </c>
      <c r="F13">
        <v>46877.77728946117</v>
      </c>
      <c r="G13">
        <v>104411.9260428415</v>
      </c>
      <c r="H13">
        <v>0</v>
      </c>
      <c r="I13">
        <v>0</v>
      </c>
      <c r="J13">
        <v>93795.922433709318</v>
      </c>
      <c r="K13">
        <v>72565.679650821636</v>
      </c>
      <c r="L13" s="2">
        <v>44986.291666666657</v>
      </c>
      <c r="M13" s="2">
        <v>44991.076388888891</v>
      </c>
      <c r="N13">
        <v>164869.22416666671</v>
      </c>
      <c r="O13">
        <v>40545.690485000006</v>
      </c>
      <c r="P13">
        <v>124323.5336816667</v>
      </c>
      <c r="R13">
        <f t="shared" si="1"/>
        <v>1.2356621904202256</v>
      </c>
      <c r="S13">
        <f t="shared" si="2"/>
        <v>0</v>
      </c>
      <c r="T13">
        <f t="shared" si="3"/>
        <v>0</v>
      </c>
      <c r="U13">
        <f t="shared" si="4"/>
        <v>646.00479889435439</v>
      </c>
      <c r="V13">
        <f t="shared" si="5"/>
        <v>1438.8609952426632</v>
      </c>
      <c r="W13">
        <f t="shared" si="6"/>
        <v>0</v>
      </c>
      <c r="X13">
        <f t="shared" si="7"/>
        <v>0</v>
      </c>
      <c r="Y13">
        <f t="shared" si="8"/>
        <v>1292.5658918244185</v>
      </c>
      <c r="Z13">
        <f t="shared" si="9"/>
        <v>1000.0000000000001</v>
      </c>
      <c r="AA13">
        <f t="shared" si="10"/>
        <v>2271.9999999999995</v>
      </c>
      <c r="AB13">
        <f t="shared" si="11"/>
        <v>558.74472174865002</v>
      </c>
      <c r="AC13">
        <f t="shared" si="12"/>
        <v>1713.2552782513494</v>
      </c>
      <c r="AD13">
        <f t="shared" si="13"/>
        <v>0</v>
      </c>
      <c r="AE13" s="6">
        <f t="shared" si="14"/>
        <v>44986</v>
      </c>
    </row>
    <row r="14" spans="1:31" x14ac:dyDescent="0.3">
      <c r="A14">
        <v>5367586</v>
      </c>
      <c r="B14" t="s">
        <v>24</v>
      </c>
      <c r="C14">
        <v>72.666666666666671</v>
      </c>
      <c r="D14">
        <v>133412.4802255579</v>
      </c>
      <c r="E14">
        <v>-36385.569752966752</v>
      </c>
      <c r="F14">
        <v>19206.19240839026</v>
      </c>
      <c r="G14">
        <v>5657.2504900916292</v>
      </c>
      <c r="H14">
        <v>-22465.44016114304</v>
      </c>
      <c r="I14">
        <v>33763.544686585323</v>
      </c>
      <c r="J14">
        <v>18437.33756058817</v>
      </c>
      <c r="K14">
        <v>61879.629047104791</v>
      </c>
      <c r="L14" s="2">
        <v>44992.864583333343</v>
      </c>
      <c r="M14" s="2">
        <v>45005.829861111109</v>
      </c>
      <c r="R14">
        <f t="shared" si="1"/>
        <v>1.1743229199281469</v>
      </c>
      <c r="S14">
        <f t="shared" si="2"/>
        <v>2155.9999999999995</v>
      </c>
      <c r="T14">
        <f t="shared" si="3"/>
        <v>-588.0056217736676</v>
      </c>
      <c r="U14">
        <f t="shared" si="4"/>
        <v>310.37988921636685</v>
      </c>
      <c r="V14">
        <f t="shared" si="5"/>
        <v>91.423471297559743</v>
      </c>
      <c r="W14">
        <f t="shared" si="6"/>
        <v>-363.05065991978745</v>
      </c>
      <c r="X14">
        <f t="shared" si="7"/>
        <v>545.63262913039466</v>
      </c>
      <c r="Y14">
        <f t="shared" si="8"/>
        <v>297.95488183280912</v>
      </c>
      <c r="Z14">
        <f t="shared" si="9"/>
        <v>1000</v>
      </c>
      <c r="AA14">
        <f t="shared" si="10"/>
        <v>0</v>
      </c>
      <c r="AB14">
        <f t="shared" si="11"/>
        <v>0</v>
      </c>
      <c r="AC14">
        <f t="shared" si="12"/>
        <v>0</v>
      </c>
      <c r="AD14">
        <f t="shared" si="13"/>
        <v>0</v>
      </c>
      <c r="AE14" s="6">
        <f t="shared" si="14"/>
        <v>44992</v>
      </c>
    </row>
    <row r="15" spans="1:31" x14ac:dyDescent="0.3">
      <c r="A15" t="s">
        <v>20</v>
      </c>
      <c r="B15" t="s">
        <v>26</v>
      </c>
      <c r="C15">
        <v>11.91666666666667</v>
      </c>
      <c r="D15">
        <v>27068.185140948299</v>
      </c>
      <c r="E15">
        <v>2503.6401985360039</v>
      </c>
      <c r="F15">
        <v>2565.0028308972178</v>
      </c>
      <c r="G15">
        <v>3116.6919769403521</v>
      </c>
      <c r="H15">
        <v>3079.4962928950649</v>
      </c>
      <c r="I15">
        <v>4325.3743211226993</v>
      </c>
      <c r="J15">
        <v>1879.3826644641661</v>
      </c>
      <c r="K15">
        <v>11994.47514607361</v>
      </c>
      <c r="L15" s="2">
        <v>44994.708333333343</v>
      </c>
      <c r="M15" s="2">
        <v>45154.711805555547</v>
      </c>
      <c r="R15">
        <f t="shared" si="1"/>
        <v>0.99351297339322009</v>
      </c>
      <c r="S15">
        <f t="shared" si="2"/>
        <v>2256.7210996146896</v>
      </c>
      <c r="T15">
        <f t="shared" si="3"/>
        <v>208.73278472343748</v>
      </c>
      <c r="U15">
        <f t="shared" si="4"/>
        <v>213.84869280727727</v>
      </c>
      <c r="V15">
        <f t="shared" si="5"/>
        <v>259.84396474076658</v>
      </c>
      <c r="W15">
        <f t="shared" si="6"/>
        <v>256.74289665797824</v>
      </c>
      <c r="X15">
        <f t="shared" si="7"/>
        <v>360.61388834830427</v>
      </c>
      <c r="Y15">
        <f t="shared" si="8"/>
        <v>156.68736160409503</v>
      </c>
      <c r="Z15">
        <f t="shared" si="9"/>
        <v>1000</v>
      </c>
      <c r="AA15">
        <f t="shared" si="10"/>
        <v>0</v>
      </c>
      <c r="AB15">
        <f t="shared" si="11"/>
        <v>0</v>
      </c>
      <c r="AC15">
        <f t="shared" si="12"/>
        <v>0</v>
      </c>
      <c r="AD15">
        <f t="shared" si="13"/>
        <v>0</v>
      </c>
      <c r="AE15" s="6">
        <f t="shared" si="14"/>
        <v>44994</v>
      </c>
    </row>
    <row r="16" spans="1:31" x14ac:dyDescent="0.3">
      <c r="A16">
        <v>5367591</v>
      </c>
      <c r="B16" t="s">
        <v>28</v>
      </c>
      <c r="C16">
        <v>6.75</v>
      </c>
      <c r="D16">
        <v>11934.63461561067</v>
      </c>
      <c r="E16">
        <v>1546.051736600127</v>
      </c>
      <c r="F16">
        <v>1515.895303206953</v>
      </c>
      <c r="G16">
        <v>3927.058957111672</v>
      </c>
      <c r="H16">
        <v>3904.5720480898331</v>
      </c>
      <c r="I16">
        <v>0</v>
      </c>
      <c r="J16">
        <v>1624.1630360125371</v>
      </c>
      <c r="K16">
        <v>5150.8997046226468</v>
      </c>
      <c r="L16" s="2">
        <v>44994.819444444453</v>
      </c>
      <c r="M16" s="2">
        <v>44995.100694444453</v>
      </c>
      <c r="R16">
        <f t="shared" si="1"/>
        <v>1.3104506760134058</v>
      </c>
      <c r="S16">
        <f t="shared" si="2"/>
        <v>2316.9999999999995</v>
      </c>
      <c r="T16">
        <f t="shared" si="3"/>
        <v>300.15178420434614</v>
      </c>
      <c r="U16">
        <f t="shared" si="4"/>
        <v>294.29718886712567</v>
      </c>
      <c r="V16">
        <f t="shared" si="5"/>
        <v>762.40252816170243</v>
      </c>
      <c r="W16">
        <f t="shared" si="6"/>
        <v>758.036900735166</v>
      </c>
      <c r="X16">
        <f t="shared" si="7"/>
        <v>0</v>
      </c>
      <c r="Y16">
        <f t="shared" si="8"/>
        <v>315.31637755535036</v>
      </c>
      <c r="Z16">
        <f t="shared" si="9"/>
        <v>1000</v>
      </c>
      <c r="AA16">
        <f t="shared" si="10"/>
        <v>0</v>
      </c>
      <c r="AB16">
        <f t="shared" si="11"/>
        <v>0</v>
      </c>
      <c r="AC16">
        <f t="shared" si="12"/>
        <v>0</v>
      </c>
      <c r="AD16">
        <f t="shared" si="13"/>
        <v>0</v>
      </c>
      <c r="AE16" s="6">
        <f t="shared" si="14"/>
        <v>44994</v>
      </c>
    </row>
    <row r="17" spans="1:31" x14ac:dyDescent="0.3">
      <c r="A17">
        <v>5367594</v>
      </c>
      <c r="B17" t="s">
        <v>29</v>
      </c>
      <c r="C17">
        <v>62.416666666666671</v>
      </c>
      <c r="D17">
        <v>99873.533578501854</v>
      </c>
      <c r="E17">
        <v>12699.39163984152</v>
      </c>
      <c r="F17">
        <v>12741.504080125909</v>
      </c>
      <c r="G17">
        <v>20091.144860413569</v>
      </c>
      <c r="H17">
        <v>20072.560140456451</v>
      </c>
      <c r="I17">
        <v>0</v>
      </c>
      <c r="J17">
        <v>11194.9578536183</v>
      </c>
      <c r="K17">
        <v>43104.675692059493</v>
      </c>
      <c r="L17" s="2">
        <v>44995.100694444453</v>
      </c>
      <c r="M17" s="2">
        <v>44998.201388888891</v>
      </c>
      <c r="R17">
        <f t="shared" si="1"/>
        <v>1.4480254326136766</v>
      </c>
      <c r="S17">
        <f t="shared" si="2"/>
        <v>2317</v>
      </c>
      <c r="T17">
        <f t="shared" si="3"/>
        <v>294.61749650005913</v>
      </c>
      <c r="U17">
        <f t="shared" si="4"/>
        <v>295.59447729409732</v>
      </c>
      <c r="V17">
        <f t="shared" si="5"/>
        <v>466.10128803531751</v>
      </c>
      <c r="W17">
        <f t="shared" si="6"/>
        <v>465.67013480985565</v>
      </c>
      <c r="X17">
        <f t="shared" si="7"/>
        <v>0</v>
      </c>
      <c r="Y17">
        <f t="shared" si="8"/>
        <v>259.71562652727658</v>
      </c>
      <c r="Z17">
        <f t="shared" si="9"/>
        <v>1000</v>
      </c>
      <c r="AA17">
        <f t="shared" si="10"/>
        <v>0</v>
      </c>
      <c r="AB17">
        <f t="shared" si="11"/>
        <v>0</v>
      </c>
      <c r="AC17">
        <f t="shared" si="12"/>
        <v>0</v>
      </c>
      <c r="AD17">
        <f t="shared" si="13"/>
        <v>0</v>
      </c>
      <c r="AE17" s="6">
        <f t="shared" si="14"/>
        <v>44995</v>
      </c>
    </row>
    <row r="18" spans="1:31" x14ac:dyDescent="0.3">
      <c r="A18">
        <v>5368007</v>
      </c>
      <c r="B18" t="s">
        <v>23</v>
      </c>
      <c r="C18">
        <v>115</v>
      </c>
      <c r="D18">
        <v>237167.64027830589</v>
      </c>
      <c r="E18">
        <v>6631.2611634661171</v>
      </c>
      <c r="F18">
        <v>33571.470567025972</v>
      </c>
      <c r="G18">
        <v>3830.5797870282659</v>
      </c>
      <c r="H18">
        <v>3911.233676458914</v>
      </c>
      <c r="I18">
        <v>81394.774747881282</v>
      </c>
      <c r="J18">
        <v>45509.354005218069</v>
      </c>
      <c r="K18">
        <v>110003.54372834229</v>
      </c>
      <c r="L18" s="2">
        <v>44998.340277777781</v>
      </c>
      <c r="M18" s="2">
        <v>45008.659722222219</v>
      </c>
      <c r="R18">
        <f t="shared" si="1"/>
        <v>1.0454208664767803</v>
      </c>
      <c r="S18">
        <f t="shared" si="2"/>
        <v>2155.9999999999991</v>
      </c>
      <c r="T18">
        <f t="shared" si="3"/>
        <v>60.282250359518009</v>
      </c>
      <c r="U18">
        <f t="shared" si="4"/>
        <v>305.1853552093915</v>
      </c>
      <c r="V18">
        <f t="shared" si="5"/>
        <v>34.822330783161135</v>
      </c>
      <c r="W18">
        <f t="shared" si="6"/>
        <v>35.555524339450791</v>
      </c>
      <c r="X18">
        <f t="shared" si="7"/>
        <v>739.92866037923829</v>
      </c>
      <c r="Y18">
        <f t="shared" si="8"/>
        <v>413.70807214724874</v>
      </c>
      <c r="Z18">
        <f t="shared" si="9"/>
        <v>1000</v>
      </c>
      <c r="AA18">
        <f t="shared" si="10"/>
        <v>0</v>
      </c>
      <c r="AB18">
        <f t="shared" si="11"/>
        <v>0</v>
      </c>
      <c r="AC18">
        <f t="shared" si="12"/>
        <v>0</v>
      </c>
      <c r="AD18">
        <f t="shared" si="13"/>
        <v>0</v>
      </c>
      <c r="AE18" s="6">
        <f t="shared" si="14"/>
        <v>44998</v>
      </c>
    </row>
    <row r="19" spans="1:31" x14ac:dyDescent="0.3">
      <c r="A19" t="s">
        <v>21</v>
      </c>
      <c r="B19" t="s">
        <v>26</v>
      </c>
      <c r="C19">
        <v>1.083333333333333</v>
      </c>
      <c r="D19">
        <v>1032.1152902027379</v>
      </c>
      <c r="E19">
        <v>309.4243495033524</v>
      </c>
      <c r="F19">
        <v>322.45538176728752</v>
      </c>
      <c r="G19">
        <v>0</v>
      </c>
      <c r="H19">
        <v>-4.5696663000995841</v>
      </c>
      <c r="I19">
        <v>170.95740440098029</v>
      </c>
      <c r="J19">
        <v>88.201606088485093</v>
      </c>
      <c r="K19">
        <v>456.28439001005222</v>
      </c>
      <c r="L19" s="2">
        <v>45001.291666666657</v>
      </c>
      <c r="M19" s="2">
        <v>45001.336805555547</v>
      </c>
      <c r="R19">
        <f t="shared" si="1"/>
        <v>2.3742502637652509</v>
      </c>
      <c r="S19">
        <f t="shared" si="2"/>
        <v>2261.9999999999995</v>
      </c>
      <c r="T19">
        <f t="shared" si="3"/>
        <v>678.13924008343918</v>
      </c>
      <c r="U19">
        <f t="shared" si="4"/>
        <v>706.6982540432374</v>
      </c>
      <c r="V19">
        <f t="shared" si="5"/>
        <v>0</v>
      </c>
      <c r="W19">
        <f t="shared" si="6"/>
        <v>-10.014952078459032</v>
      </c>
      <c r="X19">
        <f t="shared" si="7"/>
        <v>374.67291922306174</v>
      </c>
      <c r="Y19">
        <f t="shared" si="8"/>
        <v>193.30401832625034</v>
      </c>
      <c r="Z19">
        <f t="shared" si="9"/>
        <v>1000</v>
      </c>
      <c r="AA19">
        <f t="shared" si="10"/>
        <v>0</v>
      </c>
      <c r="AB19">
        <f t="shared" si="11"/>
        <v>0</v>
      </c>
      <c r="AC19">
        <f t="shared" si="12"/>
        <v>0</v>
      </c>
      <c r="AD19">
        <f t="shared" si="13"/>
        <v>0</v>
      </c>
      <c r="AE19" s="6">
        <f t="shared" si="14"/>
        <v>45001</v>
      </c>
    </row>
    <row r="20" spans="1:31" x14ac:dyDescent="0.3">
      <c r="A20">
        <v>5368630</v>
      </c>
      <c r="B20" t="s">
        <v>27</v>
      </c>
      <c r="C20">
        <v>15.58333333333333</v>
      </c>
      <c r="D20">
        <v>33064.696030342609</v>
      </c>
      <c r="E20">
        <v>5156.6372512776434</v>
      </c>
      <c r="F20">
        <v>5174.8734654674436</v>
      </c>
      <c r="G20">
        <v>0.32906249999999998</v>
      </c>
      <c r="H20">
        <v>70.610557126400408</v>
      </c>
      <c r="I20">
        <v>10441.09396891866</v>
      </c>
      <c r="J20">
        <v>6830.7968869599481</v>
      </c>
      <c r="K20">
        <v>14617.4606677023</v>
      </c>
      <c r="L20" s="2">
        <v>45001.9375</v>
      </c>
      <c r="M20" s="2">
        <v>45002.697916666657</v>
      </c>
      <c r="R20">
        <f t="shared" si="1"/>
        <v>1.0660766385891602</v>
      </c>
      <c r="S20">
        <f t="shared" si="2"/>
        <v>2262.0000000000005</v>
      </c>
      <c r="T20">
        <f t="shared" si="3"/>
        <v>352.7724389689231</v>
      </c>
      <c r="U20">
        <f t="shared" si="4"/>
        <v>354.02000272875546</v>
      </c>
      <c r="V20">
        <f t="shared" si="5"/>
        <v>2.2511604955235014E-2</v>
      </c>
      <c r="W20">
        <f t="shared" si="6"/>
        <v>4.8305624849339575</v>
      </c>
      <c r="X20">
        <f t="shared" si="7"/>
        <v>714.28917828310341</v>
      </c>
      <c r="Y20">
        <f t="shared" si="8"/>
        <v>467.30393481083826</v>
      </c>
      <c r="Z20">
        <f t="shared" si="9"/>
        <v>1000</v>
      </c>
      <c r="AA20">
        <f t="shared" si="10"/>
        <v>0</v>
      </c>
      <c r="AB20">
        <f t="shared" si="11"/>
        <v>0</v>
      </c>
      <c r="AC20">
        <f t="shared" si="12"/>
        <v>0</v>
      </c>
      <c r="AD20">
        <f t="shared" si="13"/>
        <v>0</v>
      </c>
      <c r="AE20" s="6">
        <f t="shared" si="14"/>
        <v>45001</v>
      </c>
    </row>
    <row r="21" spans="1:31" x14ac:dyDescent="0.3">
      <c r="A21">
        <v>5368633</v>
      </c>
      <c r="B21" t="s">
        <v>26</v>
      </c>
      <c r="C21">
        <v>8</v>
      </c>
      <c r="D21">
        <v>19436.094524278269</v>
      </c>
      <c r="E21">
        <v>2637.5295725408141</v>
      </c>
      <c r="F21">
        <v>2633.334373627963</v>
      </c>
      <c r="G21">
        <v>0</v>
      </c>
      <c r="H21">
        <v>0.94437379536316257</v>
      </c>
      <c r="I21">
        <v>6559.1340946278397</v>
      </c>
      <c r="J21">
        <v>3944.4173921533879</v>
      </c>
      <c r="K21">
        <v>8592.437897558917</v>
      </c>
      <c r="L21" s="2">
        <v>45002.6875</v>
      </c>
      <c r="M21" s="2">
        <v>45003.020833333343</v>
      </c>
      <c r="R21">
        <f t="shared" si="1"/>
        <v>0.93105124475473644</v>
      </c>
      <c r="S21">
        <f t="shared" si="2"/>
        <v>2261.9999999999995</v>
      </c>
      <c r="T21">
        <f t="shared" si="3"/>
        <v>306.95939894894411</v>
      </c>
      <c r="U21">
        <f t="shared" si="4"/>
        <v>306.47115580271861</v>
      </c>
      <c r="V21">
        <f t="shared" si="5"/>
        <v>0</v>
      </c>
      <c r="W21">
        <f t="shared" si="6"/>
        <v>0.1099075497108284</v>
      </c>
      <c r="X21">
        <f t="shared" si="7"/>
        <v>763.36124541456013</v>
      </c>
      <c r="Y21">
        <f t="shared" si="8"/>
        <v>459.0568403495804</v>
      </c>
      <c r="Z21">
        <f t="shared" si="9"/>
        <v>999.99999999999989</v>
      </c>
      <c r="AA21">
        <f t="shared" si="10"/>
        <v>0</v>
      </c>
      <c r="AB21">
        <f t="shared" si="11"/>
        <v>0</v>
      </c>
      <c r="AC21">
        <f t="shared" si="12"/>
        <v>0</v>
      </c>
      <c r="AD21">
        <f t="shared" si="13"/>
        <v>0</v>
      </c>
      <c r="AE21" s="6">
        <f t="shared" si="14"/>
        <v>45002</v>
      </c>
    </row>
    <row r="22" spans="1:31" x14ac:dyDescent="0.3">
      <c r="A22">
        <v>5368720</v>
      </c>
      <c r="B22" t="s">
        <v>24</v>
      </c>
      <c r="C22">
        <v>120.6666666666667</v>
      </c>
      <c r="D22">
        <v>268626.52485047688</v>
      </c>
      <c r="E22">
        <v>-27848.548020585869</v>
      </c>
      <c r="F22">
        <v>29607.07031716124</v>
      </c>
      <c r="G22">
        <v>3731.0864930103971</v>
      </c>
      <c r="H22">
        <v>3731.0496307207259</v>
      </c>
      <c r="I22">
        <v>101285.1156976277</v>
      </c>
      <c r="J22">
        <v>65039.97087867884</v>
      </c>
      <c r="K22">
        <v>124594.86310318969</v>
      </c>
      <c r="L22" s="2">
        <v>45008.888888888891</v>
      </c>
      <c r="M22" s="2">
        <v>45016.447916666657</v>
      </c>
      <c r="R22">
        <f t="shared" si="1"/>
        <v>0.96847224405014476</v>
      </c>
      <c r="S22">
        <f t="shared" si="2"/>
        <v>2155.9999999999991</v>
      </c>
      <c r="T22">
        <f t="shared" si="3"/>
        <v>-223.51281045609119</v>
      </c>
      <c r="U22">
        <f t="shared" si="4"/>
        <v>237.62673339622845</v>
      </c>
      <c r="V22">
        <f t="shared" si="5"/>
        <v>29.945748966554941</v>
      </c>
      <c r="W22">
        <f t="shared" si="6"/>
        <v>29.945453109336167</v>
      </c>
      <c r="X22">
        <f t="shared" si="7"/>
        <v>812.91566261237574</v>
      </c>
      <c r="Y22">
        <f t="shared" si="8"/>
        <v>522.01165649030509</v>
      </c>
      <c r="Z22">
        <f t="shared" si="9"/>
        <v>1000</v>
      </c>
      <c r="AA22">
        <f t="shared" si="10"/>
        <v>0</v>
      </c>
      <c r="AB22">
        <f t="shared" si="11"/>
        <v>0</v>
      </c>
      <c r="AC22">
        <f t="shared" si="12"/>
        <v>0</v>
      </c>
      <c r="AD22">
        <f t="shared" si="13"/>
        <v>0</v>
      </c>
      <c r="AE22" s="6">
        <f t="shared" si="14"/>
        <v>45008</v>
      </c>
    </row>
    <row r="23" spans="1:31" x14ac:dyDescent="0.3">
      <c r="A23">
        <v>5368204</v>
      </c>
      <c r="B23" t="s">
        <v>31</v>
      </c>
      <c r="C23">
        <v>15.41666666666667</v>
      </c>
      <c r="D23">
        <v>34703.559792091757</v>
      </c>
      <c r="E23">
        <v>6265.4796570142107</v>
      </c>
      <c r="F23">
        <v>4298.1208554482964</v>
      </c>
      <c r="G23">
        <v>0.68343750000000003</v>
      </c>
      <c r="H23">
        <v>11.084518582570981</v>
      </c>
      <c r="I23">
        <v>14443.7317150974</v>
      </c>
      <c r="J23">
        <v>8881.2192621475024</v>
      </c>
      <c r="K23">
        <v>16096.27077555277</v>
      </c>
      <c r="L23" s="2">
        <v>45009.190972222219</v>
      </c>
      <c r="M23" s="2">
        <v>45009.833333333343</v>
      </c>
      <c r="R23">
        <f t="shared" si="1"/>
        <v>0.95777878501408586</v>
      </c>
      <c r="S23">
        <f t="shared" si="2"/>
        <v>2155.9999999999991</v>
      </c>
      <c r="T23">
        <f t="shared" si="3"/>
        <v>389.25038876273777</v>
      </c>
      <c r="U23">
        <f t="shared" si="4"/>
        <v>267.0258791854036</v>
      </c>
      <c r="V23">
        <f t="shared" si="5"/>
        <v>4.2459368976198758E-2</v>
      </c>
      <c r="W23">
        <f t="shared" si="6"/>
        <v>0.68863892370686852</v>
      </c>
      <c r="X23">
        <f t="shared" si="7"/>
        <v>897.33404193440458</v>
      </c>
      <c r="Y23">
        <f t="shared" si="8"/>
        <v>551.75632828172957</v>
      </c>
      <c r="Z23">
        <f t="shared" si="9"/>
        <v>1000</v>
      </c>
      <c r="AA23">
        <f t="shared" si="10"/>
        <v>0</v>
      </c>
      <c r="AB23">
        <f t="shared" si="11"/>
        <v>0</v>
      </c>
      <c r="AC23">
        <f t="shared" si="12"/>
        <v>0</v>
      </c>
      <c r="AD23">
        <f t="shared" si="13"/>
        <v>0</v>
      </c>
      <c r="AE23" s="6">
        <f t="shared" si="14"/>
        <v>45009</v>
      </c>
    </row>
    <row r="24" spans="1:31" x14ac:dyDescent="0.3">
      <c r="A24">
        <v>5369400</v>
      </c>
      <c r="B24" t="s">
        <v>23</v>
      </c>
      <c r="C24">
        <v>40.416666666666657</v>
      </c>
      <c r="D24">
        <v>79515.035078142071</v>
      </c>
      <c r="E24">
        <v>7399.0400551032317</v>
      </c>
      <c r="F24">
        <v>10355.600958986941</v>
      </c>
      <c r="G24">
        <v>1842.784071712038</v>
      </c>
      <c r="H24">
        <v>1808.1303809650251</v>
      </c>
      <c r="I24">
        <v>27505.087587937462</v>
      </c>
      <c r="J24">
        <v>17129.417904346908</v>
      </c>
      <c r="K24">
        <v>36880.814043665152</v>
      </c>
      <c r="L24" s="2">
        <v>45009.833333333343</v>
      </c>
      <c r="M24" s="2">
        <v>45011.559027777781</v>
      </c>
      <c r="R24">
        <f t="shared" si="1"/>
        <v>1.0958724126537778</v>
      </c>
      <c r="S24">
        <f t="shared" si="2"/>
        <v>2156.0000000000005</v>
      </c>
      <c r="T24">
        <f t="shared" si="3"/>
        <v>200.62030209916503</v>
      </c>
      <c r="U24">
        <f t="shared" si="4"/>
        <v>280.78558533785065</v>
      </c>
      <c r="V24">
        <f t="shared" si="5"/>
        <v>49.965927257740795</v>
      </c>
      <c r="W24">
        <f t="shared" si="6"/>
        <v>49.026314300554311</v>
      </c>
      <c r="X24">
        <f t="shared" si="7"/>
        <v>745.78309349063534</v>
      </c>
      <c r="Y24">
        <f t="shared" si="8"/>
        <v>464.45335734906729</v>
      </c>
      <c r="Z24">
        <f t="shared" si="9"/>
        <v>999.99999999999989</v>
      </c>
      <c r="AA24">
        <f t="shared" si="10"/>
        <v>0</v>
      </c>
      <c r="AB24">
        <f t="shared" si="11"/>
        <v>0</v>
      </c>
      <c r="AC24">
        <f t="shared" si="12"/>
        <v>0</v>
      </c>
      <c r="AD24">
        <f t="shared" si="13"/>
        <v>0</v>
      </c>
      <c r="AE24" s="6">
        <f t="shared" si="14"/>
        <v>45009</v>
      </c>
    </row>
    <row r="25" spans="1:31" x14ac:dyDescent="0.3">
      <c r="A25">
        <v>5369879</v>
      </c>
      <c r="B25" t="s">
        <v>27</v>
      </c>
      <c r="C25">
        <v>4.416666666666667</v>
      </c>
      <c r="D25">
        <v>9856.058553143208</v>
      </c>
      <c r="E25">
        <v>869.1122240156019</v>
      </c>
      <c r="F25">
        <v>798.92690487646757</v>
      </c>
      <c r="G25">
        <v>4232.576921692108</v>
      </c>
      <c r="H25">
        <v>4383.8457967352933</v>
      </c>
      <c r="I25">
        <v>0</v>
      </c>
      <c r="J25">
        <v>5362.7086020688203</v>
      </c>
      <c r="K25">
        <v>4357.2318979412948</v>
      </c>
      <c r="L25" s="2">
        <v>45017.291666666657</v>
      </c>
      <c r="M25" s="2">
        <v>45017.475694444453</v>
      </c>
      <c r="R25">
        <f t="shared" si="1"/>
        <v>1.0136404878412493</v>
      </c>
      <c r="S25">
        <f t="shared" si="2"/>
        <v>2262</v>
      </c>
      <c r="T25">
        <f t="shared" si="3"/>
        <v>199.46430311093613</v>
      </c>
      <c r="U25">
        <f t="shared" si="4"/>
        <v>183.35652625097703</v>
      </c>
      <c r="V25">
        <f t="shared" si="5"/>
        <v>971.39124582557008</v>
      </c>
      <c r="W25">
        <f t="shared" si="6"/>
        <v>1006.1079830996769</v>
      </c>
      <c r="X25">
        <f t="shared" si="7"/>
        <v>0</v>
      </c>
      <c r="Y25">
        <f t="shared" si="8"/>
        <v>1230.7604294833591</v>
      </c>
      <c r="Z25">
        <f t="shared" si="9"/>
        <v>1000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13"/>
        <v>0</v>
      </c>
      <c r="AE25" s="6">
        <f t="shared" si="14"/>
        <v>45017</v>
      </c>
    </row>
    <row r="26" spans="1:31" x14ac:dyDescent="0.3">
      <c r="A26">
        <v>5368217</v>
      </c>
      <c r="B26" t="s">
        <v>33</v>
      </c>
      <c r="C26">
        <v>13.66666666666667</v>
      </c>
      <c r="D26">
        <v>23876.24168367208</v>
      </c>
      <c r="E26">
        <v>2539.7653209601708</v>
      </c>
      <c r="F26">
        <v>2307.4090477465302</v>
      </c>
      <c r="G26">
        <v>12546.281268057721</v>
      </c>
      <c r="H26">
        <v>13185.390554864531</v>
      </c>
      <c r="I26">
        <v>0</v>
      </c>
      <c r="J26">
        <v>16601.154042609411</v>
      </c>
      <c r="K26">
        <v>10304.80866796378</v>
      </c>
      <c r="L26" s="2">
        <v>45017.489583333343</v>
      </c>
      <c r="M26" s="2">
        <v>45018.059027777781</v>
      </c>
      <c r="R26">
        <f t="shared" si="1"/>
        <v>1.3262416709544971</v>
      </c>
      <c r="S26">
        <f t="shared" si="2"/>
        <v>2317.0000000000005</v>
      </c>
      <c r="T26">
        <f t="shared" si="3"/>
        <v>246.46409290993907</v>
      </c>
      <c r="U26">
        <f t="shared" si="4"/>
        <v>223.91575837016217</v>
      </c>
      <c r="V26">
        <f t="shared" si="5"/>
        <v>1217.5171487717544</v>
      </c>
      <c r="W26">
        <f t="shared" si="6"/>
        <v>1279.5376391466714</v>
      </c>
      <c r="X26">
        <f t="shared" si="7"/>
        <v>0</v>
      </c>
      <c r="Y26">
        <f t="shared" si="8"/>
        <v>1611.0104105299979</v>
      </c>
      <c r="Z26">
        <f t="shared" si="9"/>
        <v>1000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13"/>
        <v>0</v>
      </c>
      <c r="AE26" s="6">
        <f t="shared" si="14"/>
        <v>45017</v>
      </c>
    </row>
    <row r="27" spans="1:31" x14ac:dyDescent="0.3">
      <c r="A27">
        <v>5369886</v>
      </c>
      <c r="B27" t="s">
        <v>32</v>
      </c>
      <c r="C27">
        <v>11.75</v>
      </c>
      <c r="D27">
        <v>20336.377294453239</v>
      </c>
      <c r="E27">
        <v>2015.036925414563</v>
      </c>
      <c r="F27">
        <v>2111.9909575752731</v>
      </c>
      <c r="G27">
        <v>5395.289416475538</v>
      </c>
      <c r="H27">
        <v>5847.6274533312062</v>
      </c>
      <c r="I27">
        <v>0</v>
      </c>
      <c r="J27">
        <v>4146.972085925604</v>
      </c>
      <c r="K27">
        <v>11768.736860216</v>
      </c>
      <c r="L27" s="2">
        <v>45018.041666666657</v>
      </c>
      <c r="M27" s="2">
        <v>45018.534722222219</v>
      </c>
      <c r="R27">
        <f t="shared" si="1"/>
        <v>0.99840791238358473</v>
      </c>
      <c r="S27">
        <f t="shared" si="2"/>
        <v>1727.9999999999993</v>
      </c>
      <c r="T27">
        <f t="shared" si="3"/>
        <v>171.21947319821197</v>
      </c>
      <c r="U27">
        <f t="shared" si="4"/>
        <v>179.45774322772226</v>
      </c>
      <c r="V27">
        <f t="shared" si="5"/>
        <v>458.44252280924178</v>
      </c>
      <c r="W27">
        <f t="shared" si="6"/>
        <v>496.87808664488063</v>
      </c>
      <c r="X27">
        <f t="shared" si="7"/>
        <v>0</v>
      </c>
      <c r="Y27">
        <f t="shared" si="8"/>
        <v>352.37189302314744</v>
      </c>
      <c r="Z27">
        <f t="shared" si="9"/>
        <v>1000</v>
      </c>
      <c r="AA27">
        <f t="shared" si="10"/>
        <v>0</v>
      </c>
      <c r="AB27">
        <f t="shared" si="11"/>
        <v>0</v>
      </c>
      <c r="AC27">
        <f t="shared" si="12"/>
        <v>0</v>
      </c>
      <c r="AD27">
        <f t="shared" si="13"/>
        <v>0</v>
      </c>
      <c r="AE27" s="6">
        <f t="shared" si="14"/>
        <v>45018</v>
      </c>
    </row>
    <row r="28" spans="1:31" x14ac:dyDescent="0.3">
      <c r="A28">
        <v>5369889</v>
      </c>
      <c r="B28" t="s">
        <v>29</v>
      </c>
      <c r="C28">
        <v>12.91666666666667</v>
      </c>
      <c r="D28">
        <v>21167.9791091201</v>
      </c>
      <c r="E28">
        <v>2915.6943270951738</v>
      </c>
      <c r="F28">
        <v>3261.969669335725</v>
      </c>
      <c r="G28">
        <v>6566.9788074641056</v>
      </c>
      <c r="H28">
        <v>5964.4547453684527</v>
      </c>
      <c r="I28">
        <v>0</v>
      </c>
      <c r="J28">
        <v>2358.4677719559891</v>
      </c>
      <c r="K28">
        <v>9135.9426452827338</v>
      </c>
      <c r="L28" s="2">
        <v>45018.538194444453</v>
      </c>
      <c r="M28" s="2">
        <v>45019.076388888891</v>
      </c>
      <c r="R28">
        <f t="shared" si="1"/>
        <v>1.4138296581071554</v>
      </c>
      <c r="S28">
        <f t="shared" si="2"/>
        <v>2317.0000000000009</v>
      </c>
      <c r="T28">
        <f t="shared" si="3"/>
        <v>319.14542815137611</v>
      </c>
      <c r="U28">
        <f t="shared" si="4"/>
        <v>357.04795837570362</v>
      </c>
      <c r="V28">
        <f t="shared" si="5"/>
        <v>718.80692145707701</v>
      </c>
      <c r="W28">
        <f t="shared" si="6"/>
        <v>652.85597523405511</v>
      </c>
      <c r="X28">
        <f t="shared" si="7"/>
        <v>0</v>
      </c>
      <c r="Y28">
        <f t="shared" si="8"/>
        <v>258.15264647855071</v>
      </c>
      <c r="Z28">
        <f t="shared" si="9"/>
        <v>1000</v>
      </c>
      <c r="AA28">
        <f t="shared" si="10"/>
        <v>0</v>
      </c>
      <c r="AB28">
        <f t="shared" si="11"/>
        <v>0</v>
      </c>
      <c r="AC28">
        <f t="shared" si="12"/>
        <v>0</v>
      </c>
      <c r="AD28">
        <f t="shared" si="13"/>
        <v>0</v>
      </c>
      <c r="AE28" s="6">
        <f t="shared" si="14"/>
        <v>45018</v>
      </c>
    </row>
    <row r="29" spans="1:31" x14ac:dyDescent="0.3">
      <c r="A29">
        <v>5371714</v>
      </c>
      <c r="B29" t="s">
        <v>30</v>
      </c>
      <c r="C29">
        <v>21.916666666666671</v>
      </c>
      <c r="D29">
        <v>0</v>
      </c>
      <c r="E29">
        <v>0</v>
      </c>
      <c r="F29">
        <v>11961.70589692109</v>
      </c>
      <c r="G29">
        <v>29364.84133822691</v>
      </c>
      <c r="H29">
        <v>0</v>
      </c>
      <c r="I29">
        <v>0</v>
      </c>
      <c r="J29">
        <v>18318.060131433351</v>
      </c>
      <c r="K29">
        <v>16758.45877347418</v>
      </c>
      <c r="L29" s="2">
        <v>45042.565972222219</v>
      </c>
      <c r="M29" s="2">
        <v>45045.3125</v>
      </c>
      <c r="N29">
        <v>38075.218333333338</v>
      </c>
      <c r="O29">
        <v>2665.2652833333332</v>
      </c>
      <c r="P29">
        <v>35409.953049999996</v>
      </c>
      <c r="R29">
        <f t="shared" si="1"/>
        <v>1.3077972719876285</v>
      </c>
      <c r="S29">
        <f t="shared" si="2"/>
        <v>0</v>
      </c>
      <c r="T29">
        <f t="shared" si="3"/>
        <v>0</v>
      </c>
      <c r="U29">
        <f t="shared" si="4"/>
        <v>713.77123986213212</v>
      </c>
      <c r="V29">
        <f t="shared" si="5"/>
        <v>1752.2399723718336</v>
      </c>
      <c r="W29">
        <f t="shared" si="6"/>
        <v>0</v>
      </c>
      <c r="X29">
        <f t="shared" si="7"/>
        <v>0</v>
      </c>
      <c r="Y29">
        <f t="shared" si="8"/>
        <v>1093.0635316194921</v>
      </c>
      <c r="Z29">
        <f t="shared" si="9"/>
        <v>1000</v>
      </c>
      <c r="AA29">
        <f t="shared" si="10"/>
        <v>2272</v>
      </c>
      <c r="AB29">
        <f t="shared" si="11"/>
        <v>159.04</v>
      </c>
      <c r="AC29">
        <f t="shared" si="12"/>
        <v>2112.9599999999996</v>
      </c>
      <c r="AD29">
        <f t="shared" si="13"/>
        <v>0</v>
      </c>
      <c r="AE29" s="6">
        <f t="shared" si="14"/>
        <v>45042</v>
      </c>
    </row>
    <row r="30" spans="1:31" x14ac:dyDescent="0.3">
      <c r="A30">
        <v>5371929</v>
      </c>
      <c r="B30" t="s">
        <v>34</v>
      </c>
      <c r="C30">
        <v>301.18666666666672</v>
      </c>
      <c r="D30">
        <v>0</v>
      </c>
      <c r="E30">
        <v>3920.4425699113708</v>
      </c>
      <c r="F30">
        <v>94786.289907378523</v>
      </c>
      <c r="G30">
        <v>304498.0286574944</v>
      </c>
      <c r="H30">
        <v>19566.01863440848</v>
      </c>
      <c r="I30">
        <v>0</v>
      </c>
      <c r="J30">
        <v>273092.92538115132</v>
      </c>
      <c r="K30">
        <v>219396.01537955939</v>
      </c>
      <c r="L30" s="2">
        <v>45049.625</v>
      </c>
      <c r="M30" s="2">
        <v>45070.5</v>
      </c>
      <c r="N30">
        <v>450595.53638653911</v>
      </c>
      <c r="O30">
        <v>35233.952893557733</v>
      </c>
      <c r="P30">
        <v>415361.58349298133</v>
      </c>
      <c r="Q30">
        <v>50066.170709615457</v>
      </c>
      <c r="R30">
        <f t="shared" si="1"/>
        <v>1.372799164768822</v>
      </c>
      <c r="S30">
        <f t="shared" si="2"/>
        <v>0</v>
      </c>
      <c r="T30">
        <f t="shared" si="3"/>
        <v>17.869251468076705</v>
      </c>
      <c r="U30">
        <f t="shared" si="4"/>
        <v>432.03286870728436</v>
      </c>
      <c r="V30">
        <f t="shared" si="5"/>
        <v>1387.8922464963955</v>
      </c>
      <c r="W30">
        <f t="shared" si="6"/>
        <v>89.181285268827182</v>
      </c>
      <c r="X30">
        <f t="shared" si="7"/>
        <v>0</v>
      </c>
      <c r="Y30">
        <f t="shared" si="8"/>
        <v>1244.7487932207666</v>
      </c>
      <c r="Z30">
        <f t="shared" si="9"/>
        <v>1000</v>
      </c>
      <c r="AA30">
        <f t="shared" si="10"/>
        <v>2053.8000000000002</v>
      </c>
      <c r="AB30">
        <f t="shared" si="11"/>
        <v>160.59522700356388</v>
      </c>
      <c r="AC30">
        <f t="shared" si="12"/>
        <v>1893.2047729964358</v>
      </c>
      <c r="AD30">
        <f t="shared" si="13"/>
        <v>228.2</v>
      </c>
      <c r="AE30" s="6">
        <f t="shared" si="14"/>
        <v>45049</v>
      </c>
    </row>
    <row r="31" spans="1:31" x14ac:dyDescent="0.3">
      <c r="A31">
        <v>5372229</v>
      </c>
      <c r="B31" t="s">
        <v>30</v>
      </c>
      <c r="C31">
        <v>162.33333333333329</v>
      </c>
      <c r="D31">
        <v>0</v>
      </c>
      <c r="E31">
        <v>0</v>
      </c>
      <c r="F31">
        <v>62012.918154714243</v>
      </c>
      <c r="G31">
        <v>169940.4911152198</v>
      </c>
      <c r="H31">
        <v>0</v>
      </c>
      <c r="I31">
        <v>0</v>
      </c>
      <c r="J31">
        <v>156231.50166614621</v>
      </c>
      <c r="K31">
        <v>135244.76892605639</v>
      </c>
      <c r="L31" s="2">
        <v>45070.5</v>
      </c>
      <c r="M31" s="2">
        <v>45077.493055555547</v>
      </c>
      <c r="N31">
        <v>307276.11499999999</v>
      </c>
      <c r="O31">
        <v>29916.80330000001</v>
      </c>
      <c r="P31">
        <v>277359.31170000002</v>
      </c>
      <c r="R31">
        <f t="shared" si="1"/>
        <v>1.2002928809918503</v>
      </c>
      <c r="S31">
        <f t="shared" si="2"/>
        <v>0</v>
      </c>
      <c r="T31">
        <f t="shared" si="3"/>
        <v>0</v>
      </c>
      <c r="U31">
        <f t="shared" si="4"/>
        <v>458.52359871026977</v>
      </c>
      <c r="V31">
        <f t="shared" si="5"/>
        <v>1256.5402156746848</v>
      </c>
      <c r="W31">
        <f t="shared" si="6"/>
        <v>0</v>
      </c>
      <c r="X31">
        <f t="shared" si="7"/>
        <v>0</v>
      </c>
      <c r="Y31">
        <f t="shared" si="8"/>
        <v>1155.1759295885529</v>
      </c>
      <c r="Z31">
        <f t="shared" si="9"/>
        <v>999.99999999999989</v>
      </c>
      <c r="AA31">
        <f t="shared" si="10"/>
        <v>2271.9999999999991</v>
      </c>
      <c r="AB31">
        <f t="shared" si="11"/>
        <v>221.20488309870748</v>
      </c>
      <c r="AC31">
        <f t="shared" si="12"/>
        <v>2050.7951169012922</v>
      </c>
      <c r="AD31">
        <f t="shared" si="13"/>
        <v>0</v>
      </c>
      <c r="AE31" s="6">
        <f t="shared" si="14"/>
        <v>45070</v>
      </c>
    </row>
    <row r="32" spans="1:31" x14ac:dyDescent="0.3">
      <c r="A32">
        <v>5373955</v>
      </c>
      <c r="B32">
        <v>120</v>
      </c>
      <c r="C32">
        <v>28.5</v>
      </c>
      <c r="D32">
        <v>0</v>
      </c>
      <c r="E32">
        <v>-8423.558040815713</v>
      </c>
      <c r="F32">
        <v>7986.1216907580929</v>
      </c>
      <c r="G32">
        <v>26017.15831517048</v>
      </c>
      <c r="H32">
        <v>12421.21027544901</v>
      </c>
      <c r="I32">
        <v>0</v>
      </c>
      <c r="J32">
        <v>14096.579883812819</v>
      </c>
      <c r="K32">
        <v>16075.712695547551</v>
      </c>
      <c r="L32" s="2">
        <v>45079.291666666657</v>
      </c>
      <c r="M32" s="2">
        <v>45081.625</v>
      </c>
      <c r="N32">
        <v>26717.83450000003</v>
      </c>
      <c r="O32">
        <v>7213.8153150000071</v>
      </c>
      <c r="P32">
        <v>19504.019185000019</v>
      </c>
      <c r="Q32">
        <v>8905.9448333333421</v>
      </c>
      <c r="R32">
        <f t="shared" si="1"/>
        <v>1.7728607458811809</v>
      </c>
      <c r="S32">
        <f t="shared" si="2"/>
        <v>0</v>
      </c>
      <c r="T32">
        <f t="shared" si="3"/>
        <v>-523.99282074434961</v>
      </c>
      <c r="U32">
        <f t="shared" si="4"/>
        <v>496.78181253948321</v>
      </c>
      <c r="V32">
        <f t="shared" si="5"/>
        <v>1618.4139893453298</v>
      </c>
      <c r="W32">
        <f t="shared" si="6"/>
        <v>772.66933732208838</v>
      </c>
      <c r="X32">
        <f t="shared" si="7"/>
        <v>0</v>
      </c>
      <c r="Y32">
        <f t="shared" si="8"/>
        <v>876.88677639263312</v>
      </c>
      <c r="Z32">
        <f t="shared" si="9"/>
        <v>1000</v>
      </c>
      <c r="AA32">
        <f t="shared" si="10"/>
        <v>1662</v>
      </c>
      <c r="AB32">
        <f t="shared" si="11"/>
        <v>448.73999999999995</v>
      </c>
      <c r="AC32">
        <f t="shared" si="12"/>
        <v>1213.26</v>
      </c>
      <c r="AD32">
        <f t="shared" si="13"/>
        <v>553.99999999999989</v>
      </c>
      <c r="AE32" s="6">
        <f t="shared" si="14"/>
        <v>45079</v>
      </c>
    </row>
    <row r="33" spans="1:31" x14ac:dyDescent="0.3">
      <c r="A33">
        <v>5374272</v>
      </c>
      <c r="B33" t="s">
        <v>30</v>
      </c>
      <c r="C33">
        <v>69.916666666666671</v>
      </c>
      <c r="D33">
        <v>0</v>
      </c>
      <c r="E33">
        <v>0</v>
      </c>
      <c r="F33">
        <v>31161.655448786281</v>
      </c>
      <c r="G33">
        <v>72825.095314148159</v>
      </c>
      <c r="H33">
        <v>0</v>
      </c>
      <c r="I33">
        <v>0</v>
      </c>
      <c r="J33">
        <v>64636.44905587488</v>
      </c>
      <c r="K33">
        <v>54127.759683098571</v>
      </c>
      <c r="L33" s="2">
        <v>45081.625</v>
      </c>
      <c r="M33" s="2">
        <v>45085.211805555547</v>
      </c>
      <c r="N33">
        <v>122978.27</v>
      </c>
      <c r="O33">
        <v>33204.13289999999</v>
      </c>
      <c r="P33">
        <v>89774.137099999964</v>
      </c>
      <c r="R33">
        <f t="shared" si="1"/>
        <v>1.2916970344977754</v>
      </c>
      <c r="S33">
        <f t="shared" si="2"/>
        <v>0</v>
      </c>
      <c r="T33">
        <f t="shared" si="3"/>
        <v>0</v>
      </c>
      <c r="U33">
        <f t="shared" si="4"/>
        <v>575.70562002248414</v>
      </c>
      <c r="V33">
        <f t="shared" si="5"/>
        <v>1345.429697081807</v>
      </c>
      <c r="W33">
        <f t="shared" si="6"/>
        <v>0</v>
      </c>
      <c r="X33">
        <f t="shared" si="7"/>
        <v>0</v>
      </c>
      <c r="Y33">
        <f t="shared" si="8"/>
        <v>1194.1460247810267</v>
      </c>
      <c r="Z33">
        <f t="shared" si="9"/>
        <v>1000</v>
      </c>
      <c r="AA33">
        <f t="shared" si="10"/>
        <v>2272.0000000000009</v>
      </c>
      <c r="AB33">
        <f t="shared" si="11"/>
        <v>613.44000000000005</v>
      </c>
      <c r="AC33">
        <f t="shared" si="12"/>
        <v>1658.56</v>
      </c>
      <c r="AD33">
        <f t="shared" si="13"/>
        <v>0</v>
      </c>
      <c r="AE33" s="6">
        <f t="shared" si="14"/>
        <v>45081</v>
      </c>
    </row>
    <row r="34" spans="1:31" x14ac:dyDescent="0.3">
      <c r="A34">
        <v>5374593</v>
      </c>
      <c r="B34" t="s">
        <v>34</v>
      </c>
      <c r="C34">
        <v>110</v>
      </c>
      <c r="D34">
        <v>0</v>
      </c>
      <c r="E34">
        <v>-12074.96845205293</v>
      </c>
      <c r="F34">
        <v>37785.75475232902</v>
      </c>
      <c r="G34">
        <v>111050.91972573291</v>
      </c>
      <c r="H34">
        <v>35939.23573501085</v>
      </c>
      <c r="I34">
        <v>0</v>
      </c>
      <c r="J34">
        <v>103976.2641630888</v>
      </c>
      <c r="K34">
        <v>78226.851446099929</v>
      </c>
      <c r="L34" s="2">
        <v>45085.729166666657</v>
      </c>
      <c r="M34" s="2">
        <v>45092.822916666657</v>
      </c>
      <c r="N34">
        <v>160662.30750000011</v>
      </c>
      <c r="O34">
        <v>120482.25750000001</v>
      </c>
      <c r="P34">
        <v>40180.050000000003</v>
      </c>
      <c r="Q34">
        <v>17851.3675</v>
      </c>
      <c r="R34">
        <f t="shared" si="1"/>
        <v>1.4061667824607831</v>
      </c>
      <c r="S34">
        <f t="shared" si="2"/>
        <v>0</v>
      </c>
      <c r="T34">
        <f t="shared" si="3"/>
        <v>-154.35835942307938</v>
      </c>
      <c r="U34">
        <f t="shared" si="4"/>
        <v>483.02793802667952</v>
      </c>
      <c r="V34">
        <f t="shared" si="5"/>
        <v>1419.6010407276779</v>
      </c>
      <c r="W34">
        <f t="shared" si="6"/>
        <v>459.42326797818004</v>
      </c>
      <c r="X34">
        <f t="shared" si="7"/>
        <v>0</v>
      </c>
      <c r="Y34">
        <f t="shared" si="8"/>
        <v>1329.1633530045729</v>
      </c>
      <c r="Z34">
        <f t="shared" si="9"/>
        <v>999.99999999999989</v>
      </c>
      <c r="AA34">
        <f t="shared" si="10"/>
        <v>2053.8000000000011</v>
      </c>
      <c r="AB34">
        <f t="shared" si="11"/>
        <v>1540.1649852035141</v>
      </c>
      <c r="AC34">
        <f t="shared" si="12"/>
        <v>513.63501479648539</v>
      </c>
      <c r="AD34">
        <f t="shared" si="13"/>
        <v>228.19999999999996</v>
      </c>
      <c r="AE34" s="6">
        <f t="shared" si="14"/>
        <v>45085</v>
      </c>
    </row>
    <row r="35" spans="1:31" x14ac:dyDescent="0.3">
      <c r="A35">
        <v>5374965</v>
      </c>
      <c r="B35" t="s">
        <v>30</v>
      </c>
      <c r="C35">
        <v>71.416666666666671</v>
      </c>
      <c r="D35">
        <v>0</v>
      </c>
      <c r="E35">
        <v>0</v>
      </c>
      <c r="F35">
        <v>30384.632937627379</v>
      </c>
      <c r="G35">
        <v>76314.453998647106</v>
      </c>
      <c r="H35">
        <v>0</v>
      </c>
      <c r="I35">
        <v>0</v>
      </c>
      <c r="J35">
        <v>70701.28411133906</v>
      </c>
      <c r="K35">
        <v>58132.956646126739</v>
      </c>
      <c r="L35" s="2">
        <v>45092.819444444453</v>
      </c>
      <c r="M35" s="2">
        <v>45095.798611111109</v>
      </c>
      <c r="N35">
        <v>132078.07750000001</v>
      </c>
      <c r="O35">
        <v>132078.07750000001</v>
      </c>
      <c r="P35">
        <v>0</v>
      </c>
      <c r="R35">
        <f t="shared" si="1"/>
        <v>1.2285056667838516</v>
      </c>
      <c r="S35">
        <f t="shared" si="2"/>
        <v>0</v>
      </c>
      <c r="T35">
        <f t="shared" si="3"/>
        <v>0</v>
      </c>
      <c r="U35">
        <f t="shared" si="4"/>
        <v>522.67482492913655</v>
      </c>
      <c r="V35">
        <f t="shared" si="5"/>
        <v>1312.7571415848804</v>
      </c>
      <c r="W35">
        <f t="shared" si="6"/>
        <v>0</v>
      </c>
      <c r="X35">
        <f t="shared" si="7"/>
        <v>0</v>
      </c>
      <c r="Y35">
        <f t="shared" si="8"/>
        <v>1216.1996944645291</v>
      </c>
      <c r="Z35">
        <f t="shared" si="9"/>
        <v>1000</v>
      </c>
      <c r="AA35">
        <f t="shared" si="10"/>
        <v>2272.0000000000009</v>
      </c>
      <c r="AB35">
        <f t="shared" si="11"/>
        <v>2272.0000000000009</v>
      </c>
      <c r="AC35">
        <f t="shared" si="12"/>
        <v>0</v>
      </c>
      <c r="AD35">
        <f t="shared" si="13"/>
        <v>0</v>
      </c>
      <c r="AE35" s="6">
        <f t="shared" si="14"/>
        <v>45092</v>
      </c>
    </row>
    <row r="36" spans="1:31" x14ac:dyDescent="0.3">
      <c r="A36">
        <v>5375015</v>
      </c>
      <c r="B36" t="s">
        <v>24</v>
      </c>
      <c r="C36">
        <v>14.58333333333333</v>
      </c>
      <c r="D36">
        <v>23892.36632614168</v>
      </c>
      <c r="E36">
        <v>2916.2721309276658</v>
      </c>
      <c r="F36">
        <v>2950.0738976188418</v>
      </c>
      <c r="G36">
        <v>4663.6525009754923</v>
      </c>
      <c r="H36">
        <v>4692.9977347167551</v>
      </c>
      <c r="I36">
        <v>0</v>
      </c>
      <c r="J36">
        <v>688.17096615223386</v>
      </c>
      <c r="K36">
        <v>11081.802563145489</v>
      </c>
      <c r="L36" s="2">
        <v>45099.645833333343</v>
      </c>
      <c r="M36" s="2">
        <v>45100.774305555547</v>
      </c>
      <c r="R36">
        <f t="shared" si="1"/>
        <v>1.3159712285285434</v>
      </c>
      <c r="S36">
        <f t="shared" si="2"/>
        <v>2156.0000000000005</v>
      </c>
      <c r="T36">
        <f t="shared" si="3"/>
        <v>263.15864357900119</v>
      </c>
      <c r="U36">
        <f t="shared" si="4"/>
        <v>266.208848317677</v>
      </c>
      <c r="V36">
        <f t="shared" si="5"/>
        <v>420.83880076381263</v>
      </c>
      <c r="W36">
        <f t="shared" si="6"/>
        <v>423.48685676138609</v>
      </c>
      <c r="X36">
        <f t="shared" si="7"/>
        <v>0</v>
      </c>
      <c r="Y36">
        <f t="shared" si="8"/>
        <v>62.099190292459205</v>
      </c>
      <c r="Z36">
        <f t="shared" si="9"/>
        <v>999.99999999999989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13"/>
        <v>0</v>
      </c>
      <c r="AE36" s="6">
        <f t="shared" si="14"/>
        <v>45099</v>
      </c>
    </row>
    <row r="37" spans="1:31" x14ac:dyDescent="0.3">
      <c r="A37">
        <v>5375020</v>
      </c>
      <c r="B37" t="s">
        <v>28</v>
      </c>
      <c r="C37">
        <v>29.916666666666671</v>
      </c>
      <c r="D37">
        <v>55615.254496342917</v>
      </c>
      <c r="E37">
        <v>5427.7934298486634</v>
      </c>
      <c r="F37">
        <v>5374.5508714680254</v>
      </c>
      <c r="G37">
        <v>9437.3965002897239</v>
      </c>
      <c r="H37">
        <v>9458.4969979550115</v>
      </c>
      <c r="I37">
        <v>0</v>
      </c>
      <c r="J37">
        <v>4804.92681697225</v>
      </c>
      <c r="K37">
        <v>24003.130986768629</v>
      </c>
      <c r="L37" s="2">
        <v>45100.982638888891</v>
      </c>
      <c r="M37" s="2">
        <v>45103.399305555547</v>
      </c>
      <c r="R37">
        <f t="shared" si="1"/>
        <v>1.2463651797408344</v>
      </c>
      <c r="S37">
        <f t="shared" si="2"/>
        <v>2317.0000000000005</v>
      </c>
      <c r="T37">
        <f t="shared" si="3"/>
        <v>226.12855934672248</v>
      </c>
      <c r="U37">
        <f t="shared" si="4"/>
        <v>223.91040878919785</v>
      </c>
      <c r="V37">
        <f t="shared" si="5"/>
        <v>393.17356162793715</v>
      </c>
      <c r="W37">
        <f t="shared" si="6"/>
        <v>394.05263434878009</v>
      </c>
      <c r="X37">
        <f t="shared" si="7"/>
        <v>0</v>
      </c>
      <c r="Y37">
        <f t="shared" si="8"/>
        <v>200.17916911010047</v>
      </c>
      <c r="Z37">
        <f t="shared" si="9"/>
        <v>1000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13"/>
        <v>0</v>
      </c>
      <c r="AE37" s="6">
        <f t="shared" si="14"/>
        <v>45100</v>
      </c>
    </row>
    <row r="38" spans="1:31" x14ac:dyDescent="0.3">
      <c r="A38">
        <v>5375761</v>
      </c>
      <c r="B38" t="s">
        <v>29</v>
      </c>
      <c r="C38">
        <v>10.16666666666667</v>
      </c>
      <c r="D38">
        <v>19159.44872486926</v>
      </c>
      <c r="E38">
        <v>-24726.888677806852</v>
      </c>
      <c r="F38">
        <v>1739.88096499678</v>
      </c>
      <c r="G38">
        <v>3386.909462213679</v>
      </c>
      <c r="H38">
        <v>3360.8471652348871</v>
      </c>
      <c r="I38">
        <v>0</v>
      </c>
      <c r="J38">
        <v>1753.5001427505019</v>
      </c>
      <c r="K38">
        <v>8269.0758415490982</v>
      </c>
      <c r="L38" s="2">
        <v>45103.402777777781</v>
      </c>
      <c r="M38" s="2">
        <v>45103.826388888891</v>
      </c>
      <c r="R38">
        <f t="shared" si="1"/>
        <v>1.2294803991980419</v>
      </c>
      <c r="S38">
        <f t="shared" si="2"/>
        <v>2317</v>
      </c>
      <c r="T38">
        <f t="shared" si="3"/>
        <v>-2990.2844225425083</v>
      </c>
      <c r="U38">
        <f t="shared" si="4"/>
        <v>210.4081518099654</v>
      </c>
      <c r="V38">
        <f t="shared" si="5"/>
        <v>409.58742271968185</v>
      </c>
      <c r="W38">
        <f t="shared" si="6"/>
        <v>406.43564403507492</v>
      </c>
      <c r="X38">
        <f t="shared" si="7"/>
        <v>0</v>
      </c>
      <c r="Y38">
        <f t="shared" si="8"/>
        <v>212.05515300026656</v>
      </c>
      <c r="Z38">
        <f t="shared" si="9"/>
        <v>1000</v>
      </c>
      <c r="AA38">
        <f t="shared" si="10"/>
        <v>0</v>
      </c>
      <c r="AB38">
        <f t="shared" si="11"/>
        <v>0</v>
      </c>
      <c r="AC38">
        <f t="shared" si="12"/>
        <v>0</v>
      </c>
      <c r="AD38">
        <f t="shared" si="13"/>
        <v>0</v>
      </c>
      <c r="AE38" s="6">
        <f t="shared" si="14"/>
        <v>45103</v>
      </c>
    </row>
    <row r="39" spans="1:31" x14ac:dyDescent="0.3">
      <c r="A39">
        <v>5375764</v>
      </c>
      <c r="B39" t="s">
        <v>33</v>
      </c>
      <c r="C39">
        <v>6.5</v>
      </c>
      <c r="D39">
        <v>12295.215309531161</v>
      </c>
      <c r="F39">
        <v>1002.942515080418</v>
      </c>
      <c r="G39">
        <v>15.914624859760661</v>
      </c>
      <c r="I39">
        <v>3794.15139727421</v>
      </c>
      <c r="J39">
        <v>54.54385996695391</v>
      </c>
      <c r="K39">
        <v>5306.5236553867744</v>
      </c>
      <c r="L39" s="2">
        <v>45103.822916666657</v>
      </c>
      <c r="M39" s="2">
        <v>45104.09375</v>
      </c>
      <c r="R39">
        <f t="shared" si="1"/>
        <v>1.2249073823315006</v>
      </c>
      <c r="S39">
        <f t="shared" si="2"/>
        <v>2317.0000000000005</v>
      </c>
      <c r="T39">
        <f t="shared" si="3"/>
        <v>0</v>
      </c>
      <c r="U39">
        <f t="shared" si="4"/>
        <v>189.00179858094253</v>
      </c>
      <c r="V39">
        <f t="shared" si="5"/>
        <v>2.9990679196549626</v>
      </c>
      <c r="W39">
        <f t="shared" si="6"/>
        <v>0</v>
      </c>
      <c r="X39">
        <f t="shared" si="7"/>
        <v>714.99754710839363</v>
      </c>
      <c r="Y39">
        <f t="shared" si="8"/>
        <v>10.278642574519607</v>
      </c>
      <c r="Z39">
        <f t="shared" si="9"/>
        <v>1000.0000000000001</v>
      </c>
      <c r="AA39">
        <f t="shared" si="10"/>
        <v>0</v>
      </c>
      <c r="AB39">
        <f t="shared" si="11"/>
        <v>0</v>
      </c>
      <c r="AC39">
        <f t="shared" si="12"/>
        <v>0</v>
      </c>
      <c r="AD39">
        <f t="shared" si="13"/>
        <v>0</v>
      </c>
      <c r="AE39" s="6">
        <f t="shared" si="14"/>
        <v>45103</v>
      </c>
    </row>
    <row r="40" spans="1:31" x14ac:dyDescent="0.3">
      <c r="A40">
        <v>5375852</v>
      </c>
      <c r="B40" t="s">
        <v>31</v>
      </c>
      <c r="C40">
        <v>22.75</v>
      </c>
      <c r="D40">
        <v>61620.348517945473</v>
      </c>
      <c r="E40">
        <v>7492.6321110656254</v>
      </c>
      <c r="F40">
        <v>6148.4835449432258</v>
      </c>
      <c r="G40">
        <v>0</v>
      </c>
      <c r="H40">
        <v>23.47809630477116</v>
      </c>
      <c r="I40">
        <v>4761.294004527077</v>
      </c>
      <c r="J40">
        <v>8.0393158712604027</v>
      </c>
      <c r="K40">
        <v>28580.866659529431</v>
      </c>
      <c r="L40" s="2">
        <v>45104.177083333343</v>
      </c>
      <c r="M40" s="2">
        <v>45105.125</v>
      </c>
      <c r="R40">
        <f t="shared" si="1"/>
        <v>0.7959870591403041</v>
      </c>
      <c r="S40">
        <f t="shared" si="2"/>
        <v>2156.0000000000009</v>
      </c>
      <c r="T40">
        <f t="shared" si="3"/>
        <v>262.15552524427846</v>
      </c>
      <c r="U40">
        <f t="shared" si="4"/>
        <v>215.12586088404001</v>
      </c>
      <c r="V40">
        <f t="shared" si="5"/>
        <v>0</v>
      </c>
      <c r="W40">
        <f t="shared" si="6"/>
        <v>0.82146201458670931</v>
      </c>
      <c r="X40">
        <f t="shared" si="7"/>
        <v>166.59025988421408</v>
      </c>
      <c r="Y40">
        <f t="shared" si="8"/>
        <v>0.2812831383676721</v>
      </c>
      <c r="Z40">
        <f t="shared" si="9"/>
        <v>999.99999999999989</v>
      </c>
      <c r="AA40">
        <f t="shared" si="10"/>
        <v>0</v>
      </c>
      <c r="AB40">
        <f t="shared" si="11"/>
        <v>0</v>
      </c>
      <c r="AC40">
        <f t="shared" si="12"/>
        <v>0</v>
      </c>
      <c r="AD40">
        <f t="shared" si="13"/>
        <v>0</v>
      </c>
      <c r="AE40" s="6">
        <f t="shared" si="14"/>
        <v>45104</v>
      </c>
    </row>
    <row r="41" spans="1:31" x14ac:dyDescent="0.3">
      <c r="A41">
        <v>5375849</v>
      </c>
      <c r="B41" t="s">
        <v>23</v>
      </c>
      <c r="C41">
        <v>74.166666666666671</v>
      </c>
      <c r="D41">
        <v>206448.49681802531</v>
      </c>
      <c r="E41">
        <v>21664.080859856778</v>
      </c>
      <c r="F41">
        <v>22944.188908167202</v>
      </c>
      <c r="G41">
        <v>2252.2346821623269</v>
      </c>
      <c r="H41">
        <v>2295.7791195485129</v>
      </c>
      <c r="I41">
        <v>58111.886704741861</v>
      </c>
      <c r="J41">
        <v>36533.855918653469</v>
      </c>
      <c r="K41">
        <v>95755.33247589301</v>
      </c>
      <c r="L41" s="2">
        <v>45105.125</v>
      </c>
      <c r="M41" s="2">
        <v>45108.215277777781</v>
      </c>
      <c r="R41">
        <f t="shared" si="1"/>
        <v>0.77454346143426089</v>
      </c>
      <c r="S41">
        <f t="shared" si="2"/>
        <v>2155.9999999999995</v>
      </c>
      <c r="T41">
        <f t="shared" si="3"/>
        <v>226.24411925373286</v>
      </c>
      <c r="U41">
        <f t="shared" si="4"/>
        <v>239.61264939415818</v>
      </c>
      <c r="V41">
        <f t="shared" si="5"/>
        <v>23.520723326080461</v>
      </c>
      <c r="W41">
        <f t="shared" si="6"/>
        <v>23.975470192498047</v>
      </c>
      <c r="X41">
        <f t="shared" si="7"/>
        <v>606.87885679235546</v>
      </c>
      <c r="Y41">
        <f t="shared" si="8"/>
        <v>381.53338277898087</v>
      </c>
      <c r="Z41">
        <f t="shared" si="9"/>
        <v>1000</v>
      </c>
      <c r="AA41">
        <f t="shared" si="10"/>
        <v>0</v>
      </c>
      <c r="AB41">
        <f t="shared" si="11"/>
        <v>0</v>
      </c>
      <c r="AC41">
        <f t="shared" si="12"/>
        <v>0</v>
      </c>
      <c r="AD41">
        <f t="shared" si="13"/>
        <v>0</v>
      </c>
      <c r="AE41" s="6">
        <f t="shared" si="14"/>
        <v>45105</v>
      </c>
    </row>
    <row r="42" spans="1:31" x14ac:dyDescent="0.3">
      <c r="A42">
        <v>5376297</v>
      </c>
      <c r="B42" t="s">
        <v>24</v>
      </c>
      <c r="C42">
        <v>20.916666666666671</v>
      </c>
      <c r="D42">
        <v>54141.72985496834</v>
      </c>
      <c r="E42">
        <v>6009.6729644065299</v>
      </c>
      <c r="F42">
        <v>6013.7003998891378</v>
      </c>
      <c r="G42">
        <v>292.96058335293861</v>
      </c>
      <c r="H42">
        <v>291.3737224470978</v>
      </c>
      <c r="I42">
        <v>19675.50046521008</v>
      </c>
      <c r="J42">
        <v>11679.354863352721</v>
      </c>
      <c r="K42">
        <v>25112.11959877938</v>
      </c>
      <c r="L42" s="2">
        <v>45108.291666666657</v>
      </c>
      <c r="M42" s="2">
        <v>45109.163194444453</v>
      </c>
      <c r="R42">
        <f t="shared" si="1"/>
        <v>0.83293115041087029</v>
      </c>
      <c r="S42">
        <f t="shared" si="2"/>
        <v>2156</v>
      </c>
      <c r="T42">
        <f t="shared" si="3"/>
        <v>239.31364856587575</v>
      </c>
      <c r="U42">
        <f t="shared" si="4"/>
        <v>239.47402672379135</v>
      </c>
      <c r="V42">
        <f t="shared" si="5"/>
        <v>11.666103380902124</v>
      </c>
      <c r="W42">
        <f t="shared" si="6"/>
        <v>11.602912342821933</v>
      </c>
      <c r="X42">
        <f t="shared" si="7"/>
        <v>783.50616274408173</v>
      </c>
      <c r="Y42">
        <f t="shared" si="8"/>
        <v>465.08837366004013</v>
      </c>
      <c r="Z42">
        <f t="shared" si="9"/>
        <v>1000</v>
      </c>
      <c r="AA42">
        <f t="shared" si="10"/>
        <v>0</v>
      </c>
      <c r="AB42">
        <f t="shared" si="11"/>
        <v>0</v>
      </c>
      <c r="AC42">
        <f t="shared" si="12"/>
        <v>0</v>
      </c>
      <c r="AD42">
        <f t="shared" si="13"/>
        <v>0</v>
      </c>
      <c r="AE42" s="6">
        <f t="shared" si="14"/>
        <v>45108</v>
      </c>
    </row>
    <row r="43" spans="1:31" x14ac:dyDescent="0.3">
      <c r="A43">
        <v>5376301</v>
      </c>
      <c r="B43" t="s">
        <v>23</v>
      </c>
      <c r="C43">
        <v>24.083333333333329</v>
      </c>
      <c r="D43">
        <v>50567.580073038</v>
      </c>
      <c r="E43">
        <v>894.74684988134356</v>
      </c>
      <c r="F43">
        <v>5796.9046605356698</v>
      </c>
      <c r="G43">
        <v>2308.1961449301102</v>
      </c>
      <c r="H43">
        <v>911.17262555476941</v>
      </c>
      <c r="I43">
        <v>8948.3372598375208</v>
      </c>
      <c r="J43">
        <v>7000.1786664707925</v>
      </c>
      <c r="K43">
        <v>23454.350683227269</v>
      </c>
      <c r="L43" s="2">
        <v>45109.163194444453</v>
      </c>
      <c r="M43" s="2">
        <v>45110.166666666657</v>
      </c>
      <c r="R43">
        <f t="shared" si="1"/>
        <v>1.0268173124296236</v>
      </c>
      <c r="S43">
        <f t="shared" si="2"/>
        <v>2156.0000000000005</v>
      </c>
      <c r="T43">
        <f t="shared" si="3"/>
        <v>38.148438298963313</v>
      </c>
      <c r="U43">
        <f t="shared" si="4"/>
        <v>247.15690230901026</v>
      </c>
      <c r="V43">
        <f t="shared" si="5"/>
        <v>98.412280779137191</v>
      </c>
      <c r="W43">
        <f t="shared" si="6"/>
        <v>38.848767883664728</v>
      </c>
      <c r="X43">
        <f t="shared" si="7"/>
        <v>381.5214234959264</v>
      </c>
      <c r="Y43">
        <f t="shared" si="8"/>
        <v>298.45970843596098</v>
      </c>
      <c r="Z43">
        <f t="shared" si="9"/>
        <v>999.99999999999989</v>
      </c>
      <c r="AA43">
        <f t="shared" si="10"/>
        <v>0</v>
      </c>
      <c r="AB43">
        <f t="shared" si="11"/>
        <v>0</v>
      </c>
      <c r="AC43">
        <f t="shared" si="12"/>
        <v>0</v>
      </c>
      <c r="AD43">
        <f t="shared" si="13"/>
        <v>0</v>
      </c>
      <c r="AE43" s="6">
        <f t="shared" si="14"/>
        <v>45109</v>
      </c>
    </row>
    <row r="44" spans="1:31" x14ac:dyDescent="0.3">
      <c r="A44">
        <v>5376451</v>
      </c>
      <c r="B44" t="s">
        <v>24</v>
      </c>
      <c r="C44">
        <v>155</v>
      </c>
      <c r="D44">
        <v>398628.04271822551</v>
      </c>
      <c r="E44">
        <v>1825.676389020038</v>
      </c>
      <c r="F44">
        <v>31783.441916341078</v>
      </c>
      <c r="G44">
        <v>943.45456127000421</v>
      </c>
      <c r="H44">
        <v>-24278.526068461459</v>
      </c>
      <c r="I44">
        <v>130382.93090363769</v>
      </c>
      <c r="J44">
        <v>83699.128834674208</v>
      </c>
      <c r="K44">
        <v>184892.4131346129</v>
      </c>
      <c r="L44" s="2">
        <v>45110.583333333343</v>
      </c>
      <c r="M44" s="2">
        <v>45124.885416666657</v>
      </c>
      <c r="R44">
        <f t="shared" si="1"/>
        <v>0.83832536647758815</v>
      </c>
      <c r="S44">
        <f t="shared" si="2"/>
        <v>2156.0000000000005</v>
      </c>
      <c r="T44">
        <f t="shared" si="3"/>
        <v>9.8742634057722789</v>
      </c>
      <c r="U44">
        <f t="shared" si="4"/>
        <v>171.90235866087593</v>
      </c>
      <c r="V44">
        <f t="shared" si="5"/>
        <v>5.1027218763330868</v>
      </c>
      <c r="W44">
        <f t="shared" si="6"/>
        <v>-131.3116404121202</v>
      </c>
      <c r="X44">
        <f t="shared" si="7"/>
        <v>705.18269891751049</v>
      </c>
      <c r="Y44">
        <f t="shared" si="8"/>
        <v>452.69098615602019</v>
      </c>
      <c r="Z44">
        <f t="shared" si="9"/>
        <v>999.99999999999989</v>
      </c>
      <c r="AA44">
        <f t="shared" si="10"/>
        <v>0</v>
      </c>
      <c r="AB44">
        <f t="shared" si="11"/>
        <v>0</v>
      </c>
      <c r="AC44">
        <f t="shared" si="12"/>
        <v>0</v>
      </c>
      <c r="AD44">
        <f t="shared" si="13"/>
        <v>0</v>
      </c>
      <c r="AE44" s="6">
        <f t="shared" si="14"/>
        <v>45110</v>
      </c>
    </row>
    <row r="45" spans="1:31" x14ac:dyDescent="0.3">
      <c r="A45">
        <v>5376454</v>
      </c>
      <c r="B45" t="s">
        <v>33</v>
      </c>
      <c r="C45">
        <v>23.5</v>
      </c>
      <c r="D45">
        <v>44394.560791768417</v>
      </c>
      <c r="E45">
        <v>3811.132597312941</v>
      </c>
      <c r="F45">
        <v>3801.5474271407979</v>
      </c>
      <c r="G45">
        <v>0</v>
      </c>
      <c r="H45">
        <v>-38.882178125589917</v>
      </c>
      <c r="I45">
        <v>11172.668421525441</v>
      </c>
      <c r="J45">
        <v>6994.6870350563368</v>
      </c>
      <c r="K45">
        <v>19160.362879485721</v>
      </c>
      <c r="L45" s="2">
        <v>45111.354166666657</v>
      </c>
      <c r="M45" s="2">
        <v>45112.326388888891</v>
      </c>
      <c r="R45">
        <f t="shared" si="1"/>
        <v>1.2264903409089691</v>
      </c>
      <c r="S45">
        <f t="shared" si="2"/>
        <v>2317</v>
      </c>
      <c r="T45">
        <f t="shared" si="3"/>
        <v>198.90711993734615</v>
      </c>
      <c r="U45">
        <f t="shared" si="4"/>
        <v>198.40685957002262</v>
      </c>
      <c r="V45">
        <f t="shared" si="5"/>
        <v>0</v>
      </c>
      <c r="W45">
        <f t="shared" si="6"/>
        <v>-2.0293028044484274</v>
      </c>
      <c r="X45">
        <f t="shared" si="7"/>
        <v>583.1136128161537</v>
      </c>
      <c r="Y45">
        <f t="shared" si="8"/>
        <v>365.06025898628906</v>
      </c>
      <c r="Z45">
        <f t="shared" si="9"/>
        <v>1000.0000000000001</v>
      </c>
      <c r="AA45">
        <f t="shared" si="10"/>
        <v>0</v>
      </c>
      <c r="AB45">
        <f t="shared" si="11"/>
        <v>0</v>
      </c>
      <c r="AC45">
        <f t="shared" si="12"/>
        <v>0</v>
      </c>
      <c r="AD45">
        <f t="shared" si="13"/>
        <v>0</v>
      </c>
      <c r="AE45" s="6">
        <f t="shared" si="14"/>
        <v>45111</v>
      </c>
    </row>
    <row r="46" spans="1:31" x14ac:dyDescent="0.3">
      <c r="A46">
        <v>5376531</v>
      </c>
      <c r="B46" t="s">
        <v>35</v>
      </c>
      <c r="C46">
        <v>2.416666666666667</v>
      </c>
      <c r="D46">
        <v>4573.4333620339085</v>
      </c>
      <c r="E46">
        <v>287.50425922393669</v>
      </c>
      <c r="F46">
        <v>310.78715946027393</v>
      </c>
      <c r="G46">
        <v>0</v>
      </c>
      <c r="H46">
        <v>55.244075368243273</v>
      </c>
      <c r="I46">
        <v>1018.848842152589</v>
      </c>
      <c r="J46">
        <v>665.05888906831422</v>
      </c>
      <c r="K46">
        <v>1973.8598886637501</v>
      </c>
      <c r="L46" s="2">
        <v>45112.322916666657</v>
      </c>
      <c r="M46" s="2">
        <v>45112.423611111109</v>
      </c>
      <c r="R46">
        <f t="shared" si="1"/>
        <v>1.2243354660308159</v>
      </c>
      <c r="S46">
        <f t="shared" si="2"/>
        <v>2316.9999999999995</v>
      </c>
      <c r="T46">
        <f t="shared" si="3"/>
        <v>145.65585980804815</v>
      </c>
      <c r="U46">
        <f t="shared" si="4"/>
        <v>157.45147933000879</v>
      </c>
      <c r="V46">
        <f t="shared" si="5"/>
        <v>0</v>
      </c>
      <c r="W46">
        <f t="shared" si="6"/>
        <v>27.987840315070194</v>
      </c>
      <c r="X46">
        <f t="shared" si="7"/>
        <v>516.17080219524712</v>
      </c>
      <c r="Y46">
        <f t="shared" si="8"/>
        <v>336.93317995257564</v>
      </c>
      <c r="Z46">
        <f t="shared" si="9"/>
        <v>1000</v>
      </c>
      <c r="AA46">
        <f t="shared" si="10"/>
        <v>0</v>
      </c>
      <c r="AB46">
        <f t="shared" si="11"/>
        <v>0</v>
      </c>
      <c r="AC46">
        <f t="shared" si="12"/>
        <v>0</v>
      </c>
      <c r="AD46">
        <f t="shared" si="13"/>
        <v>0</v>
      </c>
      <c r="AE46" s="6">
        <f t="shared" si="14"/>
        <v>45112</v>
      </c>
    </row>
    <row r="47" spans="1:31" x14ac:dyDescent="0.3">
      <c r="A47">
        <v>5376448</v>
      </c>
      <c r="B47" t="s">
        <v>26</v>
      </c>
      <c r="C47">
        <v>8.9166666666666661</v>
      </c>
      <c r="D47">
        <v>23363.455632166639</v>
      </c>
      <c r="E47">
        <v>1502.6708245341069</v>
      </c>
      <c r="F47">
        <v>1579.758387951194</v>
      </c>
      <c r="G47">
        <v>0</v>
      </c>
      <c r="H47">
        <v>2.8101065747492271</v>
      </c>
      <c r="I47">
        <v>7000.3268392709479</v>
      </c>
      <c r="J47">
        <v>4044.7338349249549</v>
      </c>
      <c r="K47">
        <v>10328.67180909223</v>
      </c>
      <c r="L47" s="2">
        <v>45112.423611111109</v>
      </c>
      <c r="M47" s="2">
        <v>45112.795138888891</v>
      </c>
      <c r="R47">
        <f t="shared" si="1"/>
        <v>0.86329267029449142</v>
      </c>
      <c r="S47">
        <f t="shared" si="2"/>
        <v>2262.0000000000014</v>
      </c>
      <c r="T47">
        <f t="shared" si="3"/>
        <v>145.48538788998218</v>
      </c>
      <c r="U47">
        <f t="shared" si="4"/>
        <v>152.94884155003822</v>
      </c>
      <c r="V47">
        <f t="shared" si="5"/>
        <v>0</v>
      </c>
      <c r="W47">
        <f t="shared" si="6"/>
        <v>0.27206853181989166</v>
      </c>
      <c r="X47">
        <f t="shared" si="7"/>
        <v>677.75673084206505</v>
      </c>
      <c r="Y47">
        <f t="shared" si="8"/>
        <v>391.60251285788894</v>
      </c>
      <c r="Z47">
        <f t="shared" si="9"/>
        <v>1000</v>
      </c>
      <c r="AA47">
        <f t="shared" si="10"/>
        <v>0</v>
      </c>
      <c r="AB47">
        <f t="shared" si="11"/>
        <v>0</v>
      </c>
      <c r="AC47">
        <f t="shared" si="12"/>
        <v>0</v>
      </c>
      <c r="AD47">
        <f t="shared" si="13"/>
        <v>0</v>
      </c>
      <c r="AE47" s="6">
        <f t="shared" si="14"/>
        <v>45112</v>
      </c>
    </row>
    <row r="48" spans="1:31" x14ac:dyDescent="0.3">
      <c r="A48">
        <v>5376742</v>
      </c>
      <c r="B48" t="s">
        <v>23</v>
      </c>
      <c r="C48">
        <v>20.333333333333339</v>
      </c>
      <c r="D48">
        <v>46173.638152898217</v>
      </c>
      <c r="E48">
        <v>-22039.101452756218</v>
      </c>
      <c r="F48">
        <v>4343.6480056702421</v>
      </c>
      <c r="G48">
        <v>49.537368426724143</v>
      </c>
      <c r="H48">
        <v>-1.8306455865868541</v>
      </c>
      <c r="I48">
        <v>14166.14586680229</v>
      </c>
      <c r="J48">
        <v>9150.2873537480464</v>
      </c>
      <c r="K48">
        <v>21416.344226761688</v>
      </c>
      <c r="L48" s="2">
        <v>45112.802083333343</v>
      </c>
      <c r="M48" s="2">
        <v>45113.649305555547</v>
      </c>
      <c r="R48">
        <f t="shared" si="1"/>
        <v>0.94943063662214455</v>
      </c>
      <c r="S48">
        <f t="shared" si="2"/>
        <v>2156.0000000000009</v>
      </c>
      <c r="T48">
        <f t="shared" si="3"/>
        <v>-1029.0785962067391</v>
      </c>
      <c r="U48">
        <f t="shared" si="4"/>
        <v>202.81930285013141</v>
      </c>
      <c r="V48">
        <f t="shared" si="5"/>
        <v>2.3130637004247743</v>
      </c>
      <c r="W48">
        <f t="shared" si="6"/>
        <v>-8.5478901870623389E-2</v>
      </c>
      <c r="X48">
        <f t="shared" si="7"/>
        <v>661.46424043279944</v>
      </c>
      <c r="Y48">
        <f t="shared" si="8"/>
        <v>427.25720397760148</v>
      </c>
      <c r="Z48">
        <f t="shared" si="9"/>
        <v>1000</v>
      </c>
      <c r="AA48">
        <f t="shared" si="10"/>
        <v>0</v>
      </c>
      <c r="AB48">
        <f t="shared" si="11"/>
        <v>0</v>
      </c>
      <c r="AC48">
        <f t="shared" si="12"/>
        <v>0</v>
      </c>
      <c r="AD48">
        <f t="shared" si="13"/>
        <v>0</v>
      </c>
      <c r="AE48" s="6">
        <f t="shared" si="14"/>
        <v>45112</v>
      </c>
    </row>
    <row r="49" spans="1:31" x14ac:dyDescent="0.3">
      <c r="A49">
        <v>5376350</v>
      </c>
      <c r="B49" t="s">
        <v>31</v>
      </c>
      <c r="C49">
        <v>6.666666666666667</v>
      </c>
      <c r="D49">
        <v>17167.420059782329</v>
      </c>
      <c r="E49">
        <v>0</v>
      </c>
      <c r="F49">
        <v>1349.738105808224</v>
      </c>
      <c r="G49">
        <v>0</v>
      </c>
      <c r="H49">
        <v>0</v>
      </c>
      <c r="I49">
        <v>6342.9993920182133</v>
      </c>
      <c r="J49">
        <v>3752.2328375413458</v>
      </c>
      <c r="K49">
        <v>7962.6252596392969</v>
      </c>
      <c r="L49" s="2">
        <v>45113.645833333343</v>
      </c>
      <c r="M49" s="2">
        <v>45113.923611111109</v>
      </c>
      <c r="R49">
        <f t="shared" si="1"/>
        <v>0.83724480925385958</v>
      </c>
      <c r="S49">
        <f t="shared" si="2"/>
        <v>2156.0000000000009</v>
      </c>
      <c r="T49">
        <f t="shared" si="3"/>
        <v>0</v>
      </c>
      <c r="U49">
        <f t="shared" si="4"/>
        <v>169.50918344101083</v>
      </c>
      <c r="V49">
        <f t="shared" si="5"/>
        <v>0</v>
      </c>
      <c r="W49">
        <f t="shared" si="6"/>
        <v>0</v>
      </c>
      <c r="X49">
        <f t="shared" si="7"/>
        <v>796.59649741014528</v>
      </c>
      <c r="Y49">
        <f t="shared" si="8"/>
        <v>471.23061995150584</v>
      </c>
      <c r="Z49">
        <f t="shared" si="9"/>
        <v>1000</v>
      </c>
      <c r="AA49">
        <f t="shared" si="10"/>
        <v>0</v>
      </c>
      <c r="AB49">
        <f t="shared" si="11"/>
        <v>0</v>
      </c>
      <c r="AC49">
        <f t="shared" si="12"/>
        <v>0</v>
      </c>
      <c r="AD49">
        <f t="shared" si="13"/>
        <v>0</v>
      </c>
      <c r="AE49" s="6">
        <f t="shared" si="14"/>
        <v>45113</v>
      </c>
    </row>
    <row r="50" spans="1:31" x14ac:dyDescent="0.3">
      <c r="A50">
        <v>5376984</v>
      </c>
      <c r="B50" t="s">
        <v>31</v>
      </c>
      <c r="C50">
        <v>7.583333333333333</v>
      </c>
      <c r="D50">
        <v>19486.84032670944</v>
      </c>
      <c r="E50">
        <v>2374.7416221360349</v>
      </c>
      <c r="F50">
        <v>1874.679152532806</v>
      </c>
      <c r="G50">
        <v>0</v>
      </c>
      <c r="H50">
        <v>19.70813818615369</v>
      </c>
      <c r="I50">
        <v>6659.5933018306896</v>
      </c>
      <c r="J50">
        <v>4355.8506710087167</v>
      </c>
      <c r="K50">
        <v>9038.4231571008513</v>
      </c>
      <c r="L50" s="2">
        <v>45114.430555555547</v>
      </c>
      <c r="M50" s="2">
        <v>45114.746527777781</v>
      </c>
      <c r="R50">
        <f t="shared" si="1"/>
        <v>0.83901065501404892</v>
      </c>
      <c r="S50">
        <f t="shared" si="2"/>
        <v>2156.0000000000009</v>
      </c>
      <c r="T50">
        <f t="shared" si="3"/>
        <v>262.73848666516216</v>
      </c>
      <c r="U50">
        <f t="shared" si="4"/>
        <v>207.41219125816241</v>
      </c>
      <c r="V50">
        <f t="shared" si="5"/>
        <v>0</v>
      </c>
      <c r="W50">
        <f t="shared" si="6"/>
        <v>2.1804841224622677</v>
      </c>
      <c r="X50">
        <f t="shared" si="7"/>
        <v>736.80919625883155</v>
      </c>
      <c r="Y50">
        <f t="shared" si="8"/>
        <v>481.92595050018565</v>
      </c>
      <c r="Z50">
        <f t="shared" si="9"/>
        <v>999.99999999999989</v>
      </c>
      <c r="AA50">
        <f t="shared" si="10"/>
        <v>0</v>
      </c>
      <c r="AB50">
        <f t="shared" si="11"/>
        <v>0</v>
      </c>
      <c r="AC50">
        <f t="shared" si="12"/>
        <v>0</v>
      </c>
      <c r="AD50">
        <f t="shared" si="13"/>
        <v>0</v>
      </c>
      <c r="AE50" s="6">
        <f t="shared" si="14"/>
        <v>45114</v>
      </c>
    </row>
    <row r="51" spans="1:31" x14ac:dyDescent="0.3">
      <c r="A51">
        <v>5376987</v>
      </c>
      <c r="B51" t="s">
        <v>23</v>
      </c>
      <c r="C51">
        <v>13.75</v>
      </c>
      <c r="D51">
        <v>35438.864041889668</v>
      </c>
      <c r="E51">
        <v>3748.677148127264</v>
      </c>
      <c r="F51">
        <v>3774.056128792779</v>
      </c>
      <c r="G51">
        <v>0</v>
      </c>
      <c r="H51">
        <v>26.902259043943388</v>
      </c>
      <c r="I51">
        <v>10734.18234754721</v>
      </c>
      <c r="J51">
        <v>7902.809652930312</v>
      </c>
      <c r="K51">
        <v>16437.320984178881</v>
      </c>
      <c r="L51" s="2">
        <v>45115.208333333343</v>
      </c>
      <c r="M51" s="2">
        <v>45115.78125</v>
      </c>
      <c r="R51">
        <f t="shared" si="1"/>
        <v>0.83651101132809536</v>
      </c>
      <c r="S51">
        <f t="shared" si="2"/>
        <v>2156</v>
      </c>
      <c r="T51">
        <f t="shared" si="3"/>
        <v>228.05888816890604</v>
      </c>
      <c r="U51">
        <f t="shared" si="4"/>
        <v>229.60287338948686</v>
      </c>
      <c r="V51">
        <f t="shared" si="5"/>
        <v>0</v>
      </c>
      <c r="W51">
        <f t="shared" si="6"/>
        <v>1.6366571578079625</v>
      </c>
      <c r="X51">
        <f t="shared" si="7"/>
        <v>653.037216823775</v>
      </c>
      <c r="Y51">
        <f t="shared" si="8"/>
        <v>480.78453055317595</v>
      </c>
      <c r="Z51">
        <f t="shared" si="9"/>
        <v>1000</v>
      </c>
      <c r="AA51">
        <f t="shared" si="10"/>
        <v>0</v>
      </c>
      <c r="AB51">
        <f t="shared" si="11"/>
        <v>0</v>
      </c>
      <c r="AC51">
        <f t="shared" si="12"/>
        <v>0</v>
      </c>
      <c r="AD51">
        <f t="shared" si="13"/>
        <v>0</v>
      </c>
      <c r="AE51" s="6">
        <f t="shared" si="14"/>
        <v>45115</v>
      </c>
    </row>
    <row r="52" spans="1:31" x14ac:dyDescent="0.3">
      <c r="A52">
        <v>5376990</v>
      </c>
      <c r="B52" t="s">
        <v>23</v>
      </c>
      <c r="C52">
        <v>12.08333333333333</v>
      </c>
      <c r="D52">
        <v>30483.067665825649</v>
      </c>
      <c r="E52">
        <v>3334.008165904514</v>
      </c>
      <c r="F52">
        <v>3313.3785513515741</v>
      </c>
      <c r="G52">
        <v>391.45630925458028</v>
      </c>
      <c r="H52">
        <v>385.11141730763399</v>
      </c>
      <c r="I52">
        <v>9472.8262422973148</v>
      </c>
      <c r="J52">
        <v>6177.8298699263587</v>
      </c>
      <c r="K52">
        <v>14138.7141307169</v>
      </c>
      <c r="L52" s="2">
        <v>45116.215277777781</v>
      </c>
      <c r="M52" s="2">
        <v>45116.722222222219</v>
      </c>
      <c r="R52">
        <f t="shared" si="1"/>
        <v>0.85462745916064775</v>
      </c>
      <c r="S52">
        <f t="shared" si="2"/>
        <v>2156.0000000000009</v>
      </c>
      <c r="T52">
        <f t="shared" si="3"/>
        <v>235.80702849499255</v>
      </c>
      <c r="U52">
        <f t="shared" si="4"/>
        <v>234.34794145481249</v>
      </c>
      <c r="V52">
        <f t="shared" si="5"/>
        <v>27.686839526950077</v>
      </c>
      <c r="W52">
        <f t="shared" si="6"/>
        <v>27.238079343507241</v>
      </c>
      <c r="X52">
        <f t="shared" si="7"/>
        <v>669.99206255378169</v>
      </c>
      <c r="Y52">
        <f t="shared" si="8"/>
        <v>436.94425198857266</v>
      </c>
      <c r="Z52">
        <f t="shared" si="9"/>
        <v>1000.0000000000001</v>
      </c>
      <c r="AA52">
        <f t="shared" si="10"/>
        <v>0</v>
      </c>
      <c r="AB52">
        <f t="shared" si="11"/>
        <v>0</v>
      </c>
      <c r="AC52">
        <f t="shared" si="12"/>
        <v>0</v>
      </c>
      <c r="AD52">
        <f t="shared" si="13"/>
        <v>0</v>
      </c>
      <c r="AE52" s="6">
        <f t="shared" si="14"/>
        <v>45116</v>
      </c>
    </row>
    <row r="53" spans="1:31" x14ac:dyDescent="0.3">
      <c r="A53">
        <v>5376992</v>
      </c>
      <c r="B53" t="s">
        <v>31</v>
      </c>
      <c r="C53">
        <v>14.58333333333333</v>
      </c>
      <c r="D53">
        <v>38929.115159031782</v>
      </c>
      <c r="E53">
        <v>2989.154168663013</v>
      </c>
      <c r="F53">
        <v>3662.7028172734199</v>
      </c>
      <c r="G53">
        <v>0</v>
      </c>
      <c r="H53">
        <v>-29.284833921799699</v>
      </c>
      <c r="I53">
        <v>12100.58604937987</v>
      </c>
      <c r="J53">
        <v>7983.9518394043498</v>
      </c>
      <c r="K53">
        <v>18056.175862259639</v>
      </c>
      <c r="L53" s="2">
        <v>45117.1875</v>
      </c>
      <c r="M53" s="2">
        <v>45117.795138888891</v>
      </c>
      <c r="R53">
        <f t="shared" si="1"/>
        <v>0.80766456001433184</v>
      </c>
      <c r="S53">
        <f t="shared" si="2"/>
        <v>2156</v>
      </c>
      <c r="T53">
        <f t="shared" si="3"/>
        <v>165.54746649930641</v>
      </c>
      <c r="U53">
        <f t="shared" si="4"/>
        <v>202.85041778580967</v>
      </c>
      <c r="V53">
        <f t="shared" si="5"/>
        <v>0</v>
      </c>
      <c r="W53">
        <f t="shared" si="6"/>
        <v>-1.6218735431686724</v>
      </c>
      <c r="X53">
        <f t="shared" si="7"/>
        <v>670.16328051345988</v>
      </c>
      <c r="Y53">
        <f t="shared" si="8"/>
        <v>442.17291082615759</v>
      </c>
      <c r="Z53">
        <f t="shared" si="9"/>
        <v>999.99999999999989</v>
      </c>
      <c r="AA53">
        <f t="shared" si="10"/>
        <v>0</v>
      </c>
      <c r="AB53">
        <f t="shared" si="11"/>
        <v>0</v>
      </c>
      <c r="AC53">
        <f t="shared" si="12"/>
        <v>0</v>
      </c>
      <c r="AD53">
        <f t="shared" si="13"/>
        <v>0</v>
      </c>
      <c r="AE53" s="6">
        <f t="shared" si="14"/>
        <v>45117</v>
      </c>
    </row>
    <row r="54" spans="1:31" x14ac:dyDescent="0.3">
      <c r="A54">
        <v>5377108</v>
      </c>
      <c r="B54" t="s">
        <v>23</v>
      </c>
      <c r="C54">
        <v>13.08333333333333</v>
      </c>
      <c r="D54">
        <v>31483.94550567128</v>
      </c>
      <c r="E54">
        <v>4292.5175754153888</v>
      </c>
      <c r="F54">
        <v>3548.3954846308029</v>
      </c>
      <c r="G54">
        <v>0</v>
      </c>
      <c r="H54">
        <v>15.688751195881419</v>
      </c>
      <c r="I54">
        <v>10863.830065367951</v>
      </c>
      <c r="J54">
        <v>6680.4911587269917</v>
      </c>
      <c r="K54">
        <v>14602.94318444865</v>
      </c>
      <c r="L54" s="2">
        <v>45119.253472222219</v>
      </c>
      <c r="M54" s="2">
        <v>45119.798611111109</v>
      </c>
      <c r="R54">
        <f t="shared" si="1"/>
        <v>0.89593811111080524</v>
      </c>
      <c r="S54">
        <f t="shared" si="2"/>
        <v>2155.9999999999995</v>
      </c>
      <c r="T54">
        <f t="shared" si="3"/>
        <v>293.94879656771445</v>
      </c>
      <c r="U54">
        <f t="shared" si="4"/>
        <v>242.991802392935</v>
      </c>
      <c r="V54">
        <f t="shared" si="5"/>
        <v>0</v>
      </c>
      <c r="W54">
        <f t="shared" si="6"/>
        <v>1.0743554225828322</v>
      </c>
      <c r="X54">
        <f t="shared" si="7"/>
        <v>743.94797871550622</v>
      </c>
      <c r="Y54">
        <f t="shared" si="8"/>
        <v>457.47566599049406</v>
      </c>
      <c r="Z54">
        <f t="shared" si="9"/>
        <v>1000</v>
      </c>
      <c r="AA54">
        <f t="shared" si="10"/>
        <v>0</v>
      </c>
      <c r="AB54">
        <f t="shared" si="11"/>
        <v>0</v>
      </c>
      <c r="AC54">
        <f t="shared" si="12"/>
        <v>0</v>
      </c>
      <c r="AD54">
        <f t="shared" si="13"/>
        <v>0</v>
      </c>
      <c r="AE54" s="6">
        <f t="shared" si="14"/>
        <v>45119</v>
      </c>
    </row>
    <row r="55" spans="1:31" x14ac:dyDescent="0.3">
      <c r="A55">
        <v>5377174</v>
      </c>
      <c r="B55" t="s">
        <v>23</v>
      </c>
      <c r="C55">
        <v>15.91666666666667</v>
      </c>
      <c r="D55">
        <v>45004.163138238502</v>
      </c>
      <c r="E55">
        <v>4933.4837929222394</v>
      </c>
      <c r="F55">
        <v>4358.7322064059217</v>
      </c>
      <c r="G55">
        <v>0</v>
      </c>
      <c r="H55">
        <v>28.334149788022959</v>
      </c>
      <c r="I55">
        <v>15054.30574805882</v>
      </c>
      <c r="J55">
        <v>7866.5275275529239</v>
      </c>
      <c r="K55">
        <v>20873.91611235552</v>
      </c>
      <c r="L55" s="2">
        <v>45120.197916666657</v>
      </c>
      <c r="M55" s="2">
        <v>45120.861111111109</v>
      </c>
      <c r="R55">
        <f t="shared" si="1"/>
        <v>0.76251464176601746</v>
      </c>
      <c r="S55">
        <f t="shared" si="2"/>
        <v>2156</v>
      </c>
      <c r="T55">
        <f t="shared" si="3"/>
        <v>236.34682473415</v>
      </c>
      <c r="U55">
        <f t="shared" si="4"/>
        <v>208.81238493748359</v>
      </c>
      <c r="V55">
        <f t="shared" si="5"/>
        <v>0</v>
      </c>
      <c r="W55">
        <f t="shared" si="6"/>
        <v>1.3573950204414031</v>
      </c>
      <c r="X55">
        <f t="shared" si="7"/>
        <v>721.2017940010785</v>
      </c>
      <c r="Y55">
        <f t="shared" si="8"/>
        <v>376.85920960928996</v>
      </c>
      <c r="Z55">
        <f t="shared" si="9"/>
        <v>999.99999999999989</v>
      </c>
      <c r="AA55">
        <f t="shared" si="10"/>
        <v>0</v>
      </c>
      <c r="AB55">
        <f t="shared" si="11"/>
        <v>0</v>
      </c>
      <c r="AC55">
        <f t="shared" si="12"/>
        <v>0</v>
      </c>
      <c r="AD55">
        <f t="shared" si="13"/>
        <v>0</v>
      </c>
      <c r="AE55" s="6">
        <f t="shared" si="14"/>
        <v>45120</v>
      </c>
    </row>
    <row r="56" spans="1:31" x14ac:dyDescent="0.3">
      <c r="A56">
        <v>5377177</v>
      </c>
      <c r="B56" t="s">
        <v>23</v>
      </c>
      <c r="C56">
        <v>5.583333333333333</v>
      </c>
      <c r="D56">
        <v>15183.395345836099</v>
      </c>
      <c r="E56">
        <v>0</v>
      </c>
      <c r="F56">
        <v>1431.2042367677309</v>
      </c>
      <c r="G56">
        <v>0</v>
      </c>
      <c r="H56">
        <v>0</v>
      </c>
      <c r="I56">
        <v>3692.2121706003809</v>
      </c>
      <c r="J56">
        <v>2755.5540922897449</v>
      </c>
      <c r="K56">
        <v>7042.3911622616433</v>
      </c>
      <c r="L56" s="2">
        <v>45121.059027777781</v>
      </c>
      <c r="M56" s="2">
        <v>45121.291666666657</v>
      </c>
      <c r="R56">
        <f t="shared" si="1"/>
        <v>0.79281783767606884</v>
      </c>
      <c r="S56">
        <f t="shared" si="2"/>
        <v>2155.9999999999995</v>
      </c>
      <c r="T56">
        <f t="shared" si="3"/>
        <v>0</v>
      </c>
      <c r="U56">
        <f t="shared" si="4"/>
        <v>203.22702954036194</v>
      </c>
      <c r="V56">
        <f t="shared" si="5"/>
        <v>0</v>
      </c>
      <c r="W56">
        <f t="shared" si="6"/>
        <v>0</v>
      </c>
      <c r="X56">
        <f t="shared" si="7"/>
        <v>524.28388107522244</v>
      </c>
      <c r="Y56">
        <f t="shared" si="8"/>
        <v>391.28103350124144</v>
      </c>
      <c r="Z56">
        <f t="shared" si="9"/>
        <v>1000</v>
      </c>
      <c r="AA56">
        <f t="shared" si="10"/>
        <v>0</v>
      </c>
      <c r="AB56">
        <f t="shared" si="11"/>
        <v>0</v>
      </c>
      <c r="AC56">
        <f t="shared" si="12"/>
        <v>0</v>
      </c>
      <c r="AD56">
        <f t="shared" si="13"/>
        <v>0</v>
      </c>
      <c r="AE56" s="6">
        <f t="shared" si="14"/>
        <v>45121</v>
      </c>
    </row>
    <row r="57" spans="1:31" x14ac:dyDescent="0.3">
      <c r="A57">
        <v>5317177</v>
      </c>
      <c r="B57" t="s">
        <v>23</v>
      </c>
      <c r="C57">
        <v>11.08333333333333</v>
      </c>
      <c r="D57">
        <v>30138.312499315169</v>
      </c>
      <c r="E57">
        <v>2538.4451718457371</v>
      </c>
      <c r="F57">
        <v>2571.1389876814228</v>
      </c>
      <c r="G57">
        <v>0</v>
      </c>
      <c r="H57">
        <v>25.85781309177548</v>
      </c>
      <c r="I57">
        <v>5903.7597279012643</v>
      </c>
      <c r="J57">
        <v>5636.8440829543424</v>
      </c>
      <c r="K57">
        <v>13978.809136973639</v>
      </c>
      <c r="L57" s="2">
        <v>45121.291666666657</v>
      </c>
      <c r="M57" s="2">
        <v>45121.753472222219</v>
      </c>
      <c r="R57">
        <f t="shared" si="1"/>
        <v>0.79286677604161282</v>
      </c>
      <c r="S57">
        <f t="shared" si="2"/>
        <v>2156</v>
      </c>
      <c r="T57">
        <f t="shared" si="3"/>
        <v>181.59237650162962</v>
      </c>
      <c r="U57">
        <f t="shared" si="4"/>
        <v>183.9311891655218</v>
      </c>
      <c r="V57">
        <f t="shared" si="5"/>
        <v>0</v>
      </c>
      <c r="W57">
        <f t="shared" si="6"/>
        <v>1.8497865475094111</v>
      </c>
      <c r="X57">
        <f t="shared" si="7"/>
        <v>422.33638574304234</v>
      </c>
      <c r="Y57">
        <f t="shared" si="8"/>
        <v>403.24208076101525</v>
      </c>
      <c r="Z57">
        <f t="shared" si="9"/>
        <v>1000</v>
      </c>
      <c r="AA57">
        <f t="shared" si="10"/>
        <v>0</v>
      </c>
      <c r="AB57">
        <f t="shared" si="11"/>
        <v>0</v>
      </c>
      <c r="AC57">
        <f t="shared" si="12"/>
        <v>0</v>
      </c>
      <c r="AD57">
        <f t="shared" si="13"/>
        <v>0</v>
      </c>
      <c r="AE57" s="6">
        <f t="shared" si="14"/>
        <v>45121</v>
      </c>
    </row>
    <row r="58" spans="1:31" x14ac:dyDescent="0.3">
      <c r="A58">
        <v>5377181</v>
      </c>
      <c r="B58" t="s">
        <v>23</v>
      </c>
      <c r="C58">
        <v>6.916666666666667</v>
      </c>
      <c r="D58">
        <v>17716.75163397607</v>
      </c>
      <c r="E58">
        <v>2099.7896692898189</v>
      </c>
      <c r="F58">
        <v>2188.3984931876962</v>
      </c>
      <c r="G58">
        <v>224.42385468750001</v>
      </c>
      <c r="H58">
        <v>363.53502351529698</v>
      </c>
      <c r="I58">
        <v>4783.8387311692504</v>
      </c>
      <c r="J58">
        <v>3315.502663600932</v>
      </c>
      <c r="K58">
        <v>8217.4172699332394</v>
      </c>
      <c r="L58" s="2">
        <v>45123.159722222219</v>
      </c>
      <c r="M58" s="2">
        <v>45123.791666666657</v>
      </c>
      <c r="R58">
        <f t="shared" si="1"/>
        <v>0.84170809872027585</v>
      </c>
      <c r="S58">
        <f t="shared" si="2"/>
        <v>2156.0000000000005</v>
      </c>
      <c r="T58">
        <f t="shared" si="3"/>
        <v>255.52915232536051</v>
      </c>
      <c r="U58">
        <f t="shared" si="4"/>
        <v>266.31220264240949</v>
      </c>
      <c r="V58">
        <f t="shared" si="5"/>
        <v>27.31075316190233</v>
      </c>
      <c r="W58">
        <f t="shared" si="6"/>
        <v>44.23957206669273</v>
      </c>
      <c r="X58">
        <f t="shared" si="7"/>
        <v>582.15842934894749</v>
      </c>
      <c r="Y58">
        <f t="shared" si="8"/>
        <v>403.47259420938082</v>
      </c>
      <c r="Z58">
        <f t="shared" si="9"/>
        <v>1000</v>
      </c>
      <c r="AA58">
        <f t="shared" si="10"/>
        <v>0</v>
      </c>
      <c r="AB58">
        <f t="shared" si="11"/>
        <v>0</v>
      </c>
      <c r="AC58">
        <f t="shared" si="12"/>
        <v>0</v>
      </c>
      <c r="AD58">
        <f t="shared" si="13"/>
        <v>0</v>
      </c>
      <c r="AE58" s="6">
        <f t="shared" si="14"/>
        <v>45123</v>
      </c>
    </row>
    <row r="59" spans="1:31" x14ac:dyDescent="0.3">
      <c r="A59">
        <v>5377184</v>
      </c>
      <c r="B59" t="s">
        <v>23</v>
      </c>
      <c r="C59">
        <v>9.4166666666666661</v>
      </c>
      <c r="D59">
        <v>24253.627531831618</v>
      </c>
      <c r="E59">
        <v>-25202.301285226131</v>
      </c>
      <c r="F59">
        <v>2457.3210976014461</v>
      </c>
      <c r="G59">
        <v>0</v>
      </c>
      <c r="H59">
        <v>39.921860979667663</v>
      </c>
      <c r="I59">
        <v>7297.7098348582786</v>
      </c>
      <c r="J59">
        <v>5392.6458144616126</v>
      </c>
      <c r="K59">
        <v>11249.36341921689</v>
      </c>
      <c r="L59" s="2">
        <v>45124.291666666657</v>
      </c>
      <c r="M59" s="2">
        <v>45124.684027777781</v>
      </c>
      <c r="R59">
        <f t="shared" si="1"/>
        <v>0.83708440342326451</v>
      </c>
      <c r="S59">
        <f t="shared" si="2"/>
        <v>2156.0000000000005</v>
      </c>
      <c r="T59">
        <f t="shared" si="3"/>
        <v>-2240.3313277419707</v>
      </c>
      <c r="U59">
        <f t="shared" si="4"/>
        <v>218.44090247841859</v>
      </c>
      <c r="V59">
        <f t="shared" si="5"/>
        <v>0</v>
      </c>
      <c r="W59">
        <f t="shared" si="6"/>
        <v>3.5488106741640646</v>
      </c>
      <c r="X59">
        <f t="shared" si="7"/>
        <v>648.72202656301943</v>
      </c>
      <c r="Y59">
        <f t="shared" si="8"/>
        <v>479.37341994388294</v>
      </c>
      <c r="Z59">
        <f t="shared" si="9"/>
        <v>1000</v>
      </c>
      <c r="AA59">
        <f t="shared" si="10"/>
        <v>0</v>
      </c>
      <c r="AB59">
        <f t="shared" si="11"/>
        <v>0</v>
      </c>
      <c r="AC59">
        <f t="shared" si="12"/>
        <v>0</v>
      </c>
      <c r="AD59">
        <f t="shared" si="13"/>
        <v>0</v>
      </c>
      <c r="AE59" s="6">
        <f t="shared" si="14"/>
        <v>45124</v>
      </c>
    </row>
    <row r="60" spans="1:31" x14ac:dyDescent="0.3">
      <c r="A60">
        <v>5377612</v>
      </c>
      <c r="B60" t="s">
        <v>31</v>
      </c>
      <c r="C60">
        <v>4.333333333333333</v>
      </c>
      <c r="D60">
        <v>8481.561671414489</v>
      </c>
      <c r="E60">
        <v>553.86143936568283</v>
      </c>
      <c r="F60">
        <v>1003.480605608444</v>
      </c>
      <c r="G60">
        <v>2126.1835085397038</v>
      </c>
      <c r="H60">
        <v>1651.392820752463</v>
      </c>
      <c r="I60">
        <v>1229.533841740604</v>
      </c>
      <c r="J60">
        <v>3231.7972986800569</v>
      </c>
      <c r="K60">
        <v>3933.9339848861268</v>
      </c>
      <c r="L60" s="2">
        <v>45125</v>
      </c>
      <c r="M60" s="2">
        <v>45125.392361111109</v>
      </c>
      <c r="R60">
        <f t="shared" si="1"/>
        <v>1.1015267032903113</v>
      </c>
      <c r="S60">
        <f t="shared" si="2"/>
        <v>2156</v>
      </c>
      <c r="T60">
        <f t="shared" si="3"/>
        <v>140.79073047325554</v>
      </c>
      <c r="U60">
        <f t="shared" si="4"/>
        <v>255.08323461037719</v>
      </c>
      <c r="V60">
        <f t="shared" si="5"/>
        <v>540.47259478891556</v>
      </c>
      <c r="W60">
        <f t="shared" si="6"/>
        <v>419.78152838786514</v>
      </c>
      <c r="X60">
        <f t="shared" si="7"/>
        <v>312.54562137147673</v>
      </c>
      <c r="Y60">
        <f t="shared" si="8"/>
        <v>821.51792864251775</v>
      </c>
      <c r="Z60">
        <f t="shared" si="9"/>
        <v>1000</v>
      </c>
      <c r="AA60">
        <f t="shared" si="10"/>
        <v>0</v>
      </c>
      <c r="AB60">
        <f t="shared" si="11"/>
        <v>0</v>
      </c>
      <c r="AC60">
        <f t="shared" si="12"/>
        <v>0</v>
      </c>
      <c r="AD60">
        <f t="shared" si="13"/>
        <v>0</v>
      </c>
      <c r="AE60" s="6">
        <f t="shared" si="14"/>
        <v>45125</v>
      </c>
    </row>
    <row r="61" spans="1:31" x14ac:dyDescent="0.3">
      <c r="A61" t="s">
        <v>22</v>
      </c>
      <c r="B61" t="s">
        <v>27</v>
      </c>
      <c r="C61">
        <v>4</v>
      </c>
      <c r="D61">
        <v>11042.43493159575</v>
      </c>
      <c r="E61">
        <v>1117.1851885696431</v>
      </c>
      <c r="F61">
        <v>1200.915645930274</v>
      </c>
      <c r="G61">
        <v>4494.6216154855183</v>
      </c>
      <c r="H61">
        <v>4785.0842861175524</v>
      </c>
      <c r="I61">
        <v>0</v>
      </c>
      <c r="J61">
        <v>4288.8758375488096</v>
      </c>
      <c r="K61">
        <v>4881.7130555242038</v>
      </c>
      <c r="L61" s="2">
        <v>45125.652777777781</v>
      </c>
      <c r="M61" s="2">
        <v>45125.819444444453</v>
      </c>
      <c r="R61">
        <f t="shared" si="1"/>
        <v>0.8193844977171596</v>
      </c>
      <c r="S61">
        <f t="shared" si="2"/>
        <v>2262.0000000000005</v>
      </c>
      <c r="T61">
        <f t="shared" si="3"/>
        <v>228.85105614829681</v>
      </c>
      <c r="U61">
        <f t="shared" si="4"/>
        <v>246.00291583531393</v>
      </c>
      <c r="V61">
        <f t="shared" si="5"/>
        <v>920.70581870832245</v>
      </c>
      <c r="W61">
        <f t="shared" si="6"/>
        <v>980.20597107867604</v>
      </c>
      <c r="X61">
        <f t="shared" si="7"/>
        <v>0</v>
      </c>
      <c r="Y61">
        <f t="shared" si="8"/>
        <v>878.55959348029842</v>
      </c>
      <c r="Z61">
        <f t="shared" si="9"/>
        <v>1000</v>
      </c>
      <c r="AA61">
        <f t="shared" si="10"/>
        <v>0</v>
      </c>
      <c r="AB61">
        <f t="shared" si="11"/>
        <v>0</v>
      </c>
      <c r="AC61">
        <f t="shared" si="12"/>
        <v>0</v>
      </c>
      <c r="AD61">
        <f t="shared" si="13"/>
        <v>0</v>
      </c>
      <c r="AE61" s="6">
        <f t="shared" si="14"/>
        <v>45125</v>
      </c>
    </row>
    <row r="62" spans="1:31" x14ac:dyDescent="0.3">
      <c r="A62">
        <v>5377686</v>
      </c>
      <c r="B62" t="s">
        <v>29</v>
      </c>
      <c r="C62">
        <v>26.833333333333339</v>
      </c>
      <c r="D62">
        <v>45795.953541070667</v>
      </c>
      <c r="E62">
        <v>7121.2494872143207</v>
      </c>
      <c r="F62">
        <v>6956.4927050826354</v>
      </c>
      <c r="G62">
        <v>27621.11111511504</v>
      </c>
      <c r="H62">
        <v>27834.013196672939</v>
      </c>
      <c r="I62">
        <v>0</v>
      </c>
      <c r="J62">
        <v>28743.5748721038</v>
      </c>
      <c r="K62">
        <v>19765.1935869964</v>
      </c>
      <c r="L62" s="2">
        <v>45125.895833333343</v>
      </c>
      <c r="M62" s="2">
        <v>45127.371527777781</v>
      </c>
      <c r="R62">
        <f t="shared" si="1"/>
        <v>1.3576053892529085</v>
      </c>
      <c r="S62">
        <f t="shared" si="2"/>
        <v>2317.0000000000005</v>
      </c>
      <c r="T62">
        <f t="shared" si="3"/>
        <v>360.29242293378894</v>
      </c>
      <c r="U62">
        <f t="shared" si="4"/>
        <v>351.95672000194014</v>
      </c>
      <c r="V62">
        <f t="shared" si="5"/>
        <v>1397.4622102000094</v>
      </c>
      <c r="W62">
        <f t="shared" si="6"/>
        <v>1408.2337759132827</v>
      </c>
      <c r="X62">
        <f t="shared" si="7"/>
        <v>0</v>
      </c>
      <c r="Y62">
        <f t="shared" si="8"/>
        <v>1454.2521299166183</v>
      </c>
      <c r="Z62">
        <f t="shared" si="9"/>
        <v>1000</v>
      </c>
      <c r="AA62">
        <f t="shared" si="10"/>
        <v>0</v>
      </c>
      <c r="AB62">
        <f t="shared" si="11"/>
        <v>0</v>
      </c>
      <c r="AC62">
        <f t="shared" si="12"/>
        <v>0</v>
      </c>
      <c r="AD62">
        <f t="shared" si="13"/>
        <v>0</v>
      </c>
      <c r="AE62" s="6">
        <f t="shared" si="14"/>
        <v>45125</v>
      </c>
    </row>
    <row r="63" spans="1:31" x14ac:dyDescent="0.3">
      <c r="A63">
        <v>5379646</v>
      </c>
      <c r="B63" t="s">
        <v>24</v>
      </c>
      <c r="C63">
        <v>3.333333333333333</v>
      </c>
      <c r="D63">
        <v>4420.7274542038558</v>
      </c>
      <c r="E63">
        <v>173.40878882856001</v>
      </c>
      <c r="F63">
        <v>225.94382860262851</v>
      </c>
      <c r="G63">
        <v>237.19802189610019</v>
      </c>
      <c r="H63">
        <v>297.51776589169759</v>
      </c>
      <c r="I63">
        <v>0</v>
      </c>
      <c r="J63">
        <v>168.59323739188861</v>
      </c>
      <c r="K63">
        <v>2050.430173563941</v>
      </c>
      <c r="L63" s="2">
        <v>45154.486111111109</v>
      </c>
      <c r="M63" s="2">
        <v>45154.625</v>
      </c>
      <c r="R63">
        <f t="shared" si="1"/>
        <v>1.6256751272536742</v>
      </c>
      <c r="S63">
        <f t="shared" si="2"/>
        <v>2155.9999999999995</v>
      </c>
      <c r="T63">
        <f t="shared" si="3"/>
        <v>84.571906453732453</v>
      </c>
      <c r="U63">
        <f t="shared" si="4"/>
        <v>110.19337869472815</v>
      </c>
      <c r="V63">
        <f t="shared" si="5"/>
        <v>115.68207732907875</v>
      </c>
      <c r="W63">
        <f t="shared" si="6"/>
        <v>145.10016957786431</v>
      </c>
      <c r="X63">
        <f t="shared" si="7"/>
        <v>0</v>
      </c>
      <c r="Y63">
        <f t="shared" si="8"/>
        <v>82.223349795350231</v>
      </c>
      <c r="Z63">
        <f t="shared" si="9"/>
        <v>1000</v>
      </c>
      <c r="AA63">
        <f t="shared" si="10"/>
        <v>0</v>
      </c>
      <c r="AB63">
        <f t="shared" si="11"/>
        <v>0</v>
      </c>
      <c r="AC63">
        <f t="shared" si="12"/>
        <v>0</v>
      </c>
      <c r="AD63">
        <f t="shared" si="13"/>
        <v>0</v>
      </c>
      <c r="AE63" s="6">
        <f t="shared" si="14"/>
        <v>45154</v>
      </c>
    </row>
    <row r="64" spans="1:31" x14ac:dyDescent="0.3">
      <c r="A64">
        <v>5379649</v>
      </c>
      <c r="B64" t="s">
        <v>28</v>
      </c>
      <c r="C64">
        <v>11</v>
      </c>
      <c r="D64">
        <v>20722.12437718215</v>
      </c>
      <c r="E64">
        <v>1972.8750174226379</v>
      </c>
      <c r="F64">
        <v>1985.2818237997999</v>
      </c>
      <c r="G64">
        <v>3337.3002466594298</v>
      </c>
      <c r="H64">
        <v>3338.0676399230888</v>
      </c>
      <c r="I64">
        <v>0</v>
      </c>
      <c r="J64">
        <v>1520.958612035432</v>
      </c>
      <c r="K64">
        <v>8943.5150527329079</v>
      </c>
      <c r="L64" s="2">
        <v>45154.715277777781</v>
      </c>
      <c r="M64" s="2">
        <v>45155.173611111109</v>
      </c>
      <c r="R64">
        <f t="shared" si="1"/>
        <v>1.2299414643058808</v>
      </c>
      <c r="S64">
        <f t="shared" si="2"/>
        <v>2317</v>
      </c>
      <c r="T64">
        <f t="shared" si="3"/>
        <v>220.59279889284448</v>
      </c>
      <c r="U64">
        <f t="shared" si="4"/>
        <v>221.98003940219778</v>
      </c>
      <c r="V64">
        <f t="shared" si="5"/>
        <v>373.15308656406148</v>
      </c>
      <c r="W64">
        <f t="shared" si="6"/>
        <v>373.23889099991635</v>
      </c>
      <c r="X64">
        <f t="shared" si="7"/>
        <v>0</v>
      </c>
      <c r="Y64">
        <f t="shared" si="8"/>
        <v>170.06273294868174</v>
      </c>
      <c r="Z64">
        <f t="shared" si="9"/>
        <v>999.99999999999989</v>
      </c>
      <c r="AA64">
        <f t="shared" si="10"/>
        <v>0</v>
      </c>
      <c r="AB64">
        <f t="shared" si="11"/>
        <v>0</v>
      </c>
      <c r="AC64">
        <f t="shared" si="12"/>
        <v>0</v>
      </c>
      <c r="AD64">
        <f t="shared" si="13"/>
        <v>0</v>
      </c>
      <c r="AE64" s="6">
        <f t="shared" si="14"/>
        <v>45154</v>
      </c>
    </row>
    <row r="65" spans="1:31" x14ac:dyDescent="0.3">
      <c r="A65">
        <v>5379652</v>
      </c>
      <c r="B65" t="s">
        <v>29</v>
      </c>
      <c r="C65">
        <v>14.856666666666669</v>
      </c>
      <c r="D65">
        <v>24763.418331529891</v>
      </c>
      <c r="E65">
        <v>515.83706404785801</v>
      </c>
      <c r="F65">
        <v>3227.689391018142</v>
      </c>
      <c r="G65">
        <v>6016.624134428881</v>
      </c>
      <c r="H65">
        <v>475.56438538869372</v>
      </c>
      <c r="I65">
        <v>-2074</v>
      </c>
      <c r="J65">
        <v>1069.1051049077421</v>
      </c>
      <c r="K65">
        <v>10687.82901662921</v>
      </c>
      <c r="L65" s="2">
        <v>45155.170138888891</v>
      </c>
      <c r="M65" s="2">
        <v>45155.789166666669</v>
      </c>
      <c r="R65">
        <f t="shared" si="1"/>
        <v>1.3900546728012919</v>
      </c>
      <c r="S65">
        <f t="shared" si="2"/>
        <v>2316.9736616295459</v>
      </c>
      <c r="T65">
        <f t="shared" si="3"/>
        <v>48.263970470080153</v>
      </c>
      <c r="U65">
        <f t="shared" si="4"/>
        <v>301.99672786645209</v>
      </c>
      <c r="V65">
        <f t="shared" si="5"/>
        <v>562.94165307730941</v>
      </c>
      <c r="W65">
        <f t="shared" si="6"/>
        <v>44.495882620199325</v>
      </c>
      <c r="X65">
        <f t="shared" si="7"/>
        <v>-194.05250559052359</v>
      </c>
      <c r="Y65">
        <f t="shared" si="8"/>
        <v>100.03014674395705</v>
      </c>
      <c r="Z65">
        <f t="shared" si="9"/>
        <v>1000</v>
      </c>
      <c r="AA65">
        <f t="shared" si="10"/>
        <v>0</v>
      </c>
      <c r="AB65">
        <f t="shared" si="11"/>
        <v>0</v>
      </c>
      <c r="AC65">
        <f t="shared" si="12"/>
        <v>0</v>
      </c>
      <c r="AD65">
        <f t="shared" si="13"/>
        <v>0</v>
      </c>
      <c r="AE65" s="6">
        <f t="shared" si="14"/>
        <v>45155</v>
      </c>
    </row>
    <row r="66" spans="1:31" x14ac:dyDescent="0.3">
      <c r="A66">
        <v>5379655</v>
      </c>
      <c r="B66" t="s">
        <v>33</v>
      </c>
      <c r="C66">
        <v>41.7</v>
      </c>
      <c r="D66">
        <v>69509</v>
      </c>
      <c r="E66">
        <v>0</v>
      </c>
      <c r="F66">
        <v>9060</v>
      </c>
      <c r="G66">
        <v>16891</v>
      </c>
      <c r="H66">
        <v>0</v>
      </c>
      <c r="I66">
        <v>7260</v>
      </c>
      <c r="J66">
        <v>22501</v>
      </c>
      <c r="K66">
        <v>30000</v>
      </c>
      <c r="L66" s="2">
        <v>45155.291666666657</v>
      </c>
      <c r="M66" s="2">
        <v>45157.526666666658</v>
      </c>
      <c r="R66">
        <f t="shared" si="1"/>
        <v>1.39</v>
      </c>
      <c r="S66">
        <f t="shared" si="2"/>
        <v>2316.9666666666667</v>
      </c>
      <c r="T66">
        <f t="shared" si="3"/>
        <v>0</v>
      </c>
      <c r="U66">
        <f t="shared" si="4"/>
        <v>302</v>
      </c>
      <c r="V66">
        <f t="shared" si="5"/>
        <v>563.0333333333333</v>
      </c>
      <c r="W66">
        <f t="shared" si="6"/>
        <v>0</v>
      </c>
      <c r="X66">
        <f t="shared" si="7"/>
        <v>242</v>
      </c>
      <c r="Y66">
        <f t="shared" si="8"/>
        <v>750.0333333333333</v>
      </c>
      <c r="Z66">
        <f t="shared" si="9"/>
        <v>1000</v>
      </c>
      <c r="AA66">
        <f t="shared" si="10"/>
        <v>0</v>
      </c>
      <c r="AB66">
        <f t="shared" si="11"/>
        <v>0</v>
      </c>
      <c r="AC66">
        <f t="shared" si="12"/>
        <v>0</v>
      </c>
      <c r="AD66">
        <f t="shared" si="13"/>
        <v>0</v>
      </c>
      <c r="AE66" s="6">
        <f t="shared" si="14"/>
        <v>45155</v>
      </c>
    </row>
    <row r="67" spans="1:31" x14ac:dyDescent="0.3">
      <c r="A67">
        <v>5379968</v>
      </c>
      <c r="B67" t="s">
        <v>26</v>
      </c>
      <c r="C67">
        <v>9.0399999999999991</v>
      </c>
      <c r="D67">
        <v>22224</v>
      </c>
      <c r="E67">
        <v>0</v>
      </c>
      <c r="F67">
        <v>2309</v>
      </c>
      <c r="G67">
        <v>865</v>
      </c>
      <c r="H67">
        <v>0</v>
      </c>
      <c r="I67">
        <v>6652</v>
      </c>
      <c r="J67">
        <v>4205</v>
      </c>
      <c r="K67">
        <v>9825</v>
      </c>
      <c r="L67" s="2">
        <v>45157.291666666657</v>
      </c>
      <c r="M67" s="2">
        <v>45157.668333333328</v>
      </c>
      <c r="R67">
        <f t="shared" ref="R67:R72" si="15">1000*C67/$K67</f>
        <v>0.92010178117048347</v>
      </c>
      <c r="S67">
        <f t="shared" ref="S67:S72" si="16">1000*D67/$K67</f>
        <v>2261.9847328244273</v>
      </c>
      <c r="T67">
        <f t="shared" ref="T67:T72" si="17">1000*E67/$K67</f>
        <v>0</v>
      </c>
      <c r="U67">
        <f t="shared" ref="U67:U72" si="18">1000*F67/$K67</f>
        <v>235.01272264631044</v>
      </c>
      <c r="V67">
        <f t="shared" ref="V67:V72" si="19">1000*G67/$K67</f>
        <v>88.040712468193391</v>
      </c>
      <c r="W67">
        <f t="shared" ref="W67:W72" si="20">1000*H67/$K67</f>
        <v>0</v>
      </c>
      <c r="X67">
        <f t="shared" ref="X67:X72" si="21">1000*I67/$K67</f>
        <v>677.04834605597966</v>
      </c>
      <c r="Y67">
        <f t="shared" ref="Y67:Y72" si="22">1000*J67/$K67</f>
        <v>427.98982188295167</v>
      </c>
      <c r="Z67">
        <f t="shared" ref="Z67:Z72" si="23">1000*K67/$K67</f>
        <v>1000</v>
      </c>
      <c r="AA67">
        <f t="shared" ref="AA67:AA72" si="24">1000*N67/$K67</f>
        <v>0</v>
      </c>
      <c r="AB67">
        <f t="shared" ref="AB67:AB72" si="25">1000*O67/$K67</f>
        <v>0</v>
      </c>
      <c r="AC67">
        <f t="shared" ref="AC67:AC72" si="26">1000*P67/$K67</f>
        <v>0</v>
      </c>
      <c r="AD67">
        <f t="shared" ref="AD67:AD72" si="27">1000*Q67/$K67</f>
        <v>0</v>
      </c>
      <c r="AE67" s="6">
        <f t="shared" ref="AE67:AE72" si="28">DATE(YEAR(L67),MONTH(L67),DAY(L67))</f>
        <v>45157</v>
      </c>
    </row>
    <row r="68" spans="1:31" x14ac:dyDescent="0.3">
      <c r="A68">
        <v>5379965</v>
      </c>
      <c r="B68" t="s">
        <v>27</v>
      </c>
      <c r="C68">
        <v>5.98</v>
      </c>
      <c r="D68">
        <v>14703</v>
      </c>
      <c r="E68">
        <v>0</v>
      </c>
      <c r="F68">
        <v>1528</v>
      </c>
      <c r="G68">
        <v>572</v>
      </c>
      <c r="H68">
        <v>0</v>
      </c>
      <c r="I68">
        <v>4401</v>
      </c>
      <c r="J68">
        <v>2782</v>
      </c>
      <c r="K68">
        <v>6500</v>
      </c>
      <c r="L68" s="2">
        <v>45157.53125</v>
      </c>
      <c r="M68" s="2">
        <v>45157.780416666668</v>
      </c>
      <c r="R68">
        <f t="shared" si="15"/>
        <v>0.92</v>
      </c>
      <c r="S68">
        <f t="shared" si="16"/>
        <v>2262</v>
      </c>
      <c r="T68">
        <f t="shared" si="17"/>
        <v>0</v>
      </c>
      <c r="U68">
        <f t="shared" si="18"/>
        <v>235.07692307692307</v>
      </c>
      <c r="V68">
        <f t="shared" si="19"/>
        <v>88</v>
      </c>
      <c r="W68">
        <f t="shared" si="20"/>
        <v>0</v>
      </c>
      <c r="X68">
        <f t="shared" si="21"/>
        <v>677.07692307692309</v>
      </c>
      <c r="Y68">
        <f t="shared" si="22"/>
        <v>428</v>
      </c>
      <c r="Z68">
        <f t="shared" si="23"/>
        <v>1000</v>
      </c>
      <c r="AA68">
        <f t="shared" si="24"/>
        <v>0</v>
      </c>
      <c r="AB68">
        <f t="shared" si="25"/>
        <v>0</v>
      </c>
      <c r="AC68">
        <f t="shared" si="26"/>
        <v>0</v>
      </c>
      <c r="AD68">
        <f t="shared" si="27"/>
        <v>0</v>
      </c>
      <c r="AE68" s="6">
        <f t="shared" si="28"/>
        <v>45157</v>
      </c>
    </row>
    <row r="69" spans="1:31" x14ac:dyDescent="0.3">
      <c r="A69">
        <v>5379971</v>
      </c>
      <c r="B69" t="s">
        <v>24</v>
      </c>
      <c r="C69">
        <v>106</v>
      </c>
      <c r="D69">
        <v>266522</v>
      </c>
      <c r="E69">
        <v>0</v>
      </c>
      <c r="F69">
        <v>27814.775000000001</v>
      </c>
      <c r="G69">
        <v>8899.9680000000008</v>
      </c>
      <c r="H69">
        <v>4095.8389999999999</v>
      </c>
      <c r="I69">
        <v>80230</v>
      </c>
      <c r="J69">
        <v>49942</v>
      </c>
      <c r="K69">
        <v>123618</v>
      </c>
      <c r="L69" s="2">
        <v>45157.989583333343</v>
      </c>
      <c r="M69" s="2">
        <v>45162.53125</v>
      </c>
      <c r="R69">
        <f t="shared" si="15"/>
        <v>0.8574803022213594</v>
      </c>
      <c r="S69">
        <f t="shared" si="16"/>
        <v>2156.012878383407</v>
      </c>
      <c r="T69">
        <f t="shared" si="17"/>
        <v>0</v>
      </c>
      <c r="U69">
        <f t="shared" si="18"/>
        <v>225.00586484168971</v>
      </c>
      <c r="V69">
        <f t="shared" si="19"/>
        <v>71.995728777362515</v>
      </c>
      <c r="W69">
        <f t="shared" si="20"/>
        <v>33.133030788396511</v>
      </c>
      <c r="X69">
        <f t="shared" si="21"/>
        <v>649.01551553980812</v>
      </c>
      <c r="Y69">
        <f t="shared" si="22"/>
        <v>404.00265333527477</v>
      </c>
      <c r="Z69">
        <f t="shared" si="23"/>
        <v>1000</v>
      </c>
      <c r="AA69">
        <f t="shared" si="24"/>
        <v>0</v>
      </c>
      <c r="AB69">
        <f t="shared" si="25"/>
        <v>0</v>
      </c>
      <c r="AC69">
        <f t="shared" si="26"/>
        <v>0</v>
      </c>
      <c r="AD69">
        <f t="shared" si="27"/>
        <v>0</v>
      </c>
      <c r="AE69" s="6">
        <f t="shared" si="28"/>
        <v>45157</v>
      </c>
    </row>
    <row r="70" spans="1:31" x14ac:dyDescent="0.3">
      <c r="A70">
        <v>5380239</v>
      </c>
      <c r="B70" t="s">
        <v>23</v>
      </c>
      <c r="C70">
        <v>42.25</v>
      </c>
      <c r="D70">
        <v>107852</v>
      </c>
      <c r="E70">
        <v>0</v>
      </c>
      <c r="F70">
        <v>13556.376</v>
      </c>
      <c r="G70">
        <v>3601.4319999999998</v>
      </c>
      <c r="H70">
        <v>0</v>
      </c>
      <c r="I70">
        <v>32465</v>
      </c>
      <c r="J70">
        <v>20209</v>
      </c>
      <c r="K70">
        <v>50024</v>
      </c>
      <c r="L70" s="2">
        <v>45162.53125</v>
      </c>
      <c r="M70" s="2">
        <v>45164.291666666657</v>
      </c>
      <c r="R70">
        <f t="shared" si="15"/>
        <v>0.84459459459459463</v>
      </c>
      <c r="S70">
        <f t="shared" si="16"/>
        <v>2156.0051175435792</v>
      </c>
      <c r="T70">
        <f t="shared" si="17"/>
        <v>0</v>
      </c>
      <c r="U70">
        <f t="shared" si="18"/>
        <v>270.99744122821045</v>
      </c>
      <c r="V70">
        <f t="shared" si="19"/>
        <v>71.994082840236686</v>
      </c>
      <c r="W70">
        <f t="shared" si="20"/>
        <v>0</v>
      </c>
      <c r="X70">
        <f t="shared" si="21"/>
        <v>648.9884855269471</v>
      </c>
      <c r="Y70">
        <f t="shared" si="22"/>
        <v>403.98608667839437</v>
      </c>
      <c r="Z70">
        <f t="shared" si="23"/>
        <v>1000</v>
      </c>
      <c r="AA70">
        <f t="shared" si="24"/>
        <v>0</v>
      </c>
      <c r="AB70">
        <f t="shared" si="25"/>
        <v>0</v>
      </c>
      <c r="AC70">
        <f t="shared" si="26"/>
        <v>0</v>
      </c>
      <c r="AD70">
        <f t="shared" si="27"/>
        <v>0</v>
      </c>
      <c r="AE70" s="6">
        <f t="shared" si="28"/>
        <v>45162</v>
      </c>
    </row>
    <row r="71" spans="1:31" x14ac:dyDescent="0.3">
      <c r="A71">
        <v>5380406</v>
      </c>
      <c r="B71" t="s">
        <v>31</v>
      </c>
      <c r="C71">
        <v>72</v>
      </c>
      <c r="D71">
        <v>181668</v>
      </c>
      <c r="E71">
        <v>0</v>
      </c>
      <c r="F71">
        <v>21823.858</v>
      </c>
      <c r="G71">
        <v>6066.8639999999996</v>
      </c>
      <c r="H71">
        <v>0</v>
      </c>
      <c r="I71">
        <v>54686.144</v>
      </c>
      <c r="J71">
        <v>34041.423999999999</v>
      </c>
      <c r="K71">
        <v>84262</v>
      </c>
      <c r="L71" s="2">
        <v>45164.291666666657</v>
      </c>
      <c r="M71" s="2">
        <v>45167.291666666657</v>
      </c>
      <c r="R71">
        <f t="shared" si="15"/>
        <v>0.85447770050556593</v>
      </c>
      <c r="S71">
        <f t="shared" si="16"/>
        <v>2155.9896513256272</v>
      </c>
      <c r="T71">
        <f t="shared" si="17"/>
        <v>0</v>
      </c>
      <c r="U71">
        <f t="shared" si="18"/>
        <v>259</v>
      </c>
      <c r="V71">
        <f t="shared" si="19"/>
        <v>72</v>
      </c>
      <c r="W71">
        <f t="shared" si="20"/>
        <v>0</v>
      </c>
      <c r="X71">
        <f t="shared" si="21"/>
        <v>649.0012579810591</v>
      </c>
      <c r="Y71">
        <f t="shared" si="22"/>
        <v>403.99496807576367</v>
      </c>
      <c r="Z71">
        <f t="shared" si="23"/>
        <v>1000</v>
      </c>
      <c r="AA71">
        <f t="shared" si="24"/>
        <v>0</v>
      </c>
      <c r="AB71">
        <f t="shared" si="25"/>
        <v>0</v>
      </c>
      <c r="AC71">
        <f t="shared" si="26"/>
        <v>0</v>
      </c>
      <c r="AD71">
        <f t="shared" si="27"/>
        <v>0</v>
      </c>
      <c r="AE71" s="6">
        <f t="shared" si="28"/>
        <v>45164</v>
      </c>
    </row>
    <row r="72" spans="1:31" x14ac:dyDescent="0.3">
      <c r="A72">
        <v>5380412</v>
      </c>
      <c r="B72" t="s">
        <v>24</v>
      </c>
      <c r="C72">
        <v>72</v>
      </c>
      <c r="D72">
        <v>160210</v>
      </c>
      <c r="E72">
        <v>0</v>
      </c>
      <c r="F72">
        <v>16719.525000000001</v>
      </c>
      <c r="G72">
        <v>5350.2479999999996</v>
      </c>
      <c r="H72">
        <v>0</v>
      </c>
      <c r="I72">
        <v>48226.540999999997</v>
      </c>
      <c r="J72">
        <v>30020.835999999999</v>
      </c>
      <c r="K72">
        <v>74309</v>
      </c>
      <c r="L72" s="2">
        <v>45167.291666666657</v>
      </c>
      <c r="M72" s="2">
        <v>45170.291666666657</v>
      </c>
      <c r="R72">
        <f t="shared" si="15"/>
        <v>0.96892704786768757</v>
      </c>
      <c r="S72">
        <f t="shared" si="16"/>
        <v>2155.9972547066977</v>
      </c>
      <c r="T72">
        <f t="shared" si="17"/>
        <v>0</v>
      </c>
      <c r="U72">
        <f t="shared" si="18"/>
        <v>225.00000000000003</v>
      </c>
      <c r="V72">
        <f t="shared" si="19"/>
        <v>72</v>
      </c>
      <c r="W72">
        <f t="shared" si="20"/>
        <v>0</v>
      </c>
      <c r="X72">
        <f t="shared" si="21"/>
        <v>649</v>
      </c>
      <c r="Y72">
        <f t="shared" si="22"/>
        <v>404</v>
      </c>
      <c r="Z72">
        <f t="shared" si="23"/>
        <v>1000</v>
      </c>
      <c r="AA72">
        <f t="shared" si="24"/>
        <v>0</v>
      </c>
      <c r="AB72">
        <f t="shared" si="25"/>
        <v>0</v>
      </c>
      <c r="AC72">
        <f t="shared" si="26"/>
        <v>0</v>
      </c>
      <c r="AD72">
        <f t="shared" si="27"/>
        <v>0</v>
      </c>
      <c r="AE72" s="6">
        <f t="shared" si="28"/>
        <v>45167</v>
      </c>
    </row>
  </sheetData>
  <autoFilter ref="A1:Q1" xr:uid="{00000000-0001-0000-0000-000000000000}">
    <sortState xmlns:xlrd2="http://schemas.microsoft.com/office/spreadsheetml/2017/richdata2" ref="A2:Q72">
      <sortCondition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8A95-1DDD-48A1-BC50-7D6125D28B99}">
  <dimension ref="B3:J5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1" sqref="K11"/>
    </sheetView>
  </sheetViews>
  <sheetFormatPr defaultRowHeight="14.4" x14ac:dyDescent="0.3"/>
  <cols>
    <col min="2" max="2" width="12.5546875" bestFit="1" customWidth="1"/>
    <col min="3" max="3" width="22.21875" bestFit="1" customWidth="1"/>
    <col min="4" max="4" width="24.44140625" bestFit="1" customWidth="1"/>
    <col min="5" max="5" width="23.33203125" bestFit="1" customWidth="1"/>
    <col min="6" max="6" width="27.77734375" bestFit="1" customWidth="1"/>
    <col min="7" max="7" width="30.21875" bestFit="1" customWidth="1"/>
    <col min="8" max="8" width="30.109375" bestFit="1" customWidth="1"/>
    <col min="9" max="9" width="25.88671875" bestFit="1" customWidth="1"/>
    <col min="10" max="10" width="25.109375" bestFit="1" customWidth="1"/>
    <col min="11" max="14" width="24.33203125" bestFit="1" customWidth="1"/>
  </cols>
  <sheetData>
    <row r="3" spans="2:10" x14ac:dyDescent="0.3">
      <c r="B3" s="3" t="s">
        <v>36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</row>
    <row r="4" spans="2:10" x14ac:dyDescent="0.3">
      <c r="B4" s="4">
        <v>120</v>
      </c>
      <c r="C4" s="8">
        <v>1.7728607458811809</v>
      </c>
      <c r="D4" s="8">
        <v>0</v>
      </c>
      <c r="E4" s="8">
        <v>-523.99282074434961</v>
      </c>
      <c r="F4" s="8">
        <v>496.78181253948321</v>
      </c>
      <c r="G4" s="8">
        <v>1618.4139893453298</v>
      </c>
      <c r="H4" s="8">
        <v>772.66933732208838</v>
      </c>
      <c r="I4" s="8">
        <v>0</v>
      </c>
      <c r="J4" s="8">
        <v>876.88677639263312</v>
      </c>
    </row>
    <row r="5" spans="2:10" x14ac:dyDescent="0.3">
      <c r="B5" s="4" t="s">
        <v>34</v>
      </c>
      <c r="C5" s="8">
        <v>1.3894829736148027</v>
      </c>
      <c r="D5" s="8">
        <v>0</v>
      </c>
      <c r="E5" s="8">
        <v>-68.24455397750134</v>
      </c>
      <c r="F5" s="8">
        <v>457.53040336698194</v>
      </c>
      <c r="G5" s="8">
        <v>1403.7466436120367</v>
      </c>
      <c r="H5" s="8">
        <v>274.30227662350359</v>
      </c>
      <c r="I5" s="8">
        <v>0</v>
      </c>
      <c r="J5" s="8">
        <v>1286.9560731126699</v>
      </c>
    </row>
    <row r="6" spans="2:10" x14ac:dyDescent="0.3">
      <c r="B6" s="4" t="s">
        <v>24</v>
      </c>
      <c r="C6" s="8">
        <v>1.0579600905851809</v>
      </c>
      <c r="D6" s="8">
        <v>2156.0011258989007</v>
      </c>
      <c r="E6" s="8">
        <v>-26.712425850379503</v>
      </c>
      <c r="F6" s="8">
        <v>227.78649547583848</v>
      </c>
      <c r="G6" s="8">
        <v>135.66592374562293</v>
      </c>
      <c r="H6" s="8">
        <v>51.337152328184203</v>
      </c>
      <c r="I6" s="8">
        <v>512.49274975934702</v>
      </c>
      <c r="J6" s="8">
        <v>356.11819408064252</v>
      </c>
    </row>
    <row r="7" spans="2:10" x14ac:dyDescent="0.3">
      <c r="B7" s="7" t="s">
        <v>40</v>
      </c>
      <c r="C7" s="8">
        <v>0.93953542852861482</v>
      </c>
      <c r="D7" s="8">
        <v>2156.0000000000005</v>
      </c>
      <c r="E7" s="8">
        <v>-25.811862428038459</v>
      </c>
      <c r="F7" s="8">
        <v>264.28735943118824</v>
      </c>
      <c r="G7" s="8">
        <v>402.33866131900271</v>
      </c>
      <c r="H7" s="8">
        <v>313.12824870576048</v>
      </c>
      <c r="I7" s="8">
        <v>467.18207888995192</v>
      </c>
      <c r="J7" s="8">
        <v>514.99265516352352</v>
      </c>
    </row>
    <row r="8" spans="2:10" x14ac:dyDescent="0.3">
      <c r="B8" s="7" t="s">
        <v>41</v>
      </c>
      <c r="C8" s="8">
        <v>1.0713975819891459</v>
      </c>
      <c r="D8" s="8">
        <v>2155.9999999999991</v>
      </c>
      <c r="E8" s="8">
        <v>-405.75921611487939</v>
      </c>
      <c r="F8" s="8">
        <v>274.00331130629763</v>
      </c>
      <c r="G8" s="8">
        <v>60.684610132057344</v>
      </c>
      <c r="H8" s="8">
        <v>-166.55260340522565</v>
      </c>
      <c r="I8" s="8">
        <v>679.27414587138514</v>
      </c>
      <c r="J8" s="8">
        <v>409.98326916155713</v>
      </c>
    </row>
    <row r="9" spans="2:10" x14ac:dyDescent="0.3">
      <c r="B9" s="7" t="s">
        <v>44</v>
      </c>
      <c r="C9" s="8">
        <v>1.3159712285285434</v>
      </c>
      <c r="D9" s="8">
        <v>2156.0000000000005</v>
      </c>
      <c r="E9" s="8">
        <v>263.15864357900119</v>
      </c>
      <c r="F9" s="8">
        <v>266.208848317677</v>
      </c>
      <c r="G9" s="8">
        <v>420.83880076381263</v>
      </c>
      <c r="H9" s="8">
        <v>423.48685676138609</v>
      </c>
      <c r="I9" s="8">
        <v>0</v>
      </c>
      <c r="J9" s="8">
        <v>62.099190292459205</v>
      </c>
    </row>
    <row r="10" spans="2:10" x14ac:dyDescent="0.3">
      <c r="B10" s="7" t="s">
        <v>45</v>
      </c>
      <c r="C10" s="8">
        <v>0.83562825844422917</v>
      </c>
      <c r="D10" s="8">
        <v>2156</v>
      </c>
      <c r="E10" s="8">
        <v>124.59395598582401</v>
      </c>
      <c r="F10" s="8">
        <v>205.68819269233364</v>
      </c>
      <c r="G10" s="8">
        <v>8.3844126286176053</v>
      </c>
      <c r="H10" s="8">
        <v>-59.85436403464913</v>
      </c>
      <c r="I10" s="8">
        <v>744.34443083079611</v>
      </c>
      <c r="J10" s="8">
        <v>458.88967990803019</v>
      </c>
    </row>
    <row r="11" spans="2:10" x14ac:dyDescent="0.3">
      <c r="B11" s="7" t="s">
        <v>46</v>
      </c>
      <c r="C11" s="8">
        <v>1.1506941591142403</v>
      </c>
      <c r="D11" s="8">
        <v>2156.0033776967011</v>
      </c>
      <c r="E11" s="8">
        <v>28.190635484577484</v>
      </c>
      <c r="F11" s="8">
        <v>186.73308117880595</v>
      </c>
      <c r="G11" s="8">
        <v>86.559268702147094</v>
      </c>
      <c r="H11" s="8">
        <v>59.411066788753601</v>
      </c>
      <c r="I11" s="8">
        <v>432.67183851326939</v>
      </c>
      <c r="J11" s="8">
        <v>296.74200104354168</v>
      </c>
    </row>
    <row r="12" spans="2:10" x14ac:dyDescent="0.3">
      <c r="B12" s="4" t="s">
        <v>26</v>
      </c>
      <c r="C12" s="8">
        <v>1.1105611131416244</v>
      </c>
      <c r="D12" s="8">
        <v>2261.4388154086414</v>
      </c>
      <c r="E12" s="8">
        <v>273.86978427952283</v>
      </c>
      <c r="F12" s="8">
        <v>305.59952943033232</v>
      </c>
      <c r="G12" s="8">
        <v>192.20258183888799</v>
      </c>
      <c r="H12" s="8">
        <v>164.07704751015211</v>
      </c>
      <c r="I12" s="8">
        <v>594.93022190471424</v>
      </c>
      <c r="J12" s="8">
        <v>434.88380514667483</v>
      </c>
    </row>
    <row r="13" spans="2:10" x14ac:dyDescent="0.3">
      <c r="B13" s="4" t="s">
        <v>28</v>
      </c>
      <c r="C13" s="8">
        <v>1.4259590221758844</v>
      </c>
      <c r="D13" s="8">
        <v>2317</v>
      </c>
      <c r="E13" s="8">
        <v>666.9511776296049</v>
      </c>
      <c r="F13" s="8">
        <v>649.16534745073113</v>
      </c>
      <c r="G13" s="8">
        <v>868.12089044447202</v>
      </c>
      <c r="H13" s="8">
        <v>908.05592770932378</v>
      </c>
      <c r="I13" s="8">
        <v>0</v>
      </c>
      <c r="J13" s="8">
        <v>294.32952765899449</v>
      </c>
    </row>
    <row r="14" spans="2:10" x14ac:dyDescent="0.3">
      <c r="B14" s="7" t="s">
        <v>40</v>
      </c>
      <c r="C14" s="8">
        <v>1.9170787686434161</v>
      </c>
      <c r="D14" s="8">
        <v>2317</v>
      </c>
      <c r="E14" s="8">
        <v>1920.9315680745062</v>
      </c>
      <c r="F14" s="8">
        <v>1856.4737527444033</v>
      </c>
      <c r="G14" s="8">
        <v>1943.7543854241869</v>
      </c>
      <c r="H14" s="8">
        <v>2106.8952847534329</v>
      </c>
      <c r="I14" s="8">
        <v>0</v>
      </c>
      <c r="J14" s="8">
        <v>491.75983102184534</v>
      </c>
    </row>
    <row r="15" spans="2:10" x14ac:dyDescent="0.3">
      <c r="B15" s="7" t="s">
        <v>41</v>
      </c>
      <c r="C15" s="8">
        <v>1.3104506760134058</v>
      </c>
      <c r="D15" s="8">
        <v>2316.9999999999995</v>
      </c>
      <c r="E15" s="8">
        <v>300.15178420434614</v>
      </c>
      <c r="F15" s="8">
        <v>294.29718886712567</v>
      </c>
      <c r="G15" s="8">
        <v>762.40252816170243</v>
      </c>
      <c r="H15" s="8">
        <v>758.036900735166</v>
      </c>
      <c r="I15" s="8">
        <v>0</v>
      </c>
      <c r="J15" s="8">
        <v>315.31637755535036</v>
      </c>
    </row>
    <row r="16" spans="2:10" x14ac:dyDescent="0.3">
      <c r="B16" s="7" t="s">
        <v>44</v>
      </c>
      <c r="C16" s="8">
        <v>1.2463651797408344</v>
      </c>
      <c r="D16" s="8">
        <v>2317.0000000000005</v>
      </c>
      <c r="E16" s="8">
        <v>226.12855934672248</v>
      </c>
      <c r="F16" s="8">
        <v>223.91040878919785</v>
      </c>
      <c r="G16" s="8">
        <v>393.17356162793715</v>
      </c>
      <c r="H16" s="8">
        <v>394.05263434878009</v>
      </c>
      <c r="I16" s="8">
        <v>0</v>
      </c>
      <c r="J16" s="8">
        <v>200.17916911010047</v>
      </c>
    </row>
    <row r="17" spans="2:10" x14ac:dyDescent="0.3">
      <c r="B17" s="7" t="s">
        <v>46</v>
      </c>
      <c r="C17" s="8">
        <v>1.2299414643058808</v>
      </c>
      <c r="D17" s="8">
        <v>2317</v>
      </c>
      <c r="E17" s="8">
        <v>220.59279889284448</v>
      </c>
      <c r="F17" s="8">
        <v>221.98003940219778</v>
      </c>
      <c r="G17" s="8">
        <v>373.15308656406148</v>
      </c>
      <c r="H17" s="8">
        <v>373.23889099991635</v>
      </c>
      <c r="I17" s="8">
        <v>0</v>
      </c>
      <c r="J17" s="8">
        <v>170.06273294868174</v>
      </c>
    </row>
    <row r="18" spans="2:10" x14ac:dyDescent="0.3">
      <c r="B18" s="4" t="s">
        <v>32</v>
      </c>
      <c r="C18" s="8">
        <v>0.99840791238358473</v>
      </c>
      <c r="D18" s="8">
        <v>1727.9999999999993</v>
      </c>
      <c r="E18" s="8">
        <v>171.21947319821197</v>
      </c>
      <c r="F18" s="8">
        <v>179.45774322772226</v>
      </c>
      <c r="G18" s="8">
        <v>458.44252280924178</v>
      </c>
      <c r="H18" s="8">
        <v>496.87808664488063</v>
      </c>
      <c r="I18" s="8">
        <v>0</v>
      </c>
      <c r="J18" s="8">
        <v>352.37189302314744</v>
      </c>
    </row>
    <row r="19" spans="2:10" x14ac:dyDescent="0.3">
      <c r="B19" s="4" t="s">
        <v>35</v>
      </c>
      <c r="C19" s="8">
        <v>1.2243354660308159</v>
      </c>
      <c r="D19" s="8">
        <v>2316.9999999999995</v>
      </c>
      <c r="E19" s="8">
        <v>145.65585980804815</v>
      </c>
      <c r="F19" s="8">
        <v>157.45147933000879</v>
      </c>
      <c r="G19" s="8">
        <v>0</v>
      </c>
      <c r="H19" s="8">
        <v>27.987840315070194</v>
      </c>
      <c r="I19" s="8">
        <v>516.17080219524712</v>
      </c>
      <c r="J19" s="8">
        <v>336.93317995257564</v>
      </c>
    </row>
    <row r="20" spans="2:10" x14ac:dyDescent="0.3">
      <c r="B20" s="7" t="s">
        <v>45</v>
      </c>
      <c r="C20" s="8">
        <v>1.2243354660308159</v>
      </c>
      <c r="D20" s="8">
        <v>2316.9999999999995</v>
      </c>
      <c r="E20" s="8">
        <v>145.65585980804815</v>
      </c>
      <c r="F20" s="8">
        <v>157.45147933000879</v>
      </c>
      <c r="G20" s="8">
        <v>0</v>
      </c>
      <c r="H20" s="8">
        <v>27.987840315070194</v>
      </c>
      <c r="I20" s="8">
        <v>516.17080219524712</v>
      </c>
      <c r="J20" s="8">
        <v>336.93317995257564</v>
      </c>
    </row>
    <row r="21" spans="2:10" x14ac:dyDescent="0.3">
      <c r="B21" s="4" t="s">
        <v>25</v>
      </c>
      <c r="C21" s="8">
        <v>0.70769699283154097</v>
      </c>
      <c r="D21" s="8">
        <v>1542</v>
      </c>
      <c r="E21" s="8">
        <v>-1019.0980903343315</v>
      </c>
      <c r="F21" s="8">
        <v>166.2591720813499</v>
      </c>
      <c r="G21" s="8">
        <v>141.43140363907008</v>
      </c>
      <c r="H21" s="8">
        <v>139.98307320797224</v>
      </c>
      <c r="I21" s="8">
        <v>0</v>
      </c>
      <c r="J21" s="8">
        <v>127.99670044347599</v>
      </c>
    </row>
    <row r="22" spans="2:10" x14ac:dyDescent="0.3">
      <c r="B22" s="7" t="s">
        <v>40</v>
      </c>
      <c r="C22" s="8">
        <v>0.70769699283154097</v>
      </c>
      <c r="D22" s="8">
        <v>1542</v>
      </c>
      <c r="E22" s="8">
        <v>-1019.0980903343315</v>
      </c>
      <c r="F22" s="8">
        <v>166.2591720813499</v>
      </c>
      <c r="G22" s="8">
        <v>141.43140363907008</v>
      </c>
      <c r="H22" s="8">
        <v>139.98307320797224</v>
      </c>
      <c r="I22" s="8">
        <v>0</v>
      </c>
      <c r="J22" s="8">
        <v>127.99670044347599</v>
      </c>
    </row>
    <row r="23" spans="2:10" x14ac:dyDescent="0.3">
      <c r="B23" s="4" t="s">
        <v>31</v>
      </c>
      <c r="C23" s="8">
        <v>0.88481289603321522</v>
      </c>
      <c r="D23" s="8">
        <v>2155.9985216179471</v>
      </c>
      <c r="E23" s="8">
        <v>174.35465680639146</v>
      </c>
      <c r="F23" s="8">
        <v>225.1438238806862</v>
      </c>
      <c r="G23" s="8">
        <v>87.502150593984538</v>
      </c>
      <c r="H23" s="8">
        <v>60.264319986493192</v>
      </c>
      <c r="I23" s="8">
        <v>604.14859362194159</v>
      </c>
      <c r="J23" s="8">
        <v>453.26856991660395</v>
      </c>
    </row>
    <row r="24" spans="2:10" x14ac:dyDescent="0.3">
      <c r="B24" s="7" t="s">
        <v>41</v>
      </c>
      <c r="C24" s="8">
        <v>0.95777878501408586</v>
      </c>
      <c r="D24" s="8">
        <v>2155.9999999999991</v>
      </c>
      <c r="E24" s="8">
        <v>389.25038876273777</v>
      </c>
      <c r="F24" s="8">
        <v>267.0258791854036</v>
      </c>
      <c r="G24" s="8">
        <v>4.2459368976198758E-2</v>
      </c>
      <c r="H24" s="8">
        <v>0.68863892370686852</v>
      </c>
      <c r="I24" s="8">
        <v>897.33404193440458</v>
      </c>
      <c r="J24" s="8">
        <v>551.75632828172957</v>
      </c>
    </row>
    <row r="25" spans="2:10" x14ac:dyDescent="0.3">
      <c r="B25" s="7" t="s">
        <v>44</v>
      </c>
      <c r="C25" s="8">
        <v>0.7959870591403041</v>
      </c>
      <c r="D25" s="8">
        <v>2156.0000000000009</v>
      </c>
      <c r="E25" s="8">
        <v>262.15552524427846</v>
      </c>
      <c r="F25" s="8">
        <v>215.12586088404001</v>
      </c>
      <c r="G25" s="8">
        <v>0</v>
      </c>
      <c r="H25" s="8">
        <v>0.82146201458670931</v>
      </c>
      <c r="I25" s="8">
        <v>166.59025988421408</v>
      </c>
      <c r="J25" s="8">
        <v>0.2812831383676721</v>
      </c>
    </row>
    <row r="26" spans="2:10" x14ac:dyDescent="0.3">
      <c r="B26" s="7" t="s">
        <v>45</v>
      </c>
      <c r="C26" s="8">
        <v>0.89636168189313792</v>
      </c>
      <c r="D26" s="8">
        <v>2156.0000000000005</v>
      </c>
      <c r="E26" s="8">
        <v>142.26917090943101</v>
      </c>
      <c r="F26" s="8">
        <v>208.71375677384003</v>
      </c>
      <c r="G26" s="8">
        <v>135.11814869722889</v>
      </c>
      <c r="H26" s="8">
        <v>105.08503474178968</v>
      </c>
      <c r="I26" s="8">
        <v>629.0286488884783</v>
      </c>
      <c r="J26" s="8">
        <v>554.21185248009169</v>
      </c>
    </row>
    <row r="27" spans="2:10" x14ac:dyDescent="0.3">
      <c r="B27" s="7" t="s">
        <v>46</v>
      </c>
      <c r="C27" s="8">
        <v>0.85447770050556593</v>
      </c>
      <c r="D27" s="8">
        <v>2155.9896513256272</v>
      </c>
      <c r="E27" s="8">
        <v>0</v>
      </c>
      <c r="F27" s="8">
        <v>259</v>
      </c>
      <c r="G27" s="8">
        <v>72</v>
      </c>
      <c r="H27" s="8">
        <v>0</v>
      </c>
      <c r="I27" s="8">
        <v>649.0012579810591</v>
      </c>
      <c r="J27" s="8">
        <v>403.99496807576367</v>
      </c>
    </row>
    <row r="28" spans="2:10" x14ac:dyDescent="0.3">
      <c r="B28" s="4" t="s">
        <v>27</v>
      </c>
      <c r="C28" s="8">
        <v>0.96554361384921794</v>
      </c>
      <c r="D28" s="8">
        <v>2262.0000000000005</v>
      </c>
      <c r="E28" s="8">
        <v>204.4308097336091</v>
      </c>
      <c r="F28" s="8">
        <v>252.26904882090062</v>
      </c>
      <c r="G28" s="8">
        <v>435.95922194493033</v>
      </c>
      <c r="H28" s="8">
        <v>439.04918013741298</v>
      </c>
      <c r="I28" s="8">
        <v>377.0303305807966</v>
      </c>
      <c r="J28" s="8">
        <v>675.56604839397664</v>
      </c>
    </row>
    <row r="29" spans="2:10" x14ac:dyDescent="0.3">
      <c r="B29" s="7" t="s">
        <v>40</v>
      </c>
      <c r="C29" s="8">
        <v>1.0086164450985204</v>
      </c>
      <c r="D29" s="8">
        <v>2262.0000000000005</v>
      </c>
      <c r="E29" s="8">
        <v>241.06625043988933</v>
      </c>
      <c r="F29" s="8">
        <v>242.88887621253363</v>
      </c>
      <c r="G29" s="8">
        <v>199.67653358580381</v>
      </c>
      <c r="H29" s="8">
        <v>204.101384023778</v>
      </c>
      <c r="I29" s="8">
        <v>493.78555154395644</v>
      </c>
      <c r="J29" s="8">
        <v>373.2062841953873</v>
      </c>
    </row>
    <row r="30" spans="2:10" x14ac:dyDescent="0.3">
      <c r="B30" s="7" t="s">
        <v>41</v>
      </c>
      <c r="C30" s="8">
        <v>1.0660766385891602</v>
      </c>
      <c r="D30" s="8">
        <v>2262.0000000000005</v>
      </c>
      <c r="E30" s="8">
        <v>352.7724389689231</v>
      </c>
      <c r="F30" s="8">
        <v>354.02000272875546</v>
      </c>
      <c r="G30" s="8">
        <v>2.2511604955235014E-2</v>
      </c>
      <c r="H30" s="8">
        <v>4.8305624849339575</v>
      </c>
      <c r="I30" s="8">
        <v>714.28917828310341</v>
      </c>
      <c r="J30" s="8">
        <v>467.30393481083826</v>
      </c>
    </row>
    <row r="31" spans="2:10" x14ac:dyDescent="0.3">
      <c r="B31" s="7" t="s">
        <v>42</v>
      </c>
      <c r="C31" s="8">
        <v>1.0136404878412493</v>
      </c>
      <c r="D31" s="8">
        <v>2262</v>
      </c>
      <c r="E31" s="8">
        <v>199.46430311093613</v>
      </c>
      <c r="F31" s="8">
        <v>183.35652625097703</v>
      </c>
      <c r="G31" s="8">
        <v>971.39124582557008</v>
      </c>
      <c r="H31" s="8">
        <v>1006.1079830996769</v>
      </c>
      <c r="I31" s="8">
        <v>0</v>
      </c>
      <c r="J31" s="8">
        <v>1230.7604294833591</v>
      </c>
    </row>
    <row r="32" spans="2:10" x14ac:dyDescent="0.3">
      <c r="B32" s="7" t="s">
        <v>45</v>
      </c>
      <c r="C32" s="8">
        <v>0.8193844977171596</v>
      </c>
      <c r="D32" s="8">
        <v>2262.0000000000005</v>
      </c>
      <c r="E32" s="8">
        <v>228.85105614829681</v>
      </c>
      <c r="F32" s="8">
        <v>246.00291583531393</v>
      </c>
      <c r="G32" s="8">
        <v>920.70581870832245</v>
      </c>
      <c r="H32" s="8">
        <v>980.20597107867604</v>
      </c>
      <c r="I32" s="8">
        <v>0</v>
      </c>
      <c r="J32" s="8">
        <v>878.55959348029842</v>
      </c>
    </row>
    <row r="33" spans="2:10" x14ac:dyDescent="0.3">
      <c r="B33" s="7" t="s">
        <v>46</v>
      </c>
      <c r="C33" s="8">
        <v>0.92</v>
      </c>
      <c r="D33" s="8">
        <v>2262</v>
      </c>
      <c r="E33" s="8">
        <v>0</v>
      </c>
      <c r="F33" s="8">
        <v>235.07692307692307</v>
      </c>
      <c r="G33" s="8">
        <v>88</v>
      </c>
      <c r="H33" s="8">
        <v>0</v>
      </c>
      <c r="I33" s="8">
        <v>677.07692307692309</v>
      </c>
      <c r="J33" s="8">
        <v>428</v>
      </c>
    </row>
    <row r="34" spans="2:10" x14ac:dyDescent="0.3">
      <c r="B34" s="4" t="s">
        <v>29</v>
      </c>
      <c r="C34" s="8">
        <v>1.3482411059207946</v>
      </c>
      <c r="D34" s="8">
        <v>2316.9956102715914</v>
      </c>
      <c r="E34" s="8">
        <v>-184.52597799314427</v>
      </c>
      <c r="F34" s="8">
        <v>397.77853746269346</v>
      </c>
      <c r="G34" s="8">
        <v>840.2073073549999</v>
      </c>
      <c r="H34" s="8">
        <v>740.42701403312401</v>
      </c>
      <c r="I34" s="8">
        <v>-32.342084265087266</v>
      </c>
      <c r="J34" s="8">
        <v>523.68164332823164</v>
      </c>
    </row>
    <row r="35" spans="2:10" x14ac:dyDescent="0.3">
      <c r="B35" s="7" t="s">
        <v>40</v>
      </c>
      <c r="C35" s="8">
        <v>1.2504510835516949</v>
      </c>
      <c r="D35" s="8">
        <v>2317.0000000000009</v>
      </c>
      <c r="E35" s="8">
        <v>860.80923652833815</v>
      </c>
      <c r="F35" s="8">
        <v>869.66718942800196</v>
      </c>
      <c r="G35" s="8">
        <v>1486.3443486406036</v>
      </c>
      <c r="H35" s="8">
        <v>1464.8706715862768</v>
      </c>
      <c r="I35" s="8">
        <v>0</v>
      </c>
      <c r="J35" s="8">
        <v>857.88415730272072</v>
      </c>
    </row>
    <row r="36" spans="2:10" x14ac:dyDescent="0.3">
      <c r="B36" s="7" t="s">
        <v>41</v>
      </c>
      <c r="C36" s="8">
        <v>1.4480254326136766</v>
      </c>
      <c r="D36" s="8">
        <v>2317</v>
      </c>
      <c r="E36" s="8">
        <v>294.61749650005913</v>
      </c>
      <c r="F36" s="8">
        <v>295.59447729409732</v>
      </c>
      <c r="G36" s="8">
        <v>466.10128803531751</v>
      </c>
      <c r="H36" s="8">
        <v>465.67013480985565</v>
      </c>
      <c r="I36" s="8">
        <v>0</v>
      </c>
      <c r="J36" s="8">
        <v>259.71562652727658</v>
      </c>
    </row>
    <row r="37" spans="2:10" x14ac:dyDescent="0.3">
      <c r="B37" s="7" t="s">
        <v>42</v>
      </c>
      <c r="C37" s="8">
        <v>1.4138296581071554</v>
      </c>
      <c r="D37" s="8">
        <v>2317.0000000000009</v>
      </c>
      <c r="E37" s="8">
        <v>319.14542815137611</v>
      </c>
      <c r="F37" s="8">
        <v>357.04795837570362</v>
      </c>
      <c r="G37" s="8">
        <v>718.80692145707701</v>
      </c>
      <c r="H37" s="8">
        <v>652.85597523405511</v>
      </c>
      <c r="I37" s="8">
        <v>0</v>
      </c>
      <c r="J37" s="8">
        <v>258.15264647855071</v>
      </c>
    </row>
    <row r="38" spans="2:10" x14ac:dyDescent="0.3">
      <c r="B38" s="7" t="s">
        <v>44</v>
      </c>
      <c r="C38" s="8">
        <v>1.2294803991980419</v>
      </c>
      <c r="D38" s="8">
        <v>2317</v>
      </c>
      <c r="E38" s="8">
        <v>-2990.2844225425083</v>
      </c>
      <c r="F38" s="8">
        <v>210.4081518099654</v>
      </c>
      <c r="G38" s="8">
        <v>409.58742271968185</v>
      </c>
      <c r="H38" s="8">
        <v>406.43564403507492</v>
      </c>
      <c r="I38" s="8">
        <v>0</v>
      </c>
      <c r="J38" s="8">
        <v>212.05515300026656</v>
      </c>
    </row>
    <row r="39" spans="2:10" x14ac:dyDescent="0.3">
      <c r="B39" s="7" t="s">
        <v>45</v>
      </c>
      <c r="C39" s="8">
        <v>1.3576053892529085</v>
      </c>
      <c r="D39" s="8">
        <v>2317.0000000000005</v>
      </c>
      <c r="E39" s="8">
        <v>360.29242293378894</v>
      </c>
      <c r="F39" s="8">
        <v>351.95672000194014</v>
      </c>
      <c r="G39" s="8">
        <v>1397.4622102000094</v>
      </c>
      <c r="H39" s="8">
        <v>1408.2337759132827</v>
      </c>
      <c r="I39" s="8">
        <v>0</v>
      </c>
      <c r="J39" s="8">
        <v>1454.2521299166183</v>
      </c>
    </row>
    <row r="40" spans="2:10" x14ac:dyDescent="0.3">
      <c r="B40" s="7" t="s">
        <v>46</v>
      </c>
      <c r="C40" s="8">
        <v>1.3900546728012919</v>
      </c>
      <c r="D40" s="8">
        <v>2316.9736616295459</v>
      </c>
      <c r="E40" s="8">
        <v>48.263970470080153</v>
      </c>
      <c r="F40" s="8">
        <v>301.99672786645209</v>
      </c>
      <c r="G40" s="8">
        <v>562.94165307730941</v>
      </c>
      <c r="H40" s="8">
        <v>44.495882620199325</v>
      </c>
      <c r="I40" s="8">
        <v>-194.05250559052359</v>
      </c>
      <c r="J40" s="8">
        <v>100.03014674395705</v>
      </c>
    </row>
    <row r="41" spans="2:10" x14ac:dyDescent="0.3">
      <c r="B41" s="4" t="s">
        <v>33</v>
      </c>
      <c r="C41" s="8">
        <v>1.2919098485487417</v>
      </c>
      <c r="D41" s="8">
        <v>2316.9916666666668</v>
      </c>
      <c r="E41" s="8">
        <v>111.34280321182131</v>
      </c>
      <c r="F41" s="8">
        <v>228.33110413028183</v>
      </c>
      <c r="G41" s="8">
        <v>445.88738750618563</v>
      </c>
      <c r="H41" s="8">
        <v>319.37708408555574</v>
      </c>
      <c r="I41" s="8">
        <v>385.02778998113683</v>
      </c>
      <c r="J41" s="8">
        <v>684.09566135603495</v>
      </c>
    </row>
    <row r="42" spans="2:10" x14ac:dyDescent="0.3">
      <c r="B42" s="7" t="s">
        <v>42</v>
      </c>
      <c r="C42" s="8">
        <v>1.3262416709544971</v>
      </c>
      <c r="D42" s="8">
        <v>2317.0000000000005</v>
      </c>
      <c r="E42" s="8">
        <v>246.46409290993907</v>
      </c>
      <c r="F42" s="8">
        <v>223.91575837016217</v>
      </c>
      <c r="G42" s="8">
        <v>1217.5171487717544</v>
      </c>
      <c r="H42" s="8">
        <v>1279.5376391466714</v>
      </c>
      <c r="I42" s="8">
        <v>0</v>
      </c>
      <c r="J42" s="8">
        <v>1611.0104105299979</v>
      </c>
    </row>
    <row r="43" spans="2:10" x14ac:dyDescent="0.3">
      <c r="B43" s="7" t="s">
        <v>44</v>
      </c>
      <c r="C43" s="8">
        <v>1.2249073823315006</v>
      </c>
      <c r="D43" s="8">
        <v>2317.0000000000005</v>
      </c>
      <c r="E43" s="8">
        <v>0</v>
      </c>
      <c r="F43" s="8">
        <v>189.00179858094253</v>
      </c>
      <c r="G43" s="8">
        <v>2.9990679196549626</v>
      </c>
      <c r="H43" s="8">
        <v>0</v>
      </c>
      <c r="I43" s="8">
        <v>714.99754710839363</v>
      </c>
      <c r="J43" s="8">
        <v>10.278642574519607</v>
      </c>
    </row>
    <row r="44" spans="2:10" x14ac:dyDescent="0.3">
      <c r="B44" s="7" t="s">
        <v>45</v>
      </c>
      <c r="C44" s="8">
        <v>1.2264903409089691</v>
      </c>
      <c r="D44" s="8">
        <v>2317</v>
      </c>
      <c r="E44" s="8">
        <v>198.90711993734615</v>
      </c>
      <c r="F44" s="8">
        <v>198.40685957002262</v>
      </c>
      <c r="G44" s="8">
        <v>0</v>
      </c>
      <c r="H44" s="8">
        <v>-2.0293028044484274</v>
      </c>
      <c r="I44" s="8">
        <v>583.1136128161537</v>
      </c>
      <c r="J44" s="8">
        <v>365.06025898628906</v>
      </c>
    </row>
    <row r="45" spans="2:10" x14ac:dyDescent="0.3">
      <c r="B45" s="7" t="s">
        <v>46</v>
      </c>
      <c r="C45" s="8">
        <v>1.39</v>
      </c>
      <c r="D45" s="8">
        <v>2316.9666666666667</v>
      </c>
      <c r="E45" s="8">
        <v>0</v>
      </c>
      <c r="F45" s="8">
        <v>302</v>
      </c>
      <c r="G45" s="8">
        <v>563.0333333333333</v>
      </c>
      <c r="H45" s="8">
        <v>0</v>
      </c>
      <c r="I45" s="8">
        <v>242</v>
      </c>
      <c r="J45" s="8">
        <v>750.0333333333333</v>
      </c>
    </row>
    <row r="46" spans="2:10" x14ac:dyDescent="0.3">
      <c r="B46" s="4" t="s">
        <v>23</v>
      </c>
      <c r="C46" s="8">
        <v>0.90896106929040466</v>
      </c>
      <c r="D46" s="8">
        <v>2156.0003010319751</v>
      </c>
      <c r="E46" s="8">
        <v>-26.023368012760638</v>
      </c>
      <c r="F46" s="8">
        <v>247.05386926840194</v>
      </c>
      <c r="G46" s="8">
        <v>43.413241068204954</v>
      </c>
      <c r="H46" s="8">
        <v>-24.689959253456735</v>
      </c>
      <c r="I46" s="8">
        <v>617.33295658556949</v>
      </c>
      <c r="J46" s="8">
        <v>429.43758799218449</v>
      </c>
    </row>
    <row r="47" spans="2:10" x14ac:dyDescent="0.3">
      <c r="B47" s="7" t="s">
        <v>40</v>
      </c>
      <c r="C47" s="8">
        <v>1.0338635181663032</v>
      </c>
      <c r="D47" s="8">
        <v>2156.0000000000005</v>
      </c>
      <c r="E47" s="8">
        <v>290.14483030921559</v>
      </c>
      <c r="F47" s="8">
        <v>288.56407174421673</v>
      </c>
      <c r="G47" s="8">
        <v>133.99969892795022</v>
      </c>
      <c r="H47" s="8">
        <v>-215.99818711858916</v>
      </c>
      <c r="I47" s="8">
        <v>581.47190900413534</v>
      </c>
      <c r="J47" s="8">
        <v>493.86946598094295</v>
      </c>
    </row>
    <row r="48" spans="2:10" x14ac:dyDescent="0.3">
      <c r="B48" s="7" t="s">
        <v>41</v>
      </c>
      <c r="C48" s="8">
        <v>1.0706466395652789</v>
      </c>
      <c r="D48" s="8">
        <v>2156</v>
      </c>
      <c r="E48" s="8">
        <v>130.45127622934152</v>
      </c>
      <c r="F48" s="8">
        <v>292.9854702736211</v>
      </c>
      <c r="G48" s="8">
        <v>42.394129020450961</v>
      </c>
      <c r="H48" s="8">
        <v>42.290919320002551</v>
      </c>
      <c r="I48" s="8">
        <v>742.85587693493676</v>
      </c>
      <c r="J48" s="8">
        <v>439.08071474815802</v>
      </c>
    </row>
    <row r="49" spans="2:10" x14ac:dyDescent="0.3">
      <c r="B49" s="7" t="s">
        <v>44</v>
      </c>
      <c r="C49" s="8">
        <v>0.77454346143426089</v>
      </c>
      <c r="D49" s="8">
        <v>2155.9999999999995</v>
      </c>
      <c r="E49" s="8">
        <v>226.24411925373286</v>
      </c>
      <c r="F49" s="8">
        <v>239.61264939415818</v>
      </c>
      <c r="G49" s="8">
        <v>23.520723326080461</v>
      </c>
      <c r="H49" s="8">
        <v>23.975470192498047</v>
      </c>
      <c r="I49" s="8">
        <v>606.87885679235546</v>
      </c>
      <c r="J49" s="8">
        <v>381.53338277898087</v>
      </c>
    </row>
    <row r="50" spans="2:10" x14ac:dyDescent="0.3">
      <c r="B50" s="7" t="s">
        <v>45</v>
      </c>
      <c r="C50" s="8">
        <v>0.85903162882785566</v>
      </c>
      <c r="D50" s="8">
        <v>2156.0000000000005</v>
      </c>
      <c r="E50" s="8">
        <v>-179.99784188569933</v>
      </c>
      <c r="F50" s="8">
        <v>223.76425311605712</v>
      </c>
      <c r="G50" s="8">
        <v>15.572293716841438</v>
      </c>
      <c r="H50" s="8">
        <v>11.970794521449973</v>
      </c>
      <c r="I50" s="8">
        <v>600.86654387530984</v>
      </c>
      <c r="J50" s="8">
        <v>415.51496989706158</v>
      </c>
    </row>
    <row r="51" spans="2:10" x14ac:dyDescent="0.3">
      <c r="B51" s="7" t="s">
        <v>46</v>
      </c>
      <c r="C51" s="8">
        <v>0.84459459459459463</v>
      </c>
      <c r="D51" s="8">
        <v>2156.0051175435792</v>
      </c>
      <c r="E51" s="8">
        <v>0</v>
      </c>
      <c r="F51" s="8">
        <v>270.99744122821045</v>
      </c>
      <c r="G51" s="8">
        <v>71.994082840236686</v>
      </c>
      <c r="H51" s="8">
        <v>0</v>
      </c>
      <c r="I51" s="8">
        <v>648.9884855269471</v>
      </c>
      <c r="J51" s="8">
        <v>403.98608667839437</v>
      </c>
    </row>
    <row r="52" spans="2:10" x14ac:dyDescent="0.3">
      <c r="B52" s="4" t="s">
        <v>30</v>
      </c>
      <c r="C52" s="8">
        <v>1.2527910089362664</v>
      </c>
      <c r="D52" s="8">
        <v>0</v>
      </c>
      <c r="E52" s="8">
        <v>0</v>
      </c>
      <c r="F52" s="8">
        <v>583.33601648367551</v>
      </c>
      <c r="G52" s="8">
        <v>1421.1656043911739</v>
      </c>
      <c r="H52" s="8">
        <v>0</v>
      </c>
      <c r="I52" s="8">
        <v>0</v>
      </c>
      <c r="J52" s="8">
        <v>1190.2302144556038</v>
      </c>
    </row>
    <row r="53" spans="2:10" x14ac:dyDescent="0.3">
      <c r="B53" s="7" t="s">
        <v>41</v>
      </c>
      <c r="C53" s="8">
        <v>1.2356621904202256</v>
      </c>
      <c r="D53" s="8">
        <v>0</v>
      </c>
      <c r="E53" s="8">
        <v>0</v>
      </c>
      <c r="F53" s="8">
        <v>646.00479889435439</v>
      </c>
      <c r="G53" s="8">
        <v>1438.8609952426632</v>
      </c>
      <c r="H53" s="8">
        <v>0</v>
      </c>
      <c r="I53" s="8">
        <v>0</v>
      </c>
      <c r="J53" s="8">
        <v>1292.5658918244185</v>
      </c>
    </row>
    <row r="54" spans="2:10" x14ac:dyDescent="0.3">
      <c r="B54" s="7" t="s">
        <v>42</v>
      </c>
      <c r="C54" s="8">
        <v>1.3077972719876285</v>
      </c>
      <c r="D54" s="8">
        <v>0</v>
      </c>
      <c r="E54" s="8">
        <v>0</v>
      </c>
      <c r="F54" s="8">
        <v>713.77123986213212</v>
      </c>
      <c r="G54" s="8">
        <v>1752.2399723718336</v>
      </c>
      <c r="H54" s="8">
        <v>0</v>
      </c>
      <c r="I54" s="8">
        <v>0</v>
      </c>
      <c r="J54" s="8">
        <v>1093.0635316194921</v>
      </c>
    </row>
    <row r="55" spans="2:10" x14ac:dyDescent="0.3">
      <c r="B55" s="7" t="s">
        <v>43</v>
      </c>
      <c r="C55" s="8">
        <v>1.2002928809918503</v>
      </c>
      <c r="D55" s="8">
        <v>0</v>
      </c>
      <c r="E55" s="8">
        <v>0</v>
      </c>
      <c r="F55" s="8">
        <v>458.52359871026977</v>
      </c>
      <c r="G55" s="8">
        <v>1256.5402156746848</v>
      </c>
      <c r="H55" s="8">
        <v>0</v>
      </c>
      <c r="I55" s="8">
        <v>0</v>
      </c>
      <c r="J55" s="8">
        <v>1155.1759295885529</v>
      </c>
    </row>
    <row r="56" spans="2:10" x14ac:dyDescent="0.3">
      <c r="B56" s="7" t="s">
        <v>44</v>
      </c>
      <c r="C56" s="8">
        <v>1.2601013506408134</v>
      </c>
      <c r="D56" s="8">
        <v>0</v>
      </c>
      <c r="E56" s="8">
        <v>0</v>
      </c>
      <c r="F56" s="8">
        <v>549.19022247581029</v>
      </c>
      <c r="G56" s="8">
        <v>1329.0934193333437</v>
      </c>
      <c r="H56" s="8">
        <v>0</v>
      </c>
      <c r="I56" s="8">
        <v>0</v>
      </c>
      <c r="J56" s="8">
        <v>1205.1728596227779</v>
      </c>
    </row>
    <row r="57" spans="2:10" x14ac:dyDescent="0.3">
      <c r="B57" s="4" t="s">
        <v>37</v>
      </c>
      <c r="C57" s="8">
        <v>1.0927749361588228</v>
      </c>
      <c r="D57" s="8">
        <v>1951.7528979369663</v>
      </c>
      <c r="E57" s="8">
        <v>61.888749310676594</v>
      </c>
      <c r="F57" s="8">
        <v>313.52803677448537</v>
      </c>
      <c r="G57" s="8">
        <v>404.47656917422461</v>
      </c>
      <c r="H57" s="8">
        <v>215.63992403428034</v>
      </c>
      <c r="I57" s="8">
        <v>392.15433872976558</v>
      </c>
      <c r="J57" s="8">
        <v>532.53979999291698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Carruthers</cp:lastModifiedBy>
  <dcterms:created xsi:type="dcterms:W3CDTF">2023-09-26T17:11:49Z</dcterms:created>
  <dcterms:modified xsi:type="dcterms:W3CDTF">2023-09-27T17:27:59Z</dcterms:modified>
</cp:coreProperties>
</file>