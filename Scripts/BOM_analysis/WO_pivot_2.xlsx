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arruther\bin\Scripts\BOM_analysis\"/>
    </mc:Choice>
  </mc:AlternateContent>
  <xr:revisionPtr revIDLastSave="0" documentId="13_ncr:1_{9AB33A7F-C144-417D-8B7D-8C92985C7273}" xr6:coauthVersionLast="47" xr6:coauthVersionMax="47" xr10:uidLastSave="{00000000-0000-0000-0000-000000000000}"/>
  <bookViews>
    <workbookView xWindow="57492" yWindow="-108" windowWidth="29016" windowHeight="15816" activeTab="1" xr2:uid="{00000000-000D-0000-FFFF-FFFF00000000}"/>
  </bookViews>
  <sheets>
    <sheet name="WO_data" sheetId="1" r:id="rId1"/>
    <sheet name="Pivot" sheetId="2" r:id="rId2"/>
    <sheet name="CN" sheetId="3" r:id="rId3"/>
    <sheet name="recipe 2" sheetId="4" r:id="rId4"/>
  </sheets>
  <definedNames>
    <definedName name="_xlnm._FilterDatabase" localSheetId="2" hidden="1">CN!$B$1:$G$1</definedName>
    <definedName name="_xlnm._FilterDatabase" localSheetId="3" hidden="1">'recipe 2'!$B$3:$G$3</definedName>
    <definedName name="_xlnm._FilterDatabase" localSheetId="0" hidden="1">WO_data!$A$2:$AK$519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18" i="4" s="1"/>
  <c r="F16" i="4"/>
  <c r="AK16" i="1" l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3" i="1"/>
  <c r="AH2" i="1"/>
  <c r="AI4" i="1"/>
  <c r="AJ4" i="1"/>
  <c r="AI5" i="1"/>
  <c r="AJ5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I16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0" i="1"/>
  <c r="AJ30" i="1"/>
  <c r="AI31" i="1"/>
  <c r="AJ31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I42" i="1"/>
  <c r="AJ42" i="1"/>
  <c r="AI43" i="1"/>
  <c r="AJ43" i="1"/>
  <c r="AI44" i="1"/>
  <c r="AJ44" i="1"/>
  <c r="AI45" i="1"/>
  <c r="AJ45" i="1"/>
  <c r="AI46" i="1"/>
  <c r="AJ46" i="1"/>
  <c r="AI47" i="1"/>
  <c r="AJ47" i="1"/>
  <c r="AI48" i="1"/>
  <c r="AJ48" i="1"/>
  <c r="AI49" i="1"/>
  <c r="AJ49" i="1"/>
  <c r="AI50" i="1"/>
  <c r="AJ50" i="1"/>
  <c r="AI51" i="1"/>
  <c r="AJ51" i="1"/>
  <c r="AI52" i="1"/>
  <c r="AJ52" i="1"/>
  <c r="AI53" i="1"/>
  <c r="AJ53" i="1"/>
  <c r="AI54" i="1"/>
  <c r="AJ54" i="1"/>
  <c r="AI55" i="1"/>
  <c r="AJ55" i="1"/>
  <c r="AI56" i="1"/>
  <c r="AJ56" i="1"/>
  <c r="AI57" i="1"/>
  <c r="AJ57" i="1"/>
  <c r="AI58" i="1"/>
  <c r="AJ58" i="1"/>
  <c r="AI59" i="1"/>
  <c r="AJ59" i="1"/>
  <c r="AI60" i="1"/>
  <c r="AJ60" i="1"/>
  <c r="AI61" i="1"/>
  <c r="AJ61" i="1"/>
  <c r="AI62" i="1"/>
  <c r="AJ62" i="1"/>
  <c r="AI63" i="1"/>
  <c r="AJ63" i="1"/>
  <c r="AI64" i="1"/>
  <c r="AJ64" i="1"/>
  <c r="AI65" i="1"/>
  <c r="AJ65" i="1"/>
  <c r="AI66" i="1"/>
  <c r="AJ66" i="1"/>
  <c r="AI67" i="1"/>
  <c r="AJ67" i="1"/>
  <c r="AI68" i="1"/>
  <c r="AJ68" i="1"/>
  <c r="AI69" i="1"/>
  <c r="AJ69" i="1"/>
  <c r="AI70" i="1"/>
  <c r="AJ70" i="1"/>
  <c r="AI71" i="1"/>
  <c r="AJ71" i="1"/>
  <c r="AI72" i="1"/>
  <c r="AJ72" i="1"/>
  <c r="AI73" i="1"/>
  <c r="AJ73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84" i="1"/>
  <c r="AJ84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J92" i="1"/>
  <c r="AI93" i="1"/>
  <c r="AJ93" i="1"/>
  <c r="AI94" i="1"/>
  <c r="AJ94" i="1"/>
  <c r="AI95" i="1"/>
  <c r="AJ95" i="1"/>
  <c r="AI96" i="1"/>
  <c r="AJ96" i="1"/>
  <c r="AI97" i="1"/>
  <c r="AJ97" i="1"/>
  <c r="AI98" i="1"/>
  <c r="AJ98" i="1"/>
  <c r="AI99" i="1"/>
  <c r="AJ99" i="1"/>
  <c r="AI100" i="1"/>
  <c r="AJ100" i="1"/>
  <c r="AI101" i="1"/>
  <c r="AJ101" i="1"/>
  <c r="AI102" i="1"/>
  <c r="AJ102" i="1"/>
  <c r="AI103" i="1"/>
  <c r="AJ103" i="1"/>
  <c r="AI104" i="1"/>
  <c r="AJ104" i="1"/>
  <c r="AI105" i="1"/>
  <c r="AJ105" i="1"/>
  <c r="AI106" i="1"/>
  <c r="AJ106" i="1"/>
  <c r="AI107" i="1"/>
  <c r="AJ107" i="1"/>
  <c r="AI108" i="1"/>
  <c r="AJ108" i="1"/>
  <c r="AI109" i="1"/>
  <c r="AJ109" i="1"/>
  <c r="AI110" i="1"/>
  <c r="AJ110" i="1"/>
  <c r="AI111" i="1"/>
  <c r="AJ111" i="1"/>
  <c r="AI112" i="1"/>
  <c r="AJ112" i="1"/>
  <c r="AI113" i="1"/>
  <c r="AJ113" i="1"/>
  <c r="AI114" i="1"/>
  <c r="AJ114" i="1"/>
  <c r="AI115" i="1"/>
  <c r="AJ115" i="1"/>
  <c r="AI116" i="1"/>
  <c r="AJ116" i="1"/>
  <c r="AI117" i="1"/>
  <c r="AJ117" i="1"/>
  <c r="AI118" i="1"/>
  <c r="AJ118" i="1"/>
  <c r="AI119" i="1"/>
  <c r="AJ119" i="1"/>
  <c r="AI120" i="1"/>
  <c r="AJ120" i="1"/>
  <c r="AI121" i="1"/>
  <c r="AJ121" i="1"/>
  <c r="AI122" i="1"/>
  <c r="AJ122" i="1"/>
  <c r="AI123" i="1"/>
  <c r="AJ123" i="1"/>
  <c r="AI124" i="1"/>
  <c r="AJ124" i="1"/>
  <c r="AI125" i="1"/>
  <c r="AJ125" i="1"/>
  <c r="AI126" i="1"/>
  <c r="AJ126" i="1"/>
  <c r="AI127" i="1"/>
  <c r="AJ127" i="1"/>
  <c r="AI128" i="1"/>
  <c r="AJ128" i="1"/>
  <c r="AI129" i="1"/>
  <c r="AJ129" i="1"/>
  <c r="AI130" i="1"/>
  <c r="AJ130" i="1"/>
  <c r="AI131" i="1"/>
  <c r="AJ131" i="1"/>
  <c r="AI132" i="1"/>
  <c r="AJ132" i="1"/>
  <c r="AI133" i="1"/>
  <c r="AJ133" i="1"/>
  <c r="AI134" i="1"/>
  <c r="AJ134" i="1"/>
  <c r="AI135" i="1"/>
  <c r="AJ135" i="1"/>
  <c r="AI136" i="1"/>
  <c r="AJ136" i="1"/>
  <c r="AI137" i="1"/>
  <c r="AJ137" i="1"/>
  <c r="AI138" i="1"/>
  <c r="AJ138" i="1"/>
  <c r="AI139" i="1"/>
  <c r="AJ139" i="1"/>
  <c r="AI140" i="1"/>
  <c r="AJ140" i="1"/>
  <c r="AI141" i="1"/>
  <c r="AJ141" i="1"/>
  <c r="AI142" i="1"/>
  <c r="AJ142" i="1"/>
  <c r="AI143" i="1"/>
  <c r="AJ143" i="1"/>
  <c r="AI144" i="1"/>
  <c r="AJ144" i="1"/>
  <c r="AI145" i="1"/>
  <c r="AJ145" i="1"/>
  <c r="AI146" i="1"/>
  <c r="AJ146" i="1"/>
  <c r="AI147" i="1"/>
  <c r="AJ147" i="1"/>
  <c r="AI148" i="1"/>
  <c r="AJ148" i="1"/>
  <c r="AI149" i="1"/>
  <c r="AJ149" i="1"/>
  <c r="AI150" i="1"/>
  <c r="AJ150" i="1"/>
  <c r="AI151" i="1"/>
  <c r="AJ151" i="1"/>
  <c r="AI152" i="1"/>
  <c r="AJ152" i="1"/>
  <c r="AI153" i="1"/>
  <c r="AJ153" i="1"/>
  <c r="AI154" i="1"/>
  <c r="AJ154" i="1"/>
  <c r="AI155" i="1"/>
  <c r="AJ155" i="1"/>
  <c r="AI156" i="1"/>
  <c r="AJ156" i="1"/>
  <c r="AI157" i="1"/>
  <c r="AJ157" i="1"/>
  <c r="AI158" i="1"/>
  <c r="AJ158" i="1"/>
  <c r="AI159" i="1"/>
  <c r="AJ159" i="1"/>
  <c r="AI160" i="1"/>
  <c r="AJ160" i="1"/>
  <c r="AI161" i="1"/>
  <c r="AJ161" i="1"/>
  <c r="AI162" i="1"/>
  <c r="AJ162" i="1"/>
  <c r="AI163" i="1"/>
  <c r="AJ163" i="1"/>
  <c r="AI164" i="1"/>
  <c r="AJ164" i="1"/>
  <c r="AI165" i="1"/>
  <c r="AJ165" i="1"/>
  <c r="AI166" i="1"/>
  <c r="AJ166" i="1"/>
  <c r="AI167" i="1"/>
  <c r="AJ167" i="1"/>
  <c r="AI168" i="1"/>
  <c r="AJ168" i="1"/>
  <c r="AI169" i="1"/>
  <c r="AJ169" i="1"/>
  <c r="AI170" i="1"/>
  <c r="AJ170" i="1"/>
  <c r="AI171" i="1"/>
  <c r="AJ171" i="1"/>
  <c r="AI172" i="1"/>
  <c r="AJ172" i="1"/>
  <c r="AI173" i="1"/>
  <c r="AJ173" i="1"/>
  <c r="AI174" i="1"/>
  <c r="AJ174" i="1"/>
  <c r="AI175" i="1"/>
  <c r="AJ175" i="1"/>
  <c r="AI176" i="1"/>
  <c r="AJ176" i="1"/>
  <c r="AI177" i="1"/>
  <c r="AJ177" i="1"/>
  <c r="AI178" i="1"/>
  <c r="AJ178" i="1"/>
  <c r="AI179" i="1"/>
  <c r="AJ179" i="1"/>
  <c r="AI180" i="1"/>
  <c r="AJ180" i="1"/>
  <c r="AI181" i="1"/>
  <c r="AJ181" i="1"/>
  <c r="AI182" i="1"/>
  <c r="AJ182" i="1"/>
  <c r="AI183" i="1"/>
  <c r="AJ183" i="1"/>
  <c r="AI184" i="1"/>
  <c r="AJ184" i="1"/>
  <c r="AI185" i="1"/>
  <c r="AJ185" i="1"/>
  <c r="AI186" i="1"/>
  <c r="AJ186" i="1"/>
  <c r="AI187" i="1"/>
  <c r="AJ187" i="1"/>
  <c r="AI188" i="1"/>
  <c r="AJ188" i="1"/>
  <c r="AI189" i="1"/>
  <c r="AJ189" i="1"/>
  <c r="AI190" i="1"/>
  <c r="AJ190" i="1"/>
  <c r="AI191" i="1"/>
  <c r="AJ191" i="1"/>
  <c r="AI192" i="1"/>
  <c r="AJ192" i="1"/>
  <c r="AI193" i="1"/>
  <c r="AJ193" i="1"/>
  <c r="AI194" i="1"/>
  <c r="AJ194" i="1"/>
  <c r="AI195" i="1"/>
  <c r="AJ195" i="1"/>
  <c r="AI196" i="1"/>
  <c r="AJ196" i="1"/>
  <c r="AI197" i="1"/>
  <c r="AJ197" i="1"/>
  <c r="AI198" i="1"/>
  <c r="AJ198" i="1"/>
  <c r="AI199" i="1"/>
  <c r="AJ199" i="1"/>
  <c r="AI200" i="1"/>
  <c r="AJ200" i="1"/>
  <c r="AI201" i="1"/>
  <c r="AJ201" i="1"/>
  <c r="AI202" i="1"/>
  <c r="AJ202" i="1"/>
  <c r="AI203" i="1"/>
  <c r="AJ203" i="1"/>
  <c r="AI204" i="1"/>
  <c r="AJ204" i="1"/>
  <c r="AI205" i="1"/>
  <c r="AJ205" i="1"/>
  <c r="AI206" i="1"/>
  <c r="AJ206" i="1"/>
  <c r="AI207" i="1"/>
  <c r="AJ207" i="1"/>
  <c r="AI208" i="1"/>
  <c r="AJ208" i="1"/>
  <c r="AI209" i="1"/>
  <c r="AJ209" i="1"/>
  <c r="AI210" i="1"/>
  <c r="AJ210" i="1"/>
  <c r="AI211" i="1"/>
  <c r="AJ211" i="1"/>
  <c r="AI212" i="1"/>
  <c r="AJ212" i="1"/>
  <c r="AI213" i="1"/>
  <c r="AJ213" i="1"/>
  <c r="AI214" i="1"/>
  <c r="AJ214" i="1"/>
  <c r="AI215" i="1"/>
  <c r="AJ215" i="1"/>
  <c r="AI216" i="1"/>
  <c r="AJ216" i="1"/>
  <c r="AI217" i="1"/>
  <c r="AJ217" i="1"/>
  <c r="AI218" i="1"/>
  <c r="AJ218" i="1"/>
  <c r="AI219" i="1"/>
  <c r="AJ219" i="1"/>
  <c r="AI220" i="1"/>
  <c r="AJ220" i="1"/>
  <c r="AI221" i="1"/>
  <c r="AJ221" i="1"/>
  <c r="AI222" i="1"/>
  <c r="AJ222" i="1"/>
  <c r="AI223" i="1"/>
  <c r="AJ223" i="1"/>
  <c r="AI224" i="1"/>
  <c r="AJ224" i="1"/>
  <c r="AI225" i="1"/>
  <c r="AJ225" i="1"/>
  <c r="AI226" i="1"/>
  <c r="AJ226" i="1"/>
  <c r="AI227" i="1"/>
  <c r="AJ227" i="1"/>
  <c r="AI228" i="1"/>
  <c r="AJ228" i="1"/>
  <c r="AI229" i="1"/>
  <c r="AJ229" i="1"/>
  <c r="AI230" i="1"/>
  <c r="AJ230" i="1"/>
  <c r="AI231" i="1"/>
  <c r="AJ231" i="1"/>
  <c r="AI232" i="1"/>
  <c r="AJ232" i="1"/>
  <c r="AI233" i="1"/>
  <c r="AJ233" i="1"/>
  <c r="AI234" i="1"/>
  <c r="AJ234" i="1"/>
  <c r="AI235" i="1"/>
  <c r="AJ235" i="1"/>
  <c r="AI236" i="1"/>
  <c r="AJ236" i="1"/>
  <c r="AI237" i="1"/>
  <c r="AJ237" i="1"/>
  <c r="AI238" i="1"/>
  <c r="AJ238" i="1"/>
  <c r="AI239" i="1"/>
  <c r="AJ239" i="1"/>
  <c r="AI240" i="1"/>
  <c r="AJ240" i="1"/>
  <c r="AI241" i="1"/>
  <c r="AJ241" i="1"/>
  <c r="AI242" i="1"/>
  <c r="AJ242" i="1"/>
  <c r="AI243" i="1"/>
  <c r="AJ243" i="1"/>
  <c r="AI244" i="1"/>
  <c r="AJ244" i="1"/>
  <c r="AI245" i="1"/>
  <c r="AJ245" i="1"/>
  <c r="AI246" i="1"/>
  <c r="AJ246" i="1"/>
  <c r="AI247" i="1"/>
  <c r="AJ247" i="1"/>
  <c r="AI248" i="1"/>
  <c r="AJ248" i="1"/>
  <c r="AI249" i="1"/>
  <c r="AJ249" i="1"/>
  <c r="AI250" i="1"/>
  <c r="AJ250" i="1"/>
  <c r="AI251" i="1"/>
  <c r="AJ251" i="1"/>
  <c r="AI252" i="1"/>
  <c r="AJ252" i="1"/>
  <c r="AI253" i="1"/>
  <c r="AJ253" i="1"/>
  <c r="AI254" i="1"/>
  <c r="AJ254" i="1"/>
  <c r="AI255" i="1"/>
  <c r="AJ255" i="1"/>
  <c r="AI256" i="1"/>
  <c r="AJ256" i="1"/>
  <c r="AI257" i="1"/>
  <c r="AJ257" i="1"/>
  <c r="AI258" i="1"/>
  <c r="AJ258" i="1"/>
  <c r="AI259" i="1"/>
  <c r="AJ259" i="1"/>
  <c r="AI260" i="1"/>
  <c r="AJ260" i="1"/>
  <c r="AI261" i="1"/>
  <c r="AJ261" i="1"/>
  <c r="AI262" i="1"/>
  <c r="AJ262" i="1"/>
  <c r="AI263" i="1"/>
  <c r="AJ263" i="1"/>
  <c r="AI264" i="1"/>
  <c r="AJ264" i="1"/>
  <c r="AI265" i="1"/>
  <c r="AJ265" i="1"/>
  <c r="AI266" i="1"/>
  <c r="AJ266" i="1"/>
  <c r="AI267" i="1"/>
  <c r="AJ267" i="1"/>
  <c r="AI268" i="1"/>
  <c r="AJ268" i="1"/>
  <c r="AI269" i="1"/>
  <c r="AJ269" i="1"/>
  <c r="AI270" i="1"/>
  <c r="AJ270" i="1"/>
  <c r="AI271" i="1"/>
  <c r="AJ271" i="1"/>
  <c r="AI272" i="1"/>
  <c r="AJ272" i="1"/>
  <c r="AI273" i="1"/>
  <c r="AJ273" i="1"/>
  <c r="AI274" i="1"/>
  <c r="AJ274" i="1"/>
  <c r="AI275" i="1"/>
  <c r="AJ275" i="1"/>
  <c r="AI276" i="1"/>
  <c r="AJ276" i="1"/>
  <c r="AI277" i="1"/>
  <c r="AJ277" i="1"/>
  <c r="AI278" i="1"/>
  <c r="AJ278" i="1"/>
  <c r="AI279" i="1"/>
  <c r="AJ279" i="1"/>
  <c r="AI280" i="1"/>
  <c r="AJ280" i="1"/>
  <c r="AI281" i="1"/>
  <c r="AJ281" i="1"/>
  <c r="AI282" i="1"/>
  <c r="AJ282" i="1"/>
  <c r="AI283" i="1"/>
  <c r="AJ283" i="1"/>
  <c r="AI284" i="1"/>
  <c r="AJ284" i="1"/>
  <c r="AI285" i="1"/>
  <c r="AJ285" i="1"/>
  <c r="AI286" i="1"/>
  <c r="AJ286" i="1"/>
  <c r="AI287" i="1"/>
  <c r="AJ287" i="1"/>
  <c r="AI288" i="1"/>
  <c r="AJ288" i="1"/>
  <c r="AI289" i="1"/>
  <c r="AJ289" i="1"/>
  <c r="AI290" i="1"/>
  <c r="AJ290" i="1"/>
  <c r="AI291" i="1"/>
  <c r="AJ291" i="1"/>
  <c r="AI292" i="1"/>
  <c r="AJ292" i="1"/>
  <c r="AI293" i="1"/>
  <c r="AJ293" i="1"/>
  <c r="AI294" i="1"/>
  <c r="AJ294" i="1"/>
  <c r="AI295" i="1"/>
  <c r="AJ295" i="1"/>
  <c r="AI296" i="1"/>
  <c r="AJ296" i="1"/>
  <c r="AI297" i="1"/>
  <c r="AJ297" i="1"/>
  <c r="AI298" i="1"/>
  <c r="AJ298" i="1"/>
  <c r="AI299" i="1"/>
  <c r="AJ299" i="1"/>
  <c r="AI300" i="1"/>
  <c r="AJ300" i="1"/>
  <c r="AI301" i="1"/>
  <c r="AJ301" i="1"/>
  <c r="AI302" i="1"/>
  <c r="AJ302" i="1"/>
  <c r="AI303" i="1"/>
  <c r="AJ303" i="1"/>
  <c r="AI304" i="1"/>
  <c r="AJ304" i="1"/>
  <c r="AI305" i="1"/>
  <c r="AJ305" i="1"/>
  <c r="AI306" i="1"/>
  <c r="AJ306" i="1"/>
  <c r="AI307" i="1"/>
  <c r="AJ307" i="1"/>
  <c r="AI308" i="1"/>
  <c r="AJ308" i="1"/>
  <c r="AI309" i="1"/>
  <c r="AJ309" i="1"/>
  <c r="AI310" i="1"/>
  <c r="AJ310" i="1"/>
  <c r="AI311" i="1"/>
  <c r="AJ311" i="1"/>
  <c r="AI312" i="1"/>
  <c r="AJ312" i="1"/>
  <c r="AI313" i="1"/>
  <c r="AJ313" i="1"/>
  <c r="AI314" i="1"/>
  <c r="AJ314" i="1"/>
  <c r="AI315" i="1"/>
  <c r="AJ315" i="1"/>
  <c r="AI316" i="1"/>
  <c r="AJ316" i="1"/>
  <c r="AI317" i="1"/>
  <c r="AJ317" i="1"/>
  <c r="AI318" i="1"/>
  <c r="AJ318" i="1"/>
  <c r="AI319" i="1"/>
  <c r="AJ319" i="1"/>
  <c r="AI320" i="1"/>
  <c r="AJ320" i="1"/>
  <c r="AI321" i="1"/>
  <c r="AJ321" i="1"/>
  <c r="AI322" i="1"/>
  <c r="AJ322" i="1"/>
  <c r="AI323" i="1"/>
  <c r="AJ323" i="1"/>
  <c r="AI324" i="1"/>
  <c r="AJ324" i="1"/>
  <c r="AI325" i="1"/>
  <c r="AJ325" i="1"/>
  <c r="AI326" i="1"/>
  <c r="AJ326" i="1"/>
  <c r="AI327" i="1"/>
  <c r="AJ327" i="1"/>
  <c r="AI328" i="1"/>
  <c r="AJ328" i="1"/>
  <c r="AI329" i="1"/>
  <c r="AJ329" i="1"/>
  <c r="AI330" i="1"/>
  <c r="AJ330" i="1"/>
  <c r="AI331" i="1"/>
  <c r="AJ331" i="1"/>
  <c r="AI332" i="1"/>
  <c r="AJ332" i="1"/>
  <c r="AI333" i="1"/>
  <c r="AJ333" i="1"/>
  <c r="AI334" i="1"/>
  <c r="AJ334" i="1"/>
  <c r="AI335" i="1"/>
  <c r="AJ335" i="1"/>
  <c r="AI336" i="1"/>
  <c r="AJ336" i="1"/>
  <c r="AI337" i="1"/>
  <c r="AJ337" i="1"/>
  <c r="AI338" i="1"/>
  <c r="AJ338" i="1"/>
  <c r="AI339" i="1"/>
  <c r="AJ339" i="1"/>
  <c r="AI340" i="1"/>
  <c r="AJ340" i="1"/>
  <c r="AI341" i="1"/>
  <c r="AJ341" i="1"/>
  <c r="AI342" i="1"/>
  <c r="AJ342" i="1"/>
  <c r="AI343" i="1"/>
  <c r="AJ343" i="1"/>
  <c r="AI344" i="1"/>
  <c r="AJ344" i="1"/>
  <c r="AI345" i="1"/>
  <c r="AJ345" i="1"/>
  <c r="AI346" i="1"/>
  <c r="AJ346" i="1"/>
  <c r="AI347" i="1"/>
  <c r="AJ347" i="1"/>
  <c r="AI348" i="1"/>
  <c r="AJ348" i="1"/>
  <c r="AI349" i="1"/>
  <c r="AJ349" i="1"/>
  <c r="AI350" i="1"/>
  <c r="AJ350" i="1"/>
  <c r="AI351" i="1"/>
  <c r="AJ351" i="1"/>
  <c r="AI352" i="1"/>
  <c r="AJ352" i="1"/>
  <c r="AI353" i="1"/>
  <c r="AJ353" i="1"/>
  <c r="AI354" i="1"/>
  <c r="AJ354" i="1"/>
  <c r="AI355" i="1"/>
  <c r="AJ355" i="1"/>
  <c r="AI356" i="1"/>
  <c r="AJ356" i="1"/>
  <c r="AI357" i="1"/>
  <c r="AJ357" i="1"/>
  <c r="AI358" i="1"/>
  <c r="AJ358" i="1"/>
  <c r="AI359" i="1"/>
  <c r="AJ359" i="1"/>
  <c r="AI360" i="1"/>
  <c r="AJ360" i="1"/>
  <c r="AI361" i="1"/>
  <c r="AJ361" i="1"/>
  <c r="AI362" i="1"/>
  <c r="AJ362" i="1"/>
  <c r="AI363" i="1"/>
  <c r="AJ363" i="1"/>
  <c r="AI364" i="1"/>
  <c r="AJ364" i="1"/>
  <c r="AI365" i="1"/>
  <c r="AJ365" i="1"/>
  <c r="AI366" i="1"/>
  <c r="AJ366" i="1"/>
  <c r="AI367" i="1"/>
  <c r="AJ367" i="1"/>
  <c r="AI368" i="1"/>
  <c r="AJ368" i="1"/>
  <c r="AI369" i="1"/>
  <c r="AJ369" i="1"/>
  <c r="AI370" i="1"/>
  <c r="AJ370" i="1"/>
  <c r="AI371" i="1"/>
  <c r="AJ371" i="1"/>
  <c r="AI372" i="1"/>
  <c r="AJ372" i="1"/>
  <c r="AI373" i="1"/>
  <c r="AJ373" i="1"/>
  <c r="AI374" i="1"/>
  <c r="AJ374" i="1"/>
  <c r="AI375" i="1"/>
  <c r="AJ375" i="1"/>
  <c r="AI376" i="1"/>
  <c r="AJ376" i="1"/>
  <c r="AI377" i="1"/>
  <c r="AJ377" i="1"/>
  <c r="AI378" i="1"/>
  <c r="AJ378" i="1"/>
  <c r="AI379" i="1"/>
  <c r="AJ379" i="1"/>
  <c r="AI380" i="1"/>
  <c r="AJ380" i="1"/>
  <c r="AI381" i="1"/>
  <c r="AJ381" i="1"/>
  <c r="AI382" i="1"/>
  <c r="AJ382" i="1"/>
  <c r="AI383" i="1"/>
  <c r="AJ383" i="1"/>
  <c r="AI384" i="1"/>
  <c r="AJ384" i="1"/>
  <c r="AI385" i="1"/>
  <c r="AJ385" i="1"/>
  <c r="AI386" i="1"/>
  <c r="AJ386" i="1"/>
  <c r="AI387" i="1"/>
  <c r="AJ387" i="1"/>
  <c r="AI388" i="1"/>
  <c r="AJ388" i="1"/>
  <c r="AI389" i="1"/>
  <c r="AJ389" i="1"/>
  <c r="AI390" i="1"/>
  <c r="AJ390" i="1"/>
  <c r="AI391" i="1"/>
  <c r="AJ391" i="1"/>
  <c r="AI392" i="1"/>
  <c r="AJ392" i="1"/>
  <c r="AI393" i="1"/>
  <c r="AJ393" i="1"/>
  <c r="AI394" i="1"/>
  <c r="AJ394" i="1"/>
  <c r="AI395" i="1"/>
  <c r="AJ395" i="1"/>
  <c r="AI396" i="1"/>
  <c r="AJ396" i="1"/>
  <c r="AI397" i="1"/>
  <c r="AJ397" i="1"/>
  <c r="AI398" i="1"/>
  <c r="AJ398" i="1"/>
  <c r="AI399" i="1"/>
  <c r="AJ399" i="1"/>
  <c r="AI400" i="1"/>
  <c r="AJ400" i="1"/>
  <c r="AI401" i="1"/>
  <c r="AJ401" i="1"/>
  <c r="AI402" i="1"/>
  <c r="AJ402" i="1"/>
  <c r="AI403" i="1"/>
  <c r="AJ403" i="1"/>
  <c r="AI404" i="1"/>
  <c r="AJ404" i="1"/>
  <c r="AI405" i="1"/>
  <c r="AJ405" i="1"/>
  <c r="AI406" i="1"/>
  <c r="AJ406" i="1"/>
  <c r="AI407" i="1"/>
  <c r="AJ407" i="1"/>
  <c r="AI408" i="1"/>
  <c r="AJ408" i="1"/>
  <c r="AI409" i="1"/>
  <c r="AJ409" i="1"/>
  <c r="AI410" i="1"/>
  <c r="AJ410" i="1"/>
  <c r="AI411" i="1"/>
  <c r="AJ411" i="1"/>
  <c r="AI412" i="1"/>
  <c r="AJ412" i="1"/>
  <c r="AI413" i="1"/>
  <c r="AJ413" i="1"/>
  <c r="AI414" i="1"/>
  <c r="AJ414" i="1"/>
  <c r="AI415" i="1"/>
  <c r="AJ415" i="1"/>
  <c r="AI416" i="1"/>
  <c r="AJ416" i="1"/>
  <c r="AI417" i="1"/>
  <c r="AJ417" i="1"/>
  <c r="AI418" i="1"/>
  <c r="AJ418" i="1"/>
  <c r="AI419" i="1"/>
  <c r="AJ419" i="1"/>
  <c r="AI420" i="1"/>
  <c r="AJ420" i="1"/>
  <c r="AI421" i="1"/>
  <c r="AJ421" i="1"/>
  <c r="AI422" i="1"/>
  <c r="AJ422" i="1"/>
  <c r="AI423" i="1"/>
  <c r="AJ423" i="1"/>
  <c r="AI424" i="1"/>
  <c r="AJ424" i="1"/>
  <c r="AI425" i="1"/>
  <c r="AJ425" i="1"/>
  <c r="AI426" i="1"/>
  <c r="AJ426" i="1"/>
  <c r="AI427" i="1"/>
  <c r="AJ427" i="1"/>
  <c r="AI428" i="1"/>
  <c r="AJ428" i="1"/>
  <c r="AI429" i="1"/>
  <c r="AJ429" i="1"/>
  <c r="AI430" i="1"/>
  <c r="AJ430" i="1"/>
  <c r="AI431" i="1"/>
  <c r="AJ431" i="1"/>
  <c r="AI432" i="1"/>
  <c r="AJ432" i="1"/>
  <c r="AI433" i="1"/>
  <c r="AJ433" i="1"/>
  <c r="AI434" i="1"/>
  <c r="AJ434" i="1"/>
  <c r="AI435" i="1"/>
  <c r="AJ435" i="1"/>
  <c r="AI436" i="1"/>
  <c r="AJ436" i="1"/>
  <c r="AI437" i="1"/>
  <c r="AJ437" i="1"/>
  <c r="AI438" i="1"/>
  <c r="AJ438" i="1"/>
  <c r="AI439" i="1"/>
  <c r="AJ439" i="1"/>
  <c r="AI440" i="1"/>
  <c r="AJ440" i="1"/>
  <c r="AI441" i="1"/>
  <c r="AJ441" i="1"/>
  <c r="AI442" i="1"/>
  <c r="AJ442" i="1"/>
  <c r="AI443" i="1"/>
  <c r="AJ443" i="1"/>
  <c r="AI444" i="1"/>
  <c r="AJ444" i="1"/>
  <c r="AI445" i="1"/>
  <c r="AJ445" i="1"/>
  <c r="AI446" i="1"/>
  <c r="AJ446" i="1"/>
  <c r="AI447" i="1"/>
  <c r="AJ447" i="1"/>
  <c r="AI448" i="1"/>
  <c r="AJ448" i="1"/>
  <c r="AI449" i="1"/>
  <c r="AJ449" i="1"/>
  <c r="AI450" i="1"/>
  <c r="AJ450" i="1"/>
  <c r="AI451" i="1"/>
  <c r="AJ451" i="1"/>
  <c r="AI452" i="1"/>
  <c r="AJ452" i="1"/>
  <c r="AI453" i="1"/>
  <c r="AJ453" i="1"/>
  <c r="AI454" i="1"/>
  <c r="AJ454" i="1"/>
  <c r="AI455" i="1"/>
  <c r="AJ455" i="1"/>
  <c r="AI456" i="1"/>
  <c r="AJ456" i="1"/>
  <c r="AI457" i="1"/>
  <c r="AJ457" i="1"/>
  <c r="AI458" i="1"/>
  <c r="AJ458" i="1"/>
  <c r="AI459" i="1"/>
  <c r="AJ459" i="1"/>
  <c r="AI460" i="1"/>
  <c r="AJ460" i="1"/>
  <c r="AI461" i="1"/>
  <c r="AJ461" i="1"/>
  <c r="AI462" i="1"/>
  <c r="AJ462" i="1"/>
  <c r="AI463" i="1"/>
  <c r="AJ463" i="1"/>
  <c r="AI464" i="1"/>
  <c r="AJ464" i="1"/>
  <c r="AI465" i="1"/>
  <c r="AJ465" i="1"/>
  <c r="AI466" i="1"/>
  <c r="AJ466" i="1"/>
  <c r="AI467" i="1"/>
  <c r="AJ467" i="1"/>
  <c r="AI468" i="1"/>
  <c r="AJ468" i="1"/>
  <c r="AI469" i="1"/>
  <c r="AJ469" i="1"/>
  <c r="AI470" i="1"/>
  <c r="AJ470" i="1"/>
  <c r="AI471" i="1"/>
  <c r="AJ471" i="1"/>
  <c r="AI472" i="1"/>
  <c r="AJ472" i="1"/>
  <c r="AI473" i="1"/>
  <c r="AJ473" i="1"/>
  <c r="AI474" i="1"/>
  <c r="AJ474" i="1"/>
  <c r="AI475" i="1"/>
  <c r="AJ475" i="1"/>
  <c r="AI476" i="1"/>
  <c r="AJ476" i="1"/>
  <c r="AI477" i="1"/>
  <c r="AJ477" i="1"/>
  <c r="AI478" i="1"/>
  <c r="AJ478" i="1"/>
  <c r="AI479" i="1"/>
  <c r="AJ479" i="1"/>
  <c r="AI480" i="1"/>
  <c r="AJ480" i="1"/>
  <c r="AI481" i="1"/>
  <c r="AJ481" i="1"/>
  <c r="AI482" i="1"/>
  <c r="AJ482" i="1"/>
  <c r="AI483" i="1"/>
  <c r="AJ483" i="1"/>
  <c r="AI484" i="1"/>
  <c r="AJ484" i="1"/>
  <c r="AI485" i="1"/>
  <c r="AJ485" i="1"/>
  <c r="AI486" i="1"/>
  <c r="AJ486" i="1"/>
  <c r="AI487" i="1"/>
  <c r="AJ487" i="1"/>
  <c r="AI488" i="1"/>
  <c r="AJ488" i="1"/>
  <c r="AI489" i="1"/>
  <c r="AJ489" i="1"/>
  <c r="AI490" i="1"/>
  <c r="AJ490" i="1"/>
  <c r="AI491" i="1"/>
  <c r="AJ491" i="1"/>
  <c r="AI492" i="1"/>
  <c r="AJ492" i="1"/>
  <c r="AI493" i="1"/>
  <c r="AJ493" i="1"/>
  <c r="AI494" i="1"/>
  <c r="AJ494" i="1"/>
  <c r="AI495" i="1"/>
  <c r="AJ495" i="1"/>
  <c r="AI496" i="1"/>
  <c r="AJ496" i="1"/>
  <c r="AI497" i="1"/>
  <c r="AJ497" i="1"/>
  <c r="AI498" i="1"/>
  <c r="AJ498" i="1"/>
  <c r="AI499" i="1"/>
  <c r="AJ499" i="1"/>
  <c r="AI500" i="1"/>
  <c r="AJ500" i="1"/>
  <c r="AI501" i="1"/>
  <c r="AJ501" i="1"/>
  <c r="AI502" i="1"/>
  <c r="AJ502" i="1"/>
  <c r="AI503" i="1"/>
  <c r="AJ503" i="1"/>
  <c r="AI504" i="1"/>
  <c r="AJ504" i="1"/>
  <c r="AI505" i="1"/>
  <c r="AJ505" i="1"/>
  <c r="AI506" i="1"/>
  <c r="AJ506" i="1"/>
  <c r="AI507" i="1"/>
  <c r="AJ507" i="1"/>
  <c r="AI508" i="1"/>
  <c r="AJ508" i="1"/>
  <c r="AI509" i="1"/>
  <c r="AJ509" i="1"/>
  <c r="AI510" i="1"/>
  <c r="AJ510" i="1"/>
  <c r="AI511" i="1"/>
  <c r="AJ511" i="1"/>
  <c r="AI512" i="1"/>
  <c r="AJ512" i="1"/>
  <c r="AI513" i="1"/>
  <c r="AJ513" i="1"/>
  <c r="AI514" i="1"/>
  <c r="AJ514" i="1"/>
  <c r="AI515" i="1"/>
  <c r="AJ515" i="1"/>
  <c r="AI516" i="1"/>
  <c r="AJ516" i="1"/>
  <c r="AI517" i="1"/>
  <c r="AJ517" i="1"/>
  <c r="AI518" i="1"/>
  <c r="AJ518" i="1"/>
  <c r="AI519" i="1"/>
  <c r="AJ519" i="1"/>
  <c r="AJ3" i="1"/>
  <c r="AI3" i="1"/>
  <c r="T4" i="1"/>
  <c r="U4" i="1"/>
  <c r="AG4" i="1" s="1"/>
  <c r="V4" i="1"/>
  <c r="W4" i="1"/>
  <c r="X4" i="1"/>
  <c r="Y4" i="1"/>
  <c r="Z4" i="1"/>
  <c r="AA4" i="1"/>
  <c r="AB4" i="1"/>
  <c r="AC4" i="1"/>
  <c r="AD4" i="1"/>
  <c r="AE4" i="1"/>
  <c r="AF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T7" i="1"/>
  <c r="U7" i="1"/>
  <c r="AG7" i="1" s="1"/>
  <c r="V7" i="1"/>
  <c r="W7" i="1"/>
  <c r="X7" i="1"/>
  <c r="Y7" i="1"/>
  <c r="Z7" i="1"/>
  <c r="AA7" i="1"/>
  <c r="AB7" i="1"/>
  <c r="AC7" i="1"/>
  <c r="AD7" i="1"/>
  <c r="AE7" i="1"/>
  <c r="AF7" i="1"/>
  <c r="T8" i="1"/>
  <c r="U8" i="1"/>
  <c r="AG8" i="1" s="1"/>
  <c r="V8" i="1"/>
  <c r="W8" i="1"/>
  <c r="X8" i="1"/>
  <c r="Y8" i="1"/>
  <c r="Z8" i="1"/>
  <c r="AA8" i="1"/>
  <c r="AB8" i="1"/>
  <c r="AC8" i="1"/>
  <c r="AD8" i="1"/>
  <c r="AE8" i="1"/>
  <c r="AF8" i="1"/>
  <c r="T9" i="1"/>
  <c r="U9" i="1"/>
  <c r="AG9" i="1" s="1"/>
  <c r="V9" i="1"/>
  <c r="W9" i="1"/>
  <c r="X9" i="1"/>
  <c r="Y9" i="1"/>
  <c r="Z9" i="1"/>
  <c r="AA9" i="1"/>
  <c r="AB9" i="1"/>
  <c r="AC9" i="1"/>
  <c r="AD9" i="1"/>
  <c r="AE9" i="1"/>
  <c r="AF9" i="1"/>
  <c r="T10" i="1"/>
  <c r="U10" i="1"/>
  <c r="AG10" i="1" s="1"/>
  <c r="V10" i="1"/>
  <c r="W10" i="1"/>
  <c r="X10" i="1"/>
  <c r="Y10" i="1"/>
  <c r="Z10" i="1"/>
  <c r="AA10" i="1"/>
  <c r="AB10" i="1"/>
  <c r="AC10" i="1"/>
  <c r="AD10" i="1"/>
  <c r="AE10" i="1"/>
  <c r="AF10" i="1"/>
  <c r="T11" i="1"/>
  <c r="U11" i="1"/>
  <c r="AG11" i="1" s="1"/>
  <c r="V11" i="1"/>
  <c r="W11" i="1"/>
  <c r="X11" i="1"/>
  <c r="Y11" i="1"/>
  <c r="Z11" i="1"/>
  <c r="AA11" i="1"/>
  <c r="AB11" i="1"/>
  <c r="AC11" i="1"/>
  <c r="AD11" i="1"/>
  <c r="AE11" i="1"/>
  <c r="AF11" i="1"/>
  <c r="T12" i="1"/>
  <c r="U12" i="1"/>
  <c r="AG12" i="1" s="1"/>
  <c r="V12" i="1"/>
  <c r="W12" i="1"/>
  <c r="X12" i="1"/>
  <c r="Y12" i="1"/>
  <c r="Z12" i="1"/>
  <c r="AA12" i="1"/>
  <c r="AB12" i="1"/>
  <c r="AC12" i="1"/>
  <c r="AD12" i="1"/>
  <c r="AE12" i="1"/>
  <c r="AF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T15" i="1"/>
  <c r="U15" i="1"/>
  <c r="AG15" i="1" s="1"/>
  <c r="V15" i="1"/>
  <c r="W15" i="1"/>
  <c r="X15" i="1"/>
  <c r="Y15" i="1"/>
  <c r="Z15" i="1"/>
  <c r="AA15" i="1"/>
  <c r="AB15" i="1"/>
  <c r="AC15" i="1"/>
  <c r="AD15" i="1"/>
  <c r="AE15" i="1"/>
  <c r="AF15" i="1"/>
  <c r="T16" i="1"/>
  <c r="U16" i="1"/>
  <c r="AG16" i="1" s="1"/>
  <c r="V16" i="1"/>
  <c r="W16" i="1"/>
  <c r="X16" i="1"/>
  <c r="Y16" i="1"/>
  <c r="Z16" i="1"/>
  <c r="AA16" i="1"/>
  <c r="AB16" i="1"/>
  <c r="AC16" i="1"/>
  <c r="AD16" i="1"/>
  <c r="AE16" i="1"/>
  <c r="AF16" i="1"/>
  <c r="T17" i="1"/>
  <c r="U17" i="1"/>
  <c r="AG17" i="1" s="1"/>
  <c r="V17" i="1"/>
  <c r="W17" i="1"/>
  <c r="X17" i="1"/>
  <c r="Y17" i="1"/>
  <c r="Z17" i="1"/>
  <c r="AA17" i="1"/>
  <c r="AB17" i="1"/>
  <c r="AC17" i="1"/>
  <c r="AD17" i="1"/>
  <c r="AE17" i="1"/>
  <c r="AF17" i="1"/>
  <c r="T18" i="1"/>
  <c r="U18" i="1"/>
  <c r="AG18" i="1" s="1"/>
  <c r="V18" i="1"/>
  <c r="W18" i="1"/>
  <c r="X18" i="1"/>
  <c r="Y18" i="1"/>
  <c r="Z18" i="1"/>
  <c r="AA18" i="1"/>
  <c r="AB18" i="1"/>
  <c r="AC18" i="1"/>
  <c r="AD18" i="1"/>
  <c r="AE18" i="1"/>
  <c r="AF18" i="1"/>
  <c r="T19" i="1"/>
  <c r="U19" i="1"/>
  <c r="AG19" i="1" s="1"/>
  <c r="V19" i="1"/>
  <c r="W19" i="1"/>
  <c r="X19" i="1"/>
  <c r="Y19" i="1"/>
  <c r="Z19" i="1"/>
  <c r="AA19" i="1"/>
  <c r="AB19" i="1"/>
  <c r="AC19" i="1"/>
  <c r="AD19" i="1"/>
  <c r="AE19" i="1"/>
  <c r="AF19" i="1"/>
  <c r="T20" i="1"/>
  <c r="U20" i="1"/>
  <c r="AG20" i="1" s="1"/>
  <c r="V20" i="1"/>
  <c r="W20" i="1"/>
  <c r="X20" i="1"/>
  <c r="Y20" i="1"/>
  <c r="Z20" i="1"/>
  <c r="AA20" i="1"/>
  <c r="AB20" i="1"/>
  <c r="AC20" i="1"/>
  <c r="AD20" i="1"/>
  <c r="AE20" i="1"/>
  <c r="AF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T23" i="1"/>
  <c r="U23" i="1"/>
  <c r="AG23" i="1" s="1"/>
  <c r="V23" i="1"/>
  <c r="W23" i="1"/>
  <c r="X23" i="1"/>
  <c r="Y23" i="1"/>
  <c r="Z23" i="1"/>
  <c r="AA23" i="1"/>
  <c r="AB23" i="1"/>
  <c r="AC23" i="1"/>
  <c r="AD23" i="1"/>
  <c r="AE23" i="1"/>
  <c r="AF23" i="1"/>
  <c r="T24" i="1"/>
  <c r="U24" i="1"/>
  <c r="AG24" i="1" s="1"/>
  <c r="V24" i="1"/>
  <c r="W24" i="1"/>
  <c r="X24" i="1"/>
  <c r="Y24" i="1"/>
  <c r="Z24" i="1"/>
  <c r="AA24" i="1"/>
  <c r="AB24" i="1"/>
  <c r="AC24" i="1"/>
  <c r="AD24" i="1"/>
  <c r="AE24" i="1"/>
  <c r="AF24" i="1"/>
  <c r="T25" i="1"/>
  <c r="U25" i="1"/>
  <c r="AG25" i="1" s="1"/>
  <c r="V25" i="1"/>
  <c r="W25" i="1"/>
  <c r="X25" i="1"/>
  <c r="Y25" i="1"/>
  <c r="Z25" i="1"/>
  <c r="AA25" i="1"/>
  <c r="AB25" i="1"/>
  <c r="AC25" i="1"/>
  <c r="AD25" i="1"/>
  <c r="AE25" i="1"/>
  <c r="AF25" i="1"/>
  <c r="T26" i="1"/>
  <c r="U26" i="1"/>
  <c r="AG26" i="1" s="1"/>
  <c r="V26" i="1"/>
  <c r="W26" i="1"/>
  <c r="X26" i="1"/>
  <c r="Y26" i="1"/>
  <c r="Z26" i="1"/>
  <c r="AA26" i="1"/>
  <c r="AB26" i="1"/>
  <c r="AC26" i="1"/>
  <c r="AD26" i="1"/>
  <c r="AE26" i="1"/>
  <c r="AF26" i="1"/>
  <c r="T27" i="1"/>
  <c r="U27" i="1"/>
  <c r="AG27" i="1" s="1"/>
  <c r="V27" i="1"/>
  <c r="W27" i="1"/>
  <c r="X27" i="1"/>
  <c r="Y27" i="1"/>
  <c r="Z27" i="1"/>
  <c r="AA27" i="1"/>
  <c r="AB27" i="1"/>
  <c r="AC27" i="1"/>
  <c r="AD27" i="1"/>
  <c r="AE27" i="1"/>
  <c r="AF27" i="1"/>
  <c r="T28" i="1"/>
  <c r="U28" i="1"/>
  <c r="AG28" i="1" s="1"/>
  <c r="V28" i="1"/>
  <c r="W28" i="1"/>
  <c r="X28" i="1"/>
  <c r="Y28" i="1"/>
  <c r="Z28" i="1"/>
  <c r="AA28" i="1"/>
  <c r="AB28" i="1"/>
  <c r="AC28" i="1"/>
  <c r="AD28" i="1"/>
  <c r="AE28" i="1"/>
  <c r="AF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T31" i="1"/>
  <c r="U31" i="1"/>
  <c r="AG31" i="1" s="1"/>
  <c r="V31" i="1"/>
  <c r="W31" i="1"/>
  <c r="X31" i="1"/>
  <c r="Y31" i="1"/>
  <c r="Z31" i="1"/>
  <c r="AA31" i="1"/>
  <c r="AB31" i="1"/>
  <c r="AC31" i="1"/>
  <c r="AD31" i="1"/>
  <c r="AE31" i="1"/>
  <c r="AF31" i="1"/>
  <c r="T32" i="1"/>
  <c r="U32" i="1"/>
  <c r="AG32" i="1" s="1"/>
  <c r="V32" i="1"/>
  <c r="W32" i="1"/>
  <c r="X32" i="1"/>
  <c r="Y32" i="1"/>
  <c r="Z32" i="1"/>
  <c r="AA32" i="1"/>
  <c r="AB32" i="1"/>
  <c r="AC32" i="1"/>
  <c r="AD32" i="1"/>
  <c r="AE32" i="1"/>
  <c r="AF32" i="1"/>
  <c r="T33" i="1"/>
  <c r="U33" i="1"/>
  <c r="AG33" i="1" s="1"/>
  <c r="V33" i="1"/>
  <c r="W33" i="1"/>
  <c r="X33" i="1"/>
  <c r="Y33" i="1"/>
  <c r="Z33" i="1"/>
  <c r="AA33" i="1"/>
  <c r="AB33" i="1"/>
  <c r="AC33" i="1"/>
  <c r="AD33" i="1"/>
  <c r="AE33" i="1"/>
  <c r="AF33" i="1"/>
  <c r="T34" i="1"/>
  <c r="U34" i="1"/>
  <c r="AG34" i="1" s="1"/>
  <c r="V34" i="1"/>
  <c r="W34" i="1"/>
  <c r="X34" i="1"/>
  <c r="Y34" i="1"/>
  <c r="Z34" i="1"/>
  <c r="AA34" i="1"/>
  <c r="AB34" i="1"/>
  <c r="AC34" i="1"/>
  <c r="AD34" i="1"/>
  <c r="AE34" i="1"/>
  <c r="AF34" i="1"/>
  <c r="T35" i="1"/>
  <c r="U35" i="1"/>
  <c r="AG35" i="1" s="1"/>
  <c r="V35" i="1"/>
  <c r="W35" i="1"/>
  <c r="X35" i="1"/>
  <c r="Y35" i="1"/>
  <c r="Z35" i="1"/>
  <c r="AA35" i="1"/>
  <c r="AB35" i="1"/>
  <c r="AC35" i="1"/>
  <c r="AD35" i="1"/>
  <c r="AE35" i="1"/>
  <c r="AF35" i="1"/>
  <c r="T36" i="1"/>
  <c r="U36" i="1"/>
  <c r="AG36" i="1" s="1"/>
  <c r="V36" i="1"/>
  <c r="W36" i="1"/>
  <c r="X36" i="1"/>
  <c r="Y36" i="1"/>
  <c r="Z36" i="1"/>
  <c r="AA36" i="1"/>
  <c r="AB36" i="1"/>
  <c r="AC36" i="1"/>
  <c r="AD36" i="1"/>
  <c r="AE36" i="1"/>
  <c r="AF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T39" i="1"/>
  <c r="U39" i="1"/>
  <c r="AG39" i="1" s="1"/>
  <c r="V39" i="1"/>
  <c r="W39" i="1"/>
  <c r="X39" i="1"/>
  <c r="Y39" i="1"/>
  <c r="Z39" i="1"/>
  <c r="AA39" i="1"/>
  <c r="AB39" i="1"/>
  <c r="AC39" i="1"/>
  <c r="AD39" i="1"/>
  <c r="AE39" i="1"/>
  <c r="AF39" i="1"/>
  <c r="T40" i="1"/>
  <c r="U40" i="1"/>
  <c r="AG40" i="1" s="1"/>
  <c r="V40" i="1"/>
  <c r="W40" i="1"/>
  <c r="X40" i="1"/>
  <c r="Y40" i="1"/>
  <c r="Z40" i="1"/>
  <c r="AA40" i="1"/>
  <c r="AB40" i="1"/>
  <c r="AC40" i="1"/>
  <c r="AD40" i="1"/>
  <c r="AE40" i="1"/>
  <c r="AF40" i="1"/>
  <c r="T41" i="1"/>
  <c r="U41" i="1"/>
  <c r="AG41" i="1" s="1"/>
  <c r="V41" i="1"/>
  <c r="W41" i="1"/>
  <c r="X41" i="1"/>
  <c r="Y41" i="1"/>
  <c r="Z41" i="1"/>
  <c r="AA41" i="1"/>
  <c r="AB41" i="1"/>
  <c r="AC41" i="1"/>
  <c r="AD41" i="1"/>
  <c r="AE41" i="1"/>
  <c r="AF41" i="1"/>
  <c r="T42" i="1"/>
  <c r="U42" i="1"/>
  <c r="AG42" i="1" s="1"/>
  <c r="V42" i="1"/>
  <c r="W42" i="1"/>
  <c r="X42" i="1"/>
  <c r="Y42" i="1"/>
  <c r="Z42" i="1"/>
  <c r="AA42" i="1"/>
  <c r="AB42" i="1"/>
  <c r="AC42" i="1"/>
  <c r="AD42" i="1"/>
  <c r="AE42" i="1"/>
  <c r="AF42" i="1"/>
  <c r="T43" i="1"/>
  <c r="U43" i="1"/>
  <c r="AG43" i="1" s="1"/>
  <c r="V43" i="1"/>
  <c r="W43" i="1"/>
  <c r="X43" i="1"/>
  <c r="Y43" i="1"/>
  <c r="Z43" i="1"/>
  <c r="AA43" i="1"/>
  <c r="AB43" i="1"/>
  <c r="AC43" i="1"/>
  <c r="AD43" i="1"/>
  <c r="AE43" i="1"/>
  <c r="AF43" i="1"/>
  <c r="T44" i="1"/>
  <c r="U44" i="1"/>
  <c r="AG44" i="1" s="1"/>
  <c r="V44" i="1"/>
  <c r="W44" i="1"/>
  <c r="X44" i="1"/>
  <c r="Y44" i="1"/>
  <c r="Z44" i="1"/>
  <c r="AA44" i="1"/>
  <c r="AB44" i="1"/>
  <c r="AC44" i="1"/>
  <c r="AD44" i="1"/>
  <c r="AE44" i="1"/>
  <c r="AF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T47" i="1"/>
  <c r="U47" i="1"/>
  <c r="AG47" i="1" s="1"/>
  <c r="V47" i="1"/>
  <c r="W47" i="1"/>
  <c r="X47" i="1"/>
  <c r="Y47" i="1"/>
  <c r="Z47" i="1"/>
  <c r="AA47" i="1"/>
  <c r="AB47" i="1"/>
  <c r="AC47" i="1"/>
  <c r="AD47" i="1"/>
  <c r="AE47" i="1"/>
  <c r="AF47" i="1"/>
  <c r="T48" i="1"/>
  <c r="U48" i="1"/>
  <c r="AG48" i="1" s="1"/>
  <c r="V48" i="1"/>
  <c r="W48" i="1"/>
  <c r="X48" i="1"/>
  <c r="Y48" i="1"/>
  <c r="Z48" i="1"/>
  <c r="AA48" i="1"/>
  <c r="AB48" i="1"/>
  <c r="AC48" i="1"/>
  <c r="AD48" i="1"/>
  <c r="AE48" i="1"/>
  <c r="AF48" i="1"/>
  <c r="T49" i="1"/>
  <c r="U49" i="1"/>
  <c r="AG49" i="1" s="1"/>
  <c r="V49" i="1"/>
  <c r="W49" i="1"/>
  <c r="X49" i="1"/>
  <c r="Y49" i="1"/>
  <c r="Z49" i="1"/>
  <c r="AA49" i="1"/>
  <c r="AB49" i="1"/>
  <c r="AC49" i="1"/>
  <c r="AD49" i="1"/>
  <c r="AE49" i="1"/>
  <c r="AF49" i="1"/>
  <c r="T50" i="1"/>
  <c r="U50" i="1"/>
  <c r="AG50" i="1" s="1"/>
  <c r="V50" i="1"/>
  <c r="W50" i="1"/>
  <c r="X50" i="1"/>
  <c r="Y50" i="1"/>
  <c r="Z50" i="1"/>
  <c r="AA50" i="1"/>
  <c r="AB50" i="1"/>
  <c r="AC50" i="1"/>
  <c r="AD50" i="1"/>
  <c r="AE50" i="1"/>
  <c r="AF50" i="1"/>
  <c r="T51" i="1"/>
  <c r="U51" i="1"/>
  <c r="AG51" i="1" s="1"/>
  <c r="V51" i="1"/>
  <c r="W51" i="1"/>
  <c r="X51" i="1"/>
  <c r="Y51" i="1"/>
  <c r="Z51" i="1"/>
  <c r="AA51" i="1"/>
  <c r="AB51" i="1"/>
  <c r="AC51" i="1"/>
  <c r="AD51" i="1"/>
  <c r="AE51" i="1"/>
  <c r="AF51" i="1"/>
  <c r="T52" i="1"/>
  <c r="U52" i="1"/>
  <c r="AG52" i="1" s="1"/>
  <c r="V52" i="1"/>
  <c r="W52" i="1"/>
  <c r="X52" i="1"/>
  <c r="Y52" i="1"/>
  <c r="Z52" i="1"/>
  <c r="AA52" i="1"/>
  <c r="AB52" i="1"/>
  <c r="AC52" i="1"/>
  <c r="AD52" i="1"/>
  <c r="AE52" i="1"/>
  <c r="AF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T55" i="1"/>
  <c r="U55" i="1"/>
  <c r="AG55" i="1" s="1"/>
  <c r="V55" i="1"/>
  <c r="W55" i="1"/>
  <c r="X55" i="1"/>
  <c r="Y55" i="1"/>
  <c r="Z55" i="1"/>
  <c r="AA55" i="1"/>
  <c r="AB55" i="1"/>
  <c r="AC55" i="1"/>
  <c r="AD55" i="1"/>
  <c r="AE55" i="1"/>
  <c r="AF55" i="1"/>
  <c r="T56" i="1"/>
  <c r="U56" i="1"/>
  <c r="AG56" i="1" s="1"/>
  <c r="V56" i="1"/>
  <c r="W56" i="1"/>
  <c r="X56" i="1"/>
  <c r="Y56" i="1"/>
  <c r="Z56" i="1"/>
  <c r="AA56" i="1"/>
  <c r="AB56" i="1"/>
  <c r="AC56" i="1"/>
  <c r="AD56" i="1"/>
  <c r="AE56" i="1"/>
  <c r="AF56" i="1"/>
  <c r="T57" i="1"/>
  <c r="U57" i="1"/>
  <c r="AG57" i="1" s="1"/>
  <c r="V57" i="1"/>
  <c r="W57" i="1"/>
  <c r="X57" i="1"/>
  <c r="Y57" i="1"/>
  <c r="Z57" i="1"/>
  <c r="AA57" i="1"/>
  <c r="AB57" i="1"/>
  <c r="AC57" i="1"/>
  <c r="AD57" i="1"/>
  <c r="AE57" i="1"/>
  <c r="AF57" i="1"/>
  <c r="T58" i="1"/>
  <c r="U58" i="1"/>
  <c r="AG58" i="1" s="1"/>
  <c r="V58" i="1"/>
  <c r="W58" i="1"/>
  <c r="X58" i="1"/>
  <c r="Y58" i="1"/>
  <c r="Z58" i="1"/>
  <c r="AA58" i="1"/>
  <c r="AB58" i="1"/>
  <c r="AC58" i="1"/>
  <c r="AD58" i="1"/>
  <c r="AE58" i="1"/>
  <c r="AF58" i="1"/>
  <c r="T59" i="1"/>
  <c r="U59" i="1"/>
  <c r="AG59" i="1" s="1"/>
  <c r="V59" i="1"/>
  <c r="W59" i="1"/>
  <c r="X59" i="1"/>
  <c r="Y59" i="1"/>
  <c r="Z59" i="1"/>
  <c r="AA59" i="1"/>
  <c r="AB59" i="1"/>
  <c r="AC59" i="1"/>
  <c r="AD59" i="1"/>
  <c r="AE59" i="1"/>
  <c r="AF59" i="1"/>
  <c r="T60" i="1"/>
  <c r="U60" i="1"/>
  <c r="AG60" i="1" s="1"/>
  <c r="V60" i="1"/>
  <c r="W60" i="1"/>
  <c r="X60" i="1"/>
  <c r="Y60" i="1"/>
  <c r="Z60" i="1"/>
  <c r="AA60" i="1"/>
  <c r="AB60" i="1"/>
  <c r="AC60" i="1"/>
  <c r="AD60" i="1"/>
  <c r="AE60" i="1"/>
  <c r="AF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T63" i="1"/>
  <c r="U63" i="1"/>
  <c r="AG63" i="1" s="1"/>
  <c r="V63" i="1"/>
  <c r="W63" i="1"/>
  <c r="X63" i="1"/>
  <c r="Y63" i="1"/>
  <c r="Z63" i="1"/>
  <c r="AA63" i="1"/>
  <c r="AB63" i="1"/>
  <c r="AC63" i="1"/>
  <c r="AD63" i="1"/>
  <c r="AE63" i="1"/>
  <c r="AF63" i="1"/>
  <c r="T64" i="1"/>
  <c r="U64" i="1"/>
  <c r="AG64" i="1" s="1"/>
  <c r="V64" i="1"/>
  <c r="W64" i="1"/>
  <c r="X64" i="1"/>
  <c r="Y64" i="1"/>
  <c r="Z64" i="1"/>
  <c r="AA64" i="1"/>
  <c r="AB64" i="1"/>
  <c r="AC64" i="1"/>
  <c r="AD64" i="1"/>
  <c r="AE64" i="1"/>
  <c r="AF64" i="1"/>
  <c r="T65" i="1"/>
  <c r="U65" i="1"/>
  <c r="AG65" i="1" s="1"/>
  <c r="V65" i="1"/>
  <c r="W65" i="1"/>
  <c r="X65" i="1"/>
  <c r="Y65" i="1"/>
  <c r="Z65" i="1"/>
  <c r="AA65" i="1"/>
  <c r="AB65" i="1"/>
  <c r="AC65" i="1"/>
  <c r="AD65" i="1"/>
  <c r="AE65" i="1"/>
  <c r="AF65" i="1"/>
  <c r="T66" i="1"/>
  <c r="U66" i="1"/>
  <c r="AG66" i="1" s="1"/>
  <c r="V66" i="1"/>
  <c r="W66" i="1"/>
  <c r="X66" i="1"/>
  <c r="Y66" i="1"/>
  <c r="Z66" i="1"/>
  <c r="AA66" i="1"/>
  <c r="AB66" i="1"/>
  <c r="AC66" i="1"/>
  <c r="AD66" i="1"/>
  <c r="AE66" i="1"/>
  <c r="AF66" i="1"/>
  <c r="T67" i="1"/>
  <c r="U67" i="1"/>
  <c r="AG67" i="1" s="1"/>
  <c r="V67" i="1"/>
  <c r="W67" i="1"/>
  <c r="X67" i="1"/>
  <c r="Y67" i="1"/>
  <c r="Z67" i="1"/>
  <c r="AA67" i="1"/>
  <c r="AB67" i="1"/>
  <c r="AC67" i="1"/>
  <c r="AD67" i="1"/>
  <c r="AE67" i="1"/>
  <c r="AF67" i="1"/>
  <c r="T68" i="1"/>
  <c r="U68" i="1"/>
  <c r="AG68" i="1" s="1"/>
  <c r="V68" i="1"/>
  <c r="W68" i="1"/>
  <c r="X68" i="1"/>
  <c r="Y68" i="1"/>
  <c r="Z68" i="1"/>
  <c r="AA68" i="1"/>
  <c r="AB68" i="1"/>
  <c r="AC68" i="1"/>
  <c r="AD68" i="1"/>
  <c r="AE68" i="1"/>
  <c r="AF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T71" i="1"/>
  <c r="U71" i="1"/>
  <c r="AG71" i="1" s="1"/>
  <c r="V71" i="1"/>
  <c r="W71" i="1"/>
  <c r="X71" i="1"/>
  <c r="Y71" i="1"/>
  <c r="Z71" i="1"/>
  <c r="AA71" i="1"/>
  <c r="AB71" i="1"/>
  <c r="AC71" i="1"/>
  <c r="AD71" i="1"/>
  <c r="AE71" i="1"/>
  <c r="AF71" i="1"/>
  <c r="T72" i="1"/>
  <c r="U72" i="1"/>
  <c r="AG72" i="1" s="1"/>
  <c r="V72" i="1"/>
  <c r="W72" i="1"/>
  <c r="X72" i="1"/>
  <c r="Y72" i="1"/>
  <c r="Z72" i="1"/>
  <c r="AA72" i="1"/>
  <c r="AB72" i="1"/>
  <c r="AC72" i="1"/>
  <c r="AD72" i="1"/>
  <c r="AE72" i="1"/>
  <c r="AF72" i="1"/>
  <c r="T73" i="1"/>
  <c r="U73" i="1"/>
  <c r="AG73" i="1" s="1"/>
  <c r="V73" i="1"/>
  <c r="W73" i="1"/>
  <c r="X73" i="1"/>
  <c r="Y73" i="1"/>
  <c r="Z73" i="1"/>
  <c r="AA73" i="1"/>
  <c r="AB73" i="1"/>
  <c r="AC73" i="1"/>
  <c r="AD73" i="1"/>
  <c r="AE73" i="1"/>
  <c r="AF73" i="1"/>
  <c r="T74" i="1"/>
  <c r="U74" i="1"/>
  <c r="AG74" i="1" s="1"/>
  <c r="V74" i="1"/>
  <c r="W74" i="1"/>
  <c r="X74" i="1"/>
  <c r="Y74" i="1"/>
  <c r="Z74" i="1"/>
  <c r="AA74" i="1"/>
  <c r="AB74" i="1"/>
  <c r="AC74" i="1"/>
  <c r="AD74" i="1"/>
  <c r="AE74" i="1"/>
  <c r="AF74" i="1"/>
  <c r="T75" i="1"/>
  <c r="U75" i="1"/>
  <c r="AG75" i="1" s="1"/>
  <c r="V75" i="1"/>
  <c r="W75" i="1"/>
  <c r="X75" i="1"/>
  <c r="Y75" i="1"/>
  <c r="Z75" i="1"/>
  <c r="AA75" i="1"/>
  <c r="AB75" i="1"/>
  <c r="AC75" i="1"/>
  <c r="AD75" i="1"/>
  <c r="AE75" i="1"/>
  <c r="AF75" i="1"/>
  <c r="T76" i="1"/>
  <c r="U76" i="1"/>
  <c r="AG76" i="1" s="1"/>
  <c r="V76" i="1"/>
  <c r="W76" i="1"/>
  <c r="X76" i="1"/>
  <c r="Y76" i="1"/>
  <c r="Z76" i="1"/>
  <c r="AA76" i="1"/>
  <c r="AB76" i="1"/>
  <c r="AC76" i="1"/>
  <c r="AD76" i="1"/>
  <c r="AE76" i="1"/>
  <c r="AF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T79" i="1"/>
  <c r="U79" i="1"/>
  <c r="AG79" i="1" s="1"/>
  <c r="V79" i="1"/>
  <c r="W79" i="1"/>
  <c r="X79" i="1"/>
  <c r="Y79" i="1"/>
  <c r="Z79" i="1"/>
  <c r="AA79" i="1"/>
  <c r="AB79" i="1"/>
  <c r="AC79" i="1"/>
  <c r="AD79" i="1"/>
  <c r="AE79" i="1"/>
  <c r="AF79" i="1"/>
  <c r="T80" i="1"/>
  <c r="U80" i="1"/>
  <c r="AG80" i="1" s="1"/>
  <c r="V80" i="1"/>
  <c r="W80" i="1"/>
  <c r="X80" i="1"/>
  <c r="Y80" i="1"/>
  <c r="Z80" i="1"/>
  <c r="AA80" i="1"/>
  <c r="AB80" i="1"/>
  <c r="AC80" i="1"/>
  <c r="AD80" i="1"/>
  <c r="AE80" i="1"/>
  <c r="AF80" i="1"/>
  <c r="T81" i="1"/>
  <c r="U81" i="1"/>
  <c r="AG81" i="1" s="1"/>
  <c r="V81" i="1"/>
  <c r="W81" i="1"/>
  <c r="X81" i="1"/>
  <c r="Y81" i="1"/>
  <c r="Z81" i="1"/>
  <c r="AA81" i="1"/>
  <c r="AB81" i="1"/>
  <c r="AC81" i="1"/>
  <c r="AD81" i="1"/>
  <c r="AE81" i="1"/>
  <c r="AF81" i="1"/>
  <c r="T82" i="1"/>
  <c r="U82" i="1"/>
  <c r="AG82" i="1" s="1"/>
  <c r="V82" i="1"/>
  <c r="W82" i="1"/>
  <c r="X82" i="1"/>
  <c r="Y82" i="1"/>
  <c r="Z82" i="1"/>
  <c r="AA82" i="1"/>
  <c r="AB82" i="1"/>
  <c r="AC82" i="1"/>
  <c r="AD82" i="1"/>
  <c r="AE82" i="1"/>
  <c r="AF82" i="1"/>
  <c r="T83" i="1"/>
  <c r="U83" i="1"/>
  <c r="AG83" i="1" s="1"/>
  <c r="V83" i="1"/>
  <c r="W83" i="1"/>
  <c r="X83" i="1"/>
  <c r="Y83" i="1"/>
  <c r="Z83" i="1"/>
  <c r="AA83" i="1"/>
  <c r="AB83" i="1"/>
  <c r="AC83" i="1"/>
  <c r="AD83" i="1"/>
  <c r="AE83" i="1"/>
  <c r="AF83" i="1"/>
  <c r="T84" i="1"/>
  <c r="U84" i="1"/>
  <c r="AG84" i="1" s="1"/>
  <c r="V84" i="1"/>
  <c r="W84" i="1"/>
  <c r="X84" i="1"/>
  <c r="Y84" i="1"/>
  <c r="Z84" i="1"/>
  <c r="AA84" i="1"/>
  <c r="AB84" i="1"/>
  <c r="AC84" i="1"/>
  <c r="AD84" i="1"/>
  <c r="AE84" i="1"/>
  <c r="AF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T87" i="1"/>
  <c r="U87" i="1"/>
  <c r="AG87" i="1" s="1"/>
  <c r="V87" i="1"/>
  <c r="W87" i="1"/>
  <c r="X87" i="1"/>
  <c r="Y87" i="1"/>
  <c r="Z87" i="1"/>
  <c r="AA87" i="1"/>
  <c r="AB87" i="1"/>
  <c r="AC87" i="1"/>
  <c r="AD87" i="1"/>
  <c r="AE87" i="1"/>
  <c r="AF87" i="1"/>
  <c r="T88" i="1"/>
  <c r="U88" i="1"/>
  <c r="AG88" i="1" s="1"/>
  <c r="V88" i="1"/>
  <c r="W88" i="1"/>
  <c r="X88" i="1"/>
  <c r="Y88" i="1"/>
  <c r="Z88" i="1"/>
  <c r="AA88" i="1"/>
  <c r="AB88" i="1"/>
  <c r="AC88" i="1"/>
  <c r="AD88" i="1"/>
  <c r="AE88" i="1"/>
  <c r="AF88" i="1"/>
  <c r="T89" i="1"/>
  <c r="U89" i="1"/>
  <c r="AG89" i="1" s="1"/>
  <c r="V89" i="1"/>
  <c r="W89" i="1"/>
  <c r="X89" i="1"/>
  <c r="Y89" i="1"/>
  <c r="Z89" i="1"/>
  <c r="AA89" i="1"/>
  <c r="AB89" i="1"/>
  <c r="AC89" i="1"/>
  <c r="AD89" i="1"/>
  <c r="AE89" i="1"/>
  <c r="AF89" i="1"/>
  <c r="T90" i="1"/>
  <c r="U90" i="1"/>
  <c r="AG90" i="1" s="1"/>
  <c r="V90" i="1"/>
  <c r="W90" i="1"/>
  <c r="X90" i="1"/>
  <c r="Y90" i="1"/>
  <c r="Z90" i="1"/>
  <c r="AA90" i="1"/>
  <c r="AB90" i="1"/>
  <c r="AC90" i="1"/>
  <c r="AD90" i="1"/>
  <c r="AE90" i="1"/>
  <c r="AF90" i="1"/>
  <c r="T91" i="1"/>
  <c r="U91" i="1"/>
  <c r="AG91" i="1" s="1"/>
  <c r="V91" i="1"/>
  <c r="W91" i="1"/>
  <c r="X91" i="1"/>
  <c r="Y91" i="1"/>
  <c r="Z91" i="1"/>
  <c r="AA91" i="1"/>
  <c r="AB91" i="1"/>
  <c r="AC91" i="1"/>
  <c r="AD91" i="1"/>
  <c r="AE91" i="1"/>
  <c r="AF91" i="1"/>
  <c r="T92" i="1"/>
  <c r="U92" i="1"/>
  <c r="AG92" i="1" s="1"/>
  <c r="V92" i="1"/>
  <c r="W92" i="1"/>
  <c r="X92" i="1"/>
  <c r="Y92" i="1"/>
  <c r="Z92" i="1"/>
  <c r="AA92" i="1"/>
  <c r="AB92" i="1"/>
  <c r="AC92" i="1"/>
  <c r="AD92" i="1"/>
  <c r="AE92" i="1"/>
  <c r="AF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T95" i="1"/>
  <c r="U95" i="1"/>
  <c r="AG95" i="1" s="1"/>
  <c r="V95" i="1"/>
  <c r="W95" i="1"/>
  <c r="X95" i="1"/>
  <c r="Y95" i="1"/>
  <c r="Z95" i="1"/>
  <c r="AA95" i="1"/>
  <c r="AB95" i="1"/>
  <c r="AC95" i="1"/>
  <c r="AD95" i="1"/>
  <c r="AE95" i="1"/>
  <c r="AF95" i="1"/>
  <c r="T96" i="1"/>
  <c r="U96" i="1"/>
  <c r="AG96" i="1" s="1"/>
  <c r="V96" i="1"/>
  <c r="W96" i="1"/>
  <c r="X96" i="1"/>
  <c r="Y96" i="1"/>
  <c r="Z96" i="1"/>
  <c r="AA96" i="1"/>
  <c r="AB96" i="1"/>
  <c r="AC96" i="1"/>
  <c r="AD96" i="1"/>
  <c r="AE96" i="1"/>
  <c r="AF96" i="1"/>
  <c r="T97" i="1"/>
  <c r="U97" i="1"/>
  <c r="AG97" i="1" s="1"/>
  <c r="V97" i="1"/>
  <c r="W97" i="1"/>
  <c r="X97" i="1"/>
  <c r="Y97" i="1"/>
  <c r="Z97" i="1"/>
  <c r="AA97" i="1"/>
  <c r="AB97" i="1"/>
  <c r="AC97" i="1"/>
  <c r="AD97" i="1"/>
  <c r="AE97" i="1"/>
  <c r="AF97" i="1"/>
  <c r="T98" i="1"/>
  <c r="U98" i="1"/>
  <c r="AG98" i="1" s="1"/>
  <c r="V98" i="1"/>
  <c r="W98" i="1"/>
  <c r="X98" i="1"/>
  <c r="Y98" i="1"/>
  <c r="Z98" i="1"/>
  <c r="AA98" i="1"/>
  <c r="AB98" i="1"/>
  <c r="AC98" i="1"/>
  <c r="AD98" i="1"/>
  <c r="AE98" i="1"/>
  <c r="AF98" i="1"/>
  <c r="T99" i="1"/>
  <c r="U99" i="1"/>
  <c r="AG99" i="1" s="1"/>
  <c r="V99" i="1"/>
  <c r="W99" i="1"/>
  <c r="X99" i="1"/>
  <c r="Y99" i="1"/>
  <c r="Z99" i="1"/>
  <c r="AA99" i="1"/>
  <c r="AB99" i="1"/>
  <c r="AC99" i="1"/>
  <c r="AD99" i="1"/>
  <c r="AE99" i="1"/>
  <c r="AF99" i="1"/>
  <c r="T100" i="1"/>
  <c r="U100" i="1"/>
  <c r="AG100" i="1" s="1"/>
  <c r="V100" i="1"/>
  <c r="W100" i="1"/>
  <c r="X100" i="1"/>
  <c r="Y100" i="1"/>
  <c r="Z100" i="1"/>
  <c r="AA100" i="1"/>
  <c r="AB100" i="1"/>
  <c r="AC100" i="1"/>
  <c r="AD100" i="1"/>
  <c r="AE100" i="1"/>
  <c r="AF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T103" i="1"/>
  <c r="U103" i="1"/>
  <c r="AG103" i="1" s="1"/>
  <c r="V103" i="1"/>
  <c r="W103" i="1"/>
  <c r="X103" i="1"/>
  <c r="Y103" i="1"/>
  <c r="Z103" i="1"/>
  <c r="AA103" i="1"/>
  <c r="AB103" i="1"/>
  <c r="AC103" i="1"/>
  <c r="AD103" i="1"/>
  <c r="AE103" i="1"/>
  <c r="AF103" i="1"/>
  <c r="T104" i="1"/>
  <c r="U104" i="1"/>
  <c r="AG104" i="1" s="1"/>
  <c r="V104" i="1"/>
  <c r="W104" i="1"/>
  <c r="X104" i="1"/>
  <c r="Y104" i="1"/>
  <c r="Z104" i="1"/>
  <c r="AA104" i="1"/>
  <c r="AB104" i="1"/>
  <c r="AC104" i="1"/>
  <c r="AD104" i="1"/>
  <c r="AE104" i="1"/>
  <c r="AF104" i="1"/>
  <c r="T105" i="1"/>
  <c r="U105" i="1"/>
  <c r="AG105" i="1" s="1"/>
  <c r="V105" i="1"/>
  <c r="W105" i="1"/>
  <c r="X105" i="1"/>
  <c r="Y105" i="1"/>
  <c r="Z105" i="1"/>
  <c r="AA105" i="1"/>
  <c r="AB105" i="1"/>
  <c r="AC105" i="1"/>
  <c r="AD105" i="1"/>
  <c r="AE105" i="1"/>
  <c r="AF105" i="1"/>
  <c r="T106" i="1"/>
  <c r="U106" i="1"/>
  <c r="AG106" i="1" s="1"/>
  <c r="V106" i="1"/>
  <c r="W106" i="1"/>
  <c r="X106" i="1"/>
  <c r="Y106" i="1"/>
  <c r="Z106" i="1"/>
  <c r="AA106" i="1"/>
  <c r="AB106" i="1"/>
  <c r="AC106" i="1"/>
  <c r="AD106" i="1"/>
  <c r="AE106" i="1"/>
  <c r="AF106" i="1"/>
  <c r="T107" i="1"/>
  <c r="U107" i="1"/>
  <c r="AG107" i="1" s="1"/>
  <c r="V107" i="1"/>
  <c r="W107" i="1"/>
  <c r="X107" i="1"/>
  <c r="Y107" i="1"/>
  <c r="Z107" i="1"/>
  <c r="AA107" i="1"/>
  <c r="AB107" i="1"/>
  <c r="AC107" i="1"/>
  <c r="AD107" i="1"/>
  <c r="AE107" i="1"/>
  <c r="AF107" i="1"/>
  <c r="T108" i="1"/>
  <c r="U108" i="1"/>
  <c r="AG108" i="1" s="1"/>
  <c r="V108" i="1"/>
  <c r="W108" i="1"/>
  <c r="X108" i="1"/>
  <c r="Y108" i="1"/>
  <c r="Z108" i="1"/>
  <c r="AA108" i="1"/>
  <c r="AB108" i="1"/>
  <c r="AC108" i="1"/>
  <c r="AD108" i="1"/>
  <c r="AE108" i="1"/>
  <c r="AF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T111" i="1"/>
  <c r="U111" i="1"/>
  <c r="AG111" i="1" s="1"/>
  <c r="V111" i="1"/>
  <c r="W111" i="1"/>
  <c r="X111" i="1"/>
  <c r="Y111" i="1"/>
  <c r="Z111" i="1"/>
  <c r="AA111" i="1"/>
  <c r="AB111" i="1"/>
  <c r="AC111" i="1"/>
  <c r="AD111" i="1"/>
  <c r="AE111" i="1"/>
  <c r="AF111" i="1"/>
  <c r="T112" i="1"/>
  <c r="U112" i="1"/>
  <c r="AG112" i="1" s="1"/>
  <c r="V112" i="1"/>
  <c r="W112" i="1"/>
  <c r="X112" i="1"/>
  <c r="Y112" i="1"/>
  <c r="Z112" i="1"/>
  <c r="AA112" i="1"/>
  <c r="AB112" i="1"/>
  <c r="AC112" i="1"/>
  <c r="AD112" i="1"/>
  <c r="AE112" i="1"/>
  <c r="AF112" i="1"/>
  <c r="T113" i="1"/>
  <c r="U113" i="1"/>
  <c r="AG113" i="1" s="1"/>
  <c r="V113" i="1"/>
  <c r="W113" i="1"/>
  <c r="X113" i="1"/>
  <c r="Y113" i="1"/>
  <c r="Z113" i="1"/>
  <c r="AA113" i="1"/>
  <c r="AB113" i="1"/>
  <c r="AC113" i="1"/>
  <c r="AD113" i="1"/>
  <c r="AE113" i="1"/>
  <c r="AF113" i="1"/>
  <c r="T114" i="1"/>
  <c r="U114" i="1"/>
  <c r="AG114" i="1" s="1"/>
  <c r="V114" i="1"/>
  <c r="W114" i="1"/>
  <c r="X114" i="1"/>
  <c r="Y114" i="1"/>
  <c r="Z114" i="1"/>
  <c r="AA114" i="1"/>
  <c r="AB114" i="1"/>
  <c r="AC114" i="1"/>
  <c r="AD114" i="1"/>
  <c r="AE114" i="1"/>
  <c r="AF114" i="1"/>
  <c r="T115" i="1"/>
  <c r="U115" i="1"/>
  <c r="AG115" i="1" s="1"/>
  <c r="V115" i="1"/>
  <c r="W115" i="1"/>
  <c r="X115" i="1"/>
  <c r="Y115" i="1"/>
  <c r="Z115" i="1"/>
  <c r="AA115" i="1"/>
  <c r="AB115" i="1"/>
  <c r="AC115" i="1"/>
  <c r="AD115" i="1"/>
  <c r="AE115" i="1"/>
  <c r="AF115" i="1"/>
  <c r="T116" i="1"/>
  <c r="U116" i="1"/>
  <c r="AG116" i="1" s="1"/>
  <c r="V116" i="1"/>
  <c r="W116" i="1"/>
  <c r="X116" i="1"/>
  <c r="Y116" i="1"/>
  <c r="Z116" i="1"/>
  <c r="AA116" i="1"/>
  <c r="AB116" i="1"/>
  <c r="AC116" i="1"/>
  <c r="AD116" i="1"/>
  <c r="AE116" i="1"/>
  <c r="AF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T119" i="1"/>
  <c r="U119" i="1"/>
  <c r="AG119" i="1" s="1"/>
  <c r="V119" i="1"/>
  <c r="W119" i="1"/>
  <c r="X119" i="1"/>
  <c r="Y119" i="1"/>
  <c r="Z119" i="1"/>
  <c r="AA119" i="1"/>
  <c r="AB119" i="1"/>
  <c r="AC119" i="1"/>
  <c r="AD119" i="1"/>
  <c r="AE119" i="1"/>
  <c r="AF119" i="1"/>
  <c r="T120" i="1"/>
  <c r="U120" i="1"/>
  <c r="AG120" i="1" s="1"/>
  <c r="V120" i="1"/>
  <c r="W120" i="1"/>
  <c r="X120" i="1"/>
  <c r="Y120" i="1"/>
  <c r="Z120" i="1"/>
  <c r="AA120" i="1"/>
  <c r="AB120" i="1"/>
  <c r="AC120" i="1"/>
  <c r="AD120" i="1"/>
  <c r="AE120" i="1"/>
  <c r="AF120" i="1"/>
  <c r="T121" i="1"/>
  <c r="U121" i="1"/>
  <c r="AG121" i="1" s="1"/>
  <c r="V121" i="1"/>
  <c r="W121" i="1"/>
  <c r="X121" i="1"/>
  <c r="Y121" i="1"/>
  <c r="Z121" i="1"/>
  <c r="AA121" i="1"/>
  <c r="AB121" i="1"/>
  <c r="AC121" i="1"/>
  <c r="AD121" i="1"/>
  <c r="AE121" i="1"/>
  <c r="AF121" i="1"/>
  <c r="T122" i="1"/>
  <c r="U122" i="1"/>
  <c r="AG122" i="1" s="1"/>
  <c r="V122" i="1"/>
  <c r="W122" i="1"/>
  <c r="X122" i="1"/>
  <c r="Y122" i="1"/>
  <c r="Z122" i="1"/>
  <c r="AA122" i="1"/>
  <c r="AB122" i="1"/>
  <c r="AC122" i="1"/>
  <c r="AD122" i="1"/>
  <c r="AE122" i="1"/>
  <c r="AF122" i="1"/>
  <c r="T123" i="1"/>
  <c r="U123" i="1"/>
  <c r="AG123" i="1" s="1"/>
  <c r="V123" i="1"/>
  <c r="W123" i="1"/>
  <c r="X123" i="1"/>
  <c r="Y123" i="1"/>
  <c r="Z123" i="1"/>
  <c r="AA123" i="1"/>
  <c r="AB123" i="1"/>
  <c r="AC123" i="1"/>
  <c r="AD123" i="1"/>
  <c r="AE123" i="1"/>
  <c r="AF123" i="1"/>
  <c r="T124" i="1"/>
  <c r="U124" i="1"/>
  <c r="AG124" i="1" s="1"/>
  <c r="V124" i="1"/>
  <c r="W124" i="1"/>
  <c r="X124" i="1"/>
  <c r="Y124" i="1"/>
  <c r="Z124" i="1"/>
  <c r="AA124" i="1"/>
  <c r="AB124" i="1"/>
  <c r="AC124" i="1"/>
  <c r="AD124" i="1"/>
  <c r="AE124" i="1"/>
  <c r="AF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T127" i="1"/>
  <c r="U127" i="1"/>
  <c r="AG127" i="1" s="1"/>
  <c r="V127" i="1"/>
  <c r="W127" i="1"/>
  <c r="X127" i="1"/>
  <c r="Y127" i="1"/>
  <c r="Z127" i="1"/>
  <c r="AA127" i="1"/>
  <c r="AB127" i="1"/>
  <c r="AC127" i="1"/>
  <c r="AD127" i="1"/>
  <c r="AE127" i="1"/>
  <c r="AF127" i="1"/>
  <c r="T128" i="1"/>
  <c r="U128" i="1"/>
  <c r="AG128" i="1" s="1"/>
  <c r="V128" i="1"/>
  <c r="W128" i="1"/>
  <c r="X128" i="1"/>
  <c r="Y128" i="1"/>
  <c r="Z128" i="1"/>
  <c r="AA128" i="1"/>
  <c r="AB128" i="1"/>
  <c r="AC128" i="1"/>
  <c r="AD128" i="1"/>
  <c r="AE128" i="1"/>
  <c r="AF128" i="1"/>
  <c r="T129" i="1"/>
  <c r="U129" i="1"/>
  <c r="AG129" i="1" s="1"/>
  <c r="V129" i="1"/>
  <c r="W129" i="1"/>
  <c r="X129" i="1"/>
  <c r="Y129" i="1"/>
  <c r="Z129" i="1"/>
  <c r="AA129" i="1"/>
  <c r="AB129" i="1"/>
  <c r="AC129" i="1"/>
  <c r="AD129" i="1"/>
  <c r="AE129" i="1"/>
  <c r="AF129" i="1"/>
  <c r="T130" i="1"/>
  <c r="U130" i="1"/>
  <c r="AG130" i="1" s="1"/>
  <c r="V130" i="1"/>
  <c r="W130" i="1"/>
  <c r="X130" i="1"/>
  <c r="Y130" i="1"/>
  <c r="Z130" i="1"/>
  <c r="AA130" i="1"/>
  <c r="AB130" i="1"/>
  <c r="AC130" i="1"/>
  <c r="AD130" i="1"/>
  <c r="AE130" i="1"/>
  <c r="AF130" i="1"/>
  <c r="T131" i="1"/>
  <c r="U131" i="1"/>
  <c r="AG131" i="1" s="1"/>
  <c r="V131" i="1"/>
  <c r="W131" i="1"/>
  <c r="X131" i="1"/>
  <c r="Y131" i="1"/>
  <c r="Z131" i="1"/>
  <c r="AA131" i="1"/>
  <c r="AB131" i="1"/>
  <c r="AC131" i="1"/>
  <c r="AD131" i="1"/>
  <c r="AE131" i="1"/>
  <c r="AF131" i="1"/>
  <c r="T132" i="1"/>
  <c r="U132" i="1"/>
  <c r="AG132" i="1" s="1"/>
  <c r="V132" i="1"/>
  <c r="W132" i="1"/>
  <c r="X132" i="1"/>
  <c r="Y132" i="1"/>
  <c r="Z132" i="1"/>
  <c r="AA132" i="1"/>
  <c r="AB132" i="1"/>
  <c r="AC132" i="1"/>
  <c r="AD132" i="1"/>
  <c r="AE132" i="1"/>
  <c r="AF132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T135" i="1"/>
  <c r="U135" i="1"/>
  <c r="AG135" i="1" s="1"/>
  <c r="V135" i="1"/>
  <c r="W135" i="1"/>
  <c r="X135" i="1"/>
  <c r="Y135" i="1"/>
  <c r="Z135" i="1"/>
  <c r="AA135" i="1"/>
  <c r="AB135" i="1"/>
  <c r="AC135" i="1"/>
  <c r="AD135" i="1"/>
  <c r="AE135" i="1"/>
  <c r="AF135" i="1"/>
  <c r="T136" i="1"/>
  <c r="U136" i="1"/>
  <c r="AG136" i="1" s="1"/>
  <c r="V136" i="1"/>
  <c r="W136" i="1"/>
  <c r="X136" i="1"/>
  <c r="Y136" i="1"/>
  <c r="Z136" i="1"/>
  <c r="AA136" i="1"/>
  <c r="AB136" i="1"/>
  <c r="AC136" i="1"/>
  <c r="AD136" i="1"/>
  <c r="AE136" i="1"/>
  <c r="AF136" i="1"/>
  <c r="T137" i="1"/>
  <c r="U137" i="1"/>
  <c r="AG137" i="1" s="1"/>
  <c r="V137" i="1"/>
  <c r="W137" i="1"/>
  <c r="X137" i="1"/>
  <c r="Y137" i="1"/>
  <c r="Z137" i="1"/>
  <c r="AA137" i="1"/>
  <c r="AB137" i="1"/>
  <c r="AC137" i="1"/>
  <c r="AD137" i="1"/>
  <c r="AE137" i="1"/>
  <c r="AF137" i="1"/>
  <c r="T138" i="1"/>
  <c r="U138" i="1"/>
  <c r="AG138" i="1" s="1"/>
  <c r="V138" i="1"/>
  <c r="W138" i="1"/>
  <c r="X138" i="1"/>
  <c r="Y138" i="1"/>
  <c r="Z138" i="1"/>
  <c r="AA138" i="1"/>
  <c r="AB138" i="1"/>
  <c r="AC138" i="1"/>
  <c r="AD138" i="1"/>
  <c r="AE138" i="1"/>
  <c r="AF138" i="1"/>
  <c r="T139" i="1"/>
  <c r="U139" i="1"/>
  <c r="AG139" i="1" s="1"/>
  <c r="V139" i="1"/>
  <c r="W139" i="1"/>
  <c r="X139" i="1"/>
  <c r="Y139" i="1"/>
  <c r="Z139" i="1"/>
  <c r="AA139" i="1"/>
  <c r="AB139" i="1"/>
  <c r="AC139" i="1"/>
  <c r="AD139" i="1"/>
  <c r="AE139" i="1"/>
  <c r="AF139" i="1"/>
  <c r="T140" i="1"/>
  <c r="U140" i="1"/>
  <c r="AG140" i="1" s="1"/>
  <c r="V140" i="1"/>
  <c r="W140" i="1"/>
  <c r="X140" i="1"/>
  <c r="Y140" i="1"/>
  <c r="Z140" i="1"/>
  <c r="AA140" i="1"/>
  <c r="AB140" i="1"/>
  <c r="AC140" i="1"/>
  <c r="AD140" i="1"/>
  <c r="AE140" i="1"/>
  <c r="AF140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T143" i="1"/>
  <c r="U143" i="1"/>
  <c r="AG143" i="1" s="1"/>
  <c r="V143" i="1"/>
  <c r="W143" i="1"/>
  <c r="X143" i="1"/>
  <c r="Y143" i="1"/>
  <c r="Z143" i="1"/>
  <c r="AA143" i="1"/>
  <c r="AB143" i="1"/>
  <c r="AC143" i="1"/>
  <c r="AD143" i="1"/>
  <c r="AE143" i="1"/>
  <c r="AF143" i="1"/>
  <c r="T144" i="1"/>
  <c r="U144" i="1"/>
  <c r="AG144" i="1" s="1"/>
  <c r="V144" i="1"/>
  <c r="W144" i="1"/>
  <c r="X144" i="1"/>
  <c r="Y144" i="1"/>
  <c r="Z144" i="1"/>
  <c r="AA144" i="1"/>
  <c r="AB144" i="1"/>
  <c r="AC144" i="1"/>
  <c r="AD144" i="1"/>
  <c r="AE144" i="1"/>
  <c r="AF144" i="1"/>
  <c r="T145" i="1"/>
  <c r="U145" i="1"/>
  <c r="AG145" i="1" s="1"/>
  <c r="V145" i="1"/>
  <c r="W145" i="1"/>
  <c r="X145" i="1"/>
  <c r="Y145" i="1"/>
  <c r="Z145" i="1"/>
  <c r="AA145" i="1"/>
  <c r="AB145" i="1"/>
  <c r="AC145" i="1"/>
  <c r="AD145" i="1"/>
  <c r="AE145" i="1"/>
  <c r="AF145" i="1"/>
  <c r="T146" i="1"/>
  <c r="U146" i="1"/>
  <c r="AG146" i="1" s="1"/>
  <c r="V146" i="1"/>
  <c r="W146" i="1"/>
  <c r="X146" i="1"/>
  <c r="Y146" i="1"/>
  <c r="Z146" i="1"/>
  <c r="AA146" i="1"/>
  <c r="AB146" i="1"/>
  <c r="AC146" i="1"/>
  <c r="AD146" i="1"/>
  <c r="AE146" i="1"/>
  <c r="AF146" i="1"/>
  <c r="T147" i="1"/>
  <c r="U147" i="1"/>
  <c r="AG147" i="1" s="1"/>
  <c r="V147" i="1"/>
  <c r="W147" i="1"/>
  <c r="X147" i="1"/>
  <c r="Y147" i="1"/>
  <c r="Z147" i="1"/>
  <c r="AA147" i="1"/>
  <c r="AB147" i="1"/>
  <c r="AC147" i="1"/>
  <c r="AD147" i="1"/>
  <c r="AE147" i="1"/>
  <c r="AF147" i="1"/>
  <c r="T148" i="1"/>
  <c r="U148" i="1"/>
  <c r="AG148" i="1" s="1"/>
  <c r="V148" i="1"/>
  <c r="W148" i="1"/>
  <c r="X148" i="1"/>
  <c r="Y148" i="1"/>
  <c r="Z148" i="1"/>
  <c r="AA148" i="1"/>
  <c r="AB148" i="1"/>
  <c r="AC148" i="1"/>
  <c r="AD148" i="1"/>
  <c r="AE148" i="1"/>
  <c r="AF148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T151" i="1"/>
  <c r="U151" i="1"/>
  <c r="AG151" i="1" s="1"/>
  <c r="V151" i="1"/>
  <c r="W151" i="1"/>
  <c r="X151" i="1"/>
  <c r="Y151" i="1"/>
  <c r="Z151" i="1"/>
  <c r="AA151" i="1"/>
  <c r="AB151" i="1"/>
  <c r="AC151" i="1"/>
  <c r="AD151" i="1"/>
  <c r="AE151" i="1"/>
  <c r="AF151" i="1"/>
  <c r="T152" i="1"/>
  <c r="U152" i="1"/>
  <c r="AG152" i="1" s="1"/>
  <c r="V152" i="1"/>
  <c r="W152" i="1"/>
  <c r="X152" i="1"/>
  <c r="Y152" i="1"/>
  <c r="Z152" i="1"/>
  <c r="AA152" i="1"/>
  <c r="AB152" i="1"/>
  <c r="AC152" i="1"/>
  <c r="AD152" i="1"/>
  <c r="AE152" i="1"/>
  <c r="AF152" i="1"/>
  <c r="T153" i="1"/>
  <c r="U153" i="1"/>
  <c r="AG153" i="1" s="1"/>
  <c r="V153" i="1"/>
  <c r="W153" i="1"/>
  <c r="X153" i="1"/>
  <c r="Y153" i="1"/>
  <c r="Z153" i="1"/>
  <c r="AA153" i="1"/>
  <c r="AB153" i="1"/>
  <c r="AC153" i="1"/>
  <c r="AD153" i="1"/>
  <c r="AE153" i="1"/>
  <c r="AF153" i="1"/>
  <c r="T154" i="1"/>
  <c r="U154" i="1"/>
  <c r="AG154" i="1" s="1"/>
  <c r="V154" i="1"/>
  <c r="W154" i="1"/>
  <c r="X154" i="1"/>
  <c r="Y154" i="1"/>
  <c r="Z154" i="1"/>
  <c r="AA154" i="1"/>
  <c r="AB154" i="1"/>
  <c r="AC154" i="1"/>
  <c r="AD154" i="1"/>
  <c r="AE154" i="1"/>
  <c r="AF154" i="1"/>
  <c r="T155" i="1"/>
  <c r="U155" i="1"/>
  <c r="AG155" i="1" s="1"/>
  <c r="V155" i="1"/>
  <c r="W155" i="1"/>
  <c r="X155" i="1"/>
  <c r="Y155" i="1"/>
  <c r="Z155" i="1"/>
  <c r="AA155" i="1"/>
  <c r="AB155" i="1"/>
  <c r="AC155" i="1"/>
  <c r="AD155" i="1"/>
  <c r="AE155" i="1"/>
  <c r="AF155" i="1"/>
  <c r="T156" i="1"/>
  <c r="U156" i="1"/>
  <c r="AG156" i="1" s="1"/>
  <c r="V156" i="1"/>
  <c r="W156" i="1"/>
  <c r="X156" i="1"/>
  <c r="Y156" i="1"/>
  <c r="Z156" i="1"/>
  <c r="AA156" i="1"/>
  <c r="AB156" i="1"/>
  <c r="AC156" i="1"/>
  <c r="AD156" i="1"/>
  <c r="AE156" i="1"/>
  <c r="AF156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T159" i="1"/>
  <c r="U159" i="1"/>
  <c r="AG159" i="1" s="1"/>
  <c r="V159" i="1"/>
  <c r="W159" i="1"/>
  <c r="X159" i="1"/>
  <c r="Y159" i="1"/>
  <c r="Z159" i="1"/>
  <c r="AA159" i="1"/>
  <c r="AB159" i="1"/>
  <c r="AC159" i="1"/>
  <c r="AD159" i="1"/>
  <c r="AE159" i="1"/>
  <c r="AF159" i="1"/>
  <c r="T160" i="1"/>
  <c r="U160" i="1"/>
  <c r="AG160" i="1" s="1"/>
  <c r="V160" i="1"/>
  <c r="W160" i="1"/>
  <c r="X160" i="1"/>
  <c r="Y160" i="1"/>
  <c r="Z160" i="1"/>
  <c r="AA160" i="1"/>
  <c r="AB160" i="1"/>
  <c r="AC160" i="1"/>
  <c r="AD160" i="1"/>
  <c r="AE160" i="1"/>
  <c r="AF160" i="1"/>
  <c r="T161" i="1"/>
  <c r="U161" i="1"/>
  <c r="AG161" i="1" s="1"/>
  <c r="V161" i="1"/>
  <c r="W161" i="1"/>
  <c r="X161" i="1"/>
  <c r="Y161" i="1"/>
  <c r="Z161" i="1"/>
  <c r="AA161" i="1"/>
  <c r="AB161" i="1"/>
  <c r="AC161" i="1"/>
  <c r="AD161" i="1"/>
  <c r="AE161" i="1"/>
  <c r="AF161" i="1"/>
  <c r="T162" i="1"/>
  <c r="U162" i="1"/>
  <c r="AG162" i="1" s="1"/>
  <c r="V162" i="1"/>
  <c r="W162" i="1"/>
  <c r="X162" i="1"/>
  <c r="Y162" i="1"/>
  <c r="Z162" i="1"/>
  <c r="AA162" i="1"/>
  <c r="AB162" i="1"/>
  <c r="AC162" i="1"/>
  <c r="AD162" i="1"/>
  <c r="AE162" i="1"/>
  <c r="AF162" i="1"/>
  <c r="T163" i="1"/>
  <c r="U163" i="1"/>
  <c r="AG163" i="1" s="1"/>
  <c r="V163" i="1"/>
  <c r="W163" i="1"/>
  <c r="X163" i="1"/>
  <c r="Y163" i="1"/>
  <c r="Z163" i="1"/>
  <c r="AA163" i="1"/>
  <c r="AB163" i="1"/>
  <c r="AC163" i="1"/>
  <c r="AD163" i="1"/>
  <c r="AE163" i="1"/>
  <c r="AF163" i="1"/>
  <c r="T164" i="1"/>
  <c r="U164" i="1"/>
  <c r="AG164" i="1" s="1"/>
  <c r="V164" i="1"/>
  <c r="W164" i="1"/>
  <c r="X164" i="1"/>
  <c r="Y164" i="1"/>
  <c r="Z164" i="1"/>
  <c r="AA164" i="1"/>
  <c r="AB164" i="1"/>
  <c r="AC164" i="1"/>
  <c r="AD164" i="1"/>
  <c r="AE164" i="1"/>
  <c r="AF164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T167" i="1"/>
  <c r="U167" i="1"/>
  <c r="AG167" i="1" s="1"/>
  <c r="V167" i="1"/>
  <c r="W167" i="1"/>
  <c r="X167" i="1"/>
  <c r="Y167" i="1"/>
  <c r="Z167" i="1"/>
  <c r="AA167" i="1"/>
  <c r="AB167" i="1"/>
  <c r="AC167" i="1"/>
  <c r="AD167" i="1"/>
  <c r="AE167" i="1"/>
  <c r="AF167" i="1"/>
  <c r="T168" i="1"/>
  <c r="U168" i="1"/>
  <c r="AG168" i="1" s="1"/>
  <c r="V168" i="1"/>
  <c r="W168" i="1"/>
  <c r="X168" i="1"/>
  <c r="Y168" i="1"/>
  <c r="Z168" i="1"/>
  <c r="AA168" i="1"/>
  <c r="AB168" i="1"/>
  <c r="AC168" i="1"/>
  <c r="AD168" i="1"/>
  <c r="AE168" i="1"/>
  <c r="AF168" i="1"/>
  <c r="T169" i="1"/>
  <c r="U169" i="1"/>
  <c r="AG169" i="1" s="1"/>
  <c r="V169" i="1"/>
  <c r="W169" i="1"/>
  <c r="X169" i="1"/>
  <c r="Y169" i="1"/>
  <c r="Z169" i="1"/>
  <c r="AA169" i="1"/>
  <c r="AB169" i="1"/>
  <c r="AC169" i="1"/>
  <c r="AD169" i="1"/>
  <c r="AE169" i="1"/>
  <c r="AF169" i="1"/>
  <c r="T170" i="1"/>
  <c r="U170" i="1"/>
  <c r="AG170" i="1" s="1"/>
  <c r="V170" i="1"/>
  <c r="W170" i="1"/>
  <c r="X170" i="1"/>
  <c r="Y170" i="1"/>
  <c r="Z170" i="1"/>
  <c r="AA170" i="1"/>
  <c r="AB170" i="1"/>
  <c r="AC170" i="1"/>
  <c r="AD170" i="1"/>
  <c r="AE170" i="1"/>
  <c r="AF170" i="1"/>
  <c r="T171" i="1"/>
  <c r="U171" i="1"/>
  <c r="AG171" i="1" s="1"/>
  <c r="V171" i="1"/>
  <c r="W171" i="1"/>
  <c r="X171" i="1"/>
  <c r="Y171" i="1"/>
  <c r="Z171" i="1"/>
  <c r="AA171" i="1"/>
  <c r="AB171" i="1"/>
  <c r="AC171" i="1"/>
  <c r="AD171" i="1"/>
  <c r="AE171" i="1"/>
  <c r="AF171" i="1"/>
  <c r="T172" i="1"/>
  <c r="U172" i="1"/>
  <c r="AG172" i="1" s="1"/>
  <c r="V172" i="1"/>
  <c r="W172" i="1"/>
  <c r="X172" i="1"/>
  <c r="Y172" i="1"/>
  <c r="Z172" i="1"/>
  <c r="AA172" i="1"/>
  <c r="AB172" i="1"/>
  <c r="AC172" i="1"/>
  <c r="AD172" i="1"/>
  <c r="AE172" i="1"/>
  <c r="AF172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T175" i="1"/>
  <c r="U175" i="1"/>
  <c r="AG175" i="1" s="1"/>
  <c r="V175" i="1"/>
  <c r="W175" i="1"/>
  <c r="X175" i="1"/>
  <c r="Y175" i="1"/>
  <c r="Z175" i="1"/>
  <c r="AA175" i="1"/>
  <c r="AB175" i="1"/>
  <c r="AC175" i="1"/>
  <c r="AD175" i="1"/>
  <c r="AE175" i="1"/>
  <c r="AF175" i="1"/>
  <c r="T176" i="1"/>
  <c r="U176" i="1"/>
  <c r="AG176" i="1" s="1"/>
  <c r="V176" i="1"/>
  <c r="W176" i="1"/>
  <c r="X176" i="1"/>
  <c r="Y176" i="1"/>
  <c r="Z176" i="1"/>
  <c r="AA176" i="1"/>
  <c r="AB176" i="1"/>
  <c r="AC176" i="1"/>
  <c r="AD176" i="1"/>
  <c r="AE176" i="1"/>
  <c r="AF176" i="1"/>
  <c r="T177" i="1"/>
  <c r="U177" i="1"/>
  <c r="AG177" i="1" s="1"/>
  <c r="V177" i="1"/>
  <c r="W177" i="1"/>
  <c r="X177" i="1"/>
  <c r="Y177" i="1"/>
  <c r="Z177" i="1"/>
  <c r="AA177" i="1"/>
  <c r="AB177" i="1"/>
  <c r="AC177" i="1"/>
  <c r="AD177" i="1"/>
  <c r="AE177" i="1"/>
  <c r="AF177" i="1"/>
  <c r="T178" i="1"/>
  <c r="U178" i="1"/>
  <c r="AG178" i="1" s="1"/>
  <c r="V178" i="1"/>
  <c r="W178" i="1"/>
  <c r="X178" i="1"/>
  <c r="Y178" i="1"/>
  <c r="Z178" i="1"/>
  <c r="AA178" i="1"/>
  <c r="AB178" i="1"/>
  <c r="AC178" i="1"/>
  <c r="AD178" i="1"/>
  <c r="AE178" i="1"/>
  <c r="AF178" i="1"/>
  <c r="T179" i="1"/>
  <c r="U179" i="1"/>
  <c r="AG179" i="1" s="1"/>
  <c r="V179" i="1"/>
  <c r="W179" i="1"/>
  <c r="X179" i="1"/>
  <c r="Y179" i="1"/>
  <c r="Z179" i="1"/>
  <c r="AA179" i="1"/>
  <c r="AB179" i="1"/>
  <c r="AC179" i="1"/>
  <c r="AD179" i="1"/>
  <c r="AE179" i="1"/>
  <c r="AF179" i="1"/>
  <c r="T180" i="1"/>
  <c r="U180" i="1"/>
  <c r="AG180" i="1" s="1"/>
  <c r="V180" i="1"/>
  <c r="W180" i="1"/>
  <c r="X180" i="1"/>
  <c r="Y180" i="1"/>
  <c r="Z180" i="1"/>
  <c r="AA180" i="1"/>
  <c r="AB180" i="1"/>
  <c r="AC180" i="1"/>
  <c r="AD180" i="1"/>
  <c r="AE180" i="1"/>
  <c r="AF180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T183" i="1"/>
  <c r="U183" i="1"/>
  <c r="AG183" i="1" s="1"/>
  <c r="V183" i="1"/>
  <c r="W183" i="1"/>
  <c r="X183" i="1"/>
  <c r="Y183" i="1"/>
  <c r="Z183" i="1"/>
  <c r="AA183" i="1"/>
  <c r="AB183" i="1"/>
  <c r="AC183" i="1"/>
  <c r="AD183" i="1"/>
  <c r="AE183" i="1"/>
  <c r="AF183" i="1"/>
  <c r="T184" i="1"/>
  <c r="U184" i="1"/>
  <c r="AG184" i="1" s="1"/>
  <c r="V184" i="1"/>
  <c r="W184" i="1"/>
  <c r="X184" i="1"/>
  <c r="Y184" i="1"/>
  <c r="Z184" i="1"/>
  <c r="AA184" i="1"/>
  <c r="AB184" i="1"/>
  <c r="AC184" i="1"/>
  <c r="AD184" i="1"/>
  <c r="AE184" i="1"/>
  <c r="AF184" i="1"/>
  <c r="T185" i="1"/>
  <c r="U185" i="1"/>
  <c r="AG185" i="1" s="1"/>
  <c r="V185" i="1"/>
  <c r="W185" i="1"/>
  <c r="X185" i="1"/>
  <c r="Y185" i="1"/>
  <c r="Z185" i="1"/>
  <c r="AA185" i="1"/>
  <c r="AB185" i="1"/>
  <c r="AC185" i="1"/>
  <c r="AD185" i="1"/>
  <c r="AE185" i="1"/>
  <c r="AF185" i="1"/>
  <c r="T186" i="1"/>
  <c r="U186" i="1"/>
  <c r="AG186" i="1" s="1"/>
  <c r="V186" i="1"/>
  <c r="W186" i="1"/>
  <c r="X186" i="1"/>
  <c r="Y186" i="1"/>
  <c r="Z186" i="1"/>
  <c r="AA186" i="1"/>
  <c r="AB186" i="1"/>
  <c r="AC186" i="1"/>
  <c r="AD186" i="1"/>
  <c r="AE186" i="1"/>
  <c r="AF186" i="1"/>
  <c r="T187" i="1"/>
  <c r="U187" i="1"/>
  <c r="AG187" i="1" s="1"/>
  <c r="V187" i="1"/>
  <c r="W187" i="1"/>
  <c r="X187" i="1"/>
  <c r="Y187" i="1"/>
  <c r="Z187" i="1"/>
  <c r="AA187" i="1"/>
  <c r="AB187" i="1"/>
  <c r="AC187" i="1"/>
  <c r="AD187" i="1"/>
  <c r="AE187" i="1"/>
  <c r="AF187" i="1"/>
  <c r="T188" i="1"/>
  <c r="U188" i="1"/>
  <c r="AG188" i="1" s="1"/>
  <c r="V188" i="1"/>
  <c r="W188" i="1"/>
  <c r="X188" i="1"/>
  <c r="Y188" i="1"/>
  <c r="Z188" i="1"/>
  <c r="AA188" i="1"/>
  <c r="AB188" i="1"/>
  <c r="AC188" i="1"/>
  <c r="AD188" i="1"/>
  <c r="AE188" i="1"/>
  <c r="AF188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T191" i="1"/>
  <c r="U191" i="1"/>
  <c r="AG191" i="1" s="1"/>
  <c r="V191" i="1"/>
  <c r="W191" i="1"/>
  <c r="X191" i="1"/>
  <c r="Y191" i="1"/>
  <c r="Z191" i="1"/>
  <c r="AA191" i="1"/>
  <c r="AB191" i="1"/>
  <c r="AC191" i="1"/>
  <c r="AD191" i="1"/>
  <c r="AE191" i="1"/>
  <c r="AF191" i="1"/>
  <c r="T192" i="1"/>
  <c r="U192" i="1"/>
  <c r="AG192" i="1" s="1"/>
  <c r="V192" i="1"/>
  <c r="W192" i="1"/>
  <c r="X192" i="1"/>
  <c r="Y192" i="1"/>
  <c r="Z192" i="1"/>
  <c r="AA192" i="1"/>
  <c r="AB192" i="1"/>
  <c r="AC192" i="1"/>
  <c r="AD192" i="1"/>
  <c r="AE192" i="1"/>
  <c r="AF192" i="1"/>
  <c r="T193" i="1"/>
  <c r="U193" i="1"/>
  <c r="AG193" i="1" s="1"/>
  <c r="V193" i="1"/>
  <c r="W193" i="1"/>
  <c r="X193" i="1"/>
  <c r="Y193" i="1"/>
  <c r="Z193" i="1"/>
  <c r="AA193" i="1"/>
  <c r="AB193" i="1"/>
  <c r="AC193" i="1"/>
  <c r="AD193" i="1"/>
  <c r="AE193" i="1"/>
  <c r="AF193" i="1"/>
  <c r="T194" i="1"/>
  <c r="U194" i="1"/>
  <c r="AG194" i="1" s="1"/>
  <c r="V194" i="1"/>
  <c r="W194" i="1"/>
  <c r="X194" i="1"/>
  <c r="Y194" i="1"/>
  <c r="Z194" i="1"/>
  <c r="AA194" i="1"/>
  <c r="AB194" i="1"/>
  <c r="AC194" i="1"/>
  <c r="AD194" i="1"/>
  <c r="AE194" i="1"/>
  <c r="AF194" i="1"/>
  <c r="T195" i="1"/>
  <c r="U195" i="1"/>
  <c r="AG195" i="1" s="1"/>
  <c r="V195" i="1"/>
  <c r="W195" i="1"/>
  <c r="X195" i="1"/>
  <c r="Y195" i="1"/>
  <c r="Z195" i="1"/>
  <c r="AA195" i="1"/>
  <c r="AB195" i="1"/>
  <c r="AC195" i="1"/>
  <c r="AD195" i="1"/>
  <c r="AE195" i="1"/>
  <c r="AF195" i="1"/>
  <c r="T196" i="1"/>
  <c r="U196" i="1"/>
  <c r="AG196" i="1" s="1"/>
  <c r="V196" i="1"/>
  <c r="W196" i="1"/>
  <c r="X196" i="1"/>
  <c r="Y196" i="1"/>
  <c r="Z196" i="1"/>
  <c r="AA196" i="1"/>
  <c r="AB196" i="1"/>
  <c r="AC196" i="1"/>
  <c r="AD196" i="1"/>
  <c r="AE196" i="1"/>
  <c r="AF196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T199" i="1"/>
  <c r="U199" i="1"/>
  <c r="AG199" i="1" s="1"/>
  <c r="V199" i="1"/>
  <c r="W199" i="1"/>
  <c r="X199" i="1"/>
  <c r="Y199" i="1"/>
  <c r="Z199" i="1"/>
  <c r="AA199" i="1"/>
  <c r="AB199" i="1"/>
  <c r="AC199" i="1"/>
  <c r="AD199" i="1"/>
  <c r="AE199" i="1"/>
  <c r="AF199" i="1"/>
  <c r="T200" i="1"/>
  <c r="U200" i="1"/>
  <c r="AG200" i="1" s="1"/>
  <c r="V200" i="1"/>
  <c r="W200" i="1"/>
  <c r="X200" i="1"/>
  <c r="Y200" i="1"/>
  <c r="Z200" i="1"/>
  <c r="AA200" i="1"/>
  <c r="AB200" i="1"/>
  <c r="AC200" i="1"/>
  <c r="AD200" i="1"/>
  <c r="AE200" i="1"/>
  <c r="AF200" i="1"/>
  <c r="T201" i="1"/>
  <c r="U201" i="1"/>
  <c r="AG201" i="1" s="1"/>
  <c r="V201" i="1"/>
  <c r="W201" i="1"/>
  <c r="X201" i="1"/>
  <c r="Y201" i="1"/>
  <c r="Z201" i="1"/>
  <c r="AA201" i="1"/>
  <c r="AB201" i="1"/>
  <c r="AC201" i="1"/>
  <c r="AD201" i="1"/>
  <c r="AE201" i="1"/>
  <c r="AF201" i="1"/>
  <c r="T202" i="1"/>
  <c r="U202" i="1"/>
  <c r="AG202" i="1" s="1"/>
  <c r="V202" i="1"/>
  <c r="W202" i="1"/>
  <c r="X202" i="1"/>
  <c r="Y202" i="1"/>
  <c r="Z202" i="1"/>
  <c r="AA202" i="1"/>
  <c r="AB202" i="1"/>
  <c r="AC202" i="1"/>
  <c r="AD202" i="1"/>
  <c r="AE202" i="1"/>
  <c r="AF202" i="1"/>
  <c r="T203" i="1"/>
  <c r="U203" i="1"/>
  <c r="AG203" i="1" s="1"/>
  <c r="V203" i="1"/>
  <c r="W203" i="1"/>
  <c r="X203" i="1"/>
  <c r="Y203" i="1"/>
  <c r="Z203" i="1"/>
  <c r="AA203" i="1"/>
  <c r="AB203" i="1"/>
  <c r="AC203" i="1"/>
  <c r="AD203" i="1"/>
  <c r="AE203" i="1"/>
  <c r="AF203" i="1"/>
  <c r="T204" i="1"/>
  <c r="U204" i="1"/>
  <c r="AG204" i="1" s="1"/>
  <c r="V204" i="1"/>
  <c r="W204" i="1"/>
  <c r="X204" i="1"/>
  <c r="Y204" i="1"/>
  <c r="Z204" i="1"/>
  <c r="AA204" i="1"/>
  <c r="AB204" i="1"/>
  <c r="AC204" i="1"/>
  <c r="AD204" i="1"/>
  <c r="AE204" i="1"/>
  <c r="AF204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T207" i="1"/>
  <c r="U207" i="1"/>
  <c r="AG207" i="1" s="1"/>
  <c r="V207" i="1"/>
  <c r="W207" i="1"/>
  <c r="X207" i="1"/>
  <c r="Y207" i="1"/>
  <c r="Z207" i="1"/>
  <c r="AA207" i="1"/>
  <c r="AB207" i="1"/>
  <c r="AC207" i="1"/>
  <c r="AD207" i="1"/>
  <c r="AE207" i="1"/>
  <c r="AF207" i="1"/>
  <c r="T208" i="1"/>
  <c r="U208" i="1"/>
  <c r="AG208" i="1" s="1"/>
  <c r="V208" i="1"/>
  <c r="W208" i="1"/>
  <c r="X208" i="1"/>
  <c r="Y208" i="1"/>
  <c r="Z208" i="1"/>
  <c r="AA208" i="1"/>
  <c r="AB208" i="1"/>
  <c r="AC208" i="1"/>
  <c r="AD208" i="1"/>
  <c r="AE208" i="1"/>
  <c r="AF208" i="1"/>
  <c r="T209" i="1"/>
  <c r="U209" i="1"/>
  <c r="AG209" i="1" s="1"/>
  <c r="V209" i="1"/>
  <c r="W209" i="1"/>
  <c r="X209" i="1"/>
  <c r="Y209" i="1"/>
  <c r="Z209" i="1"/>
  <c r="AA209" i="1"/>
  <c r="AB209" i="1"/>
  <c r="AC209" i="1"/>
  <c r="AD209" i="1"/>
  <c r="AE209" i="1"/>
  <c r="AF209" i="1"/>
  <c r="T210" i="1"/>
  <c r="U210" i="1"/>
  <c r="AG210" i="1" s="1"/>
  <c r="V210" i="1"/>
  <c r="W210" i="1"/>
  <c r="X210" i="1"/>
  <c r="Y210" i="1"/>
  <c r="Z210" i="1"/>
  <c r="AA210" i="1"/>
  <c r="AB210" i="1"/>
  <c r="AC210" i="1"/>
  <c r="AD210" i="1"/>
  <c r="AE210" i="1"/>
  <c r="AF210" i="1"/>
  <c r="T211" i="1"/>
  <c r="U211" i="1"/>
  <c r="AG211" i="1" s="1"/>
  <c r="V211" i="1"/>
  <c r="W211" i="1"/>
  <c r="X211" i="1"/>
  <c r="Y211" i="1"/>
  <c r="Z211" i="1"/>
  <c r="AA211" i="1"/>
  <c r="AB211" i="1"/>
  <c r="AC211" i="1"/>
  <c r="AD211" i="1"/>
  <c r="AE211" i="1"/>
  <c r="AF211" i="1"/>
  <c r="T212" i="1"/>
  <c r="U212" i="1"/>
  <c r="AG212" i="1" s="1"/>
  <c r="V212" i="1"/>
  <c r="W212" i="1"/>
  <c r="X212" i="1"/>
  <c r="Y212" i="1"/>
  <c r="Z212" i="1"/>
  <c r="AA212" i="1"/>
  <c r="AB212" i="1"/>
  <c r="AC212" i="1"/>
  <c r="AD212" i="1"/>
  <c r="AE212" i="1"/>
  <c r="AF212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T215" i="1"/>
  <c r="U215" i="1"/>
  <c r="AG215" i="1" s="1"/>
  <c r="V215" i="1"/>
  <c r="W215" i="1"/>
  <c r="X215" i="1"/>
  <c r="Y215" i="1"/>
  <c r="Z215" i="1"/>
  <c r="AA215" i="1"/>
  <c r="AB215" i="1"/>
  <c r="AC215" i="1"/>
  <c r="AD215" i="1"/>
  <c r="AE215" i="1"/>
  <c r="AF215" i="1"/>
  <c r="T216" i="1"/>
  <c r="U216" i="1"/>
  <c r="AG216" i="1" s="1"/>
  <c r="V216" i="1"/>
  <c r="W216" i="1"/>
  <c r="X216" i="1"/>
  <c r="Y216" i="1"/>
  <c r="Z216" i="1"/>
  <c r="AA216" i="1"/>
  <c r="AB216" i="1"/>
  <c r="AC216" i="1"/>
  <c r="AD216" i="1"/>
  <c r="AE216" i="1"/>
  <c r="AF216" i="1"/>
  <c r="T217" i="1"/>
  <c r="U217" i="1"/>
  <c r="AG217" i="1" s="1"/>
  <c r="V217" i="1"/>
  <c r="W217" i="1"/>
  <c r="X217" i="1"/>
  <c r="Y217" i="1"/>
  <c r="Z217" i="1"/>
  <c r="AA217" i="1"/>
  <c r="AB217" i="1"/>
  <c r="AC217" i="1"/>
  <c r="AD217" i="1"/>
  <c r="AE217" i="1"/>
  <c r="AF217" i="1"/>
  <c r="T218" i="1"/>
  <c r="U218" i="1"/>
  <c r="AG218" i="1" s="1"/>
  <c r="V218" i="1"/>
  <c r="W218" i="1"/>
  <c r="X218" i="1"/>
  <c r="Y218" i="1"/>
  <c r="Z218" i="1"/>
  <c r="AA218" i="1"/>
  <c r="AB218" i="1"/>
  <c r="AC218" i="1"/>
  <c r="AD218" i="1"/>
  <c r="AE218" i="1"/>
  <c r="AF218" i="1"/>
  <c r="T219" i="1"/>
  <c r="U219" i="1"/>
  <c r="AG219" i="1" s="1"/>
  <c r="V219" i="1"/>
  <c r="W219" i="1"/>
  <c r="X219" i="1"/>
  <c r="Y219" i="1"/>
  <c r="Z219" i="1"/>
  <c r="AA219" i="1"/>
  <c r="AB219" i="1"/>
  <c r="AC219" i="1"/>
  <c r="AD219" i="1"/>
  <c r="AE219" i="1"/>
  <c r="AF219" i="1"/>
  <c r="T220" i="1"/>
  <c r="U220" i="1"/>
  <c r="AG220" i="1" s="1"/>
  <c r="V220" i="1"/>
  <c r="W220" i="1"/>
  <c r="X220" i="1"/>
  <c r="Y220" i="1"/>
  <c r="Z220" i="1"/>
  <c r="AA220" i="1"/>
  <c r="AB220" i="1"/>
  <c r="AC220" i="1"/>
  <c r="AD220" i="1"/>
  <c r="AE220" i="1"/>
  <c r="AF220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T223" i="1"/>
  <c r="U223" i="1"/>
  <c r="AG223" i="1" s="1"/>
  <c r="V223" i="1"/>
  <c r="W223" i="1"/>
  <c r="X223" i="1"/>
  <c r="Y223" i="1"/>
  <c r="Z223" i="1"/>
  <c r="AA223" i="1"/>
  <c r="AB223" i="1"/>
  <c r="AC223" i="1"/>
  <c r="AD223" i="1"/>
  <c r="AE223" i="1"/>
  <c r="AF223" i="1"/>
  <c r="T224" i="1"/>
  <c r="U224" i="1"/>
  <c r="AG224" i="1" s="1"/>
  <c r="V224" i="1"/>
  <c r="W224" i="1"/>
  <c r="X224" i="1"/>
  <c r="Y224" i="1"/>
  <c r="Z224" i="1"/>
  <c r="AA224" i="1"/>
  <c r="AB224" i="1"/>
  <c r="AC224" i="1"/>
  <c r="AD224" i="1"/>
  <c r="AE224" i="1"/>
  <c r="AF224" i="1"/>
  <c r="T225" i="1"/>
  <c r="U225" i="1"/>
  <c r="AG225" i="1" s="1"/>
  <c r="V225" i="1"/>
  <c r="W225" i="1"/>
  <c r="X225" i="1"/>
  <c r="Y225" i="1"/>
  <c r="Z225" i="1"/>
  <c r="AA225" i="1"/>
  <c r="AB225" i="1"/>
  <c r="AC225" i="1"/>
  <c r="AD225" i="1"/>
  <c r="AE225" i="1"/>
  <c r="AF225" i="1"/>
  <c r="T226" i="1"/>
  <c r="U226" i="1"/>
  <c r="AG226" i="1" s="1"/>
  <c r="V226" i="1"/>
  <c r="W226" i="1"/>
  <c r="X226" i="1"/>
  <c r="Y226" i="1"/>
  <c r="Z226" i="1"/>
  <c r="AA226" i="1"/>
  <c r="AB226" i="1"/>
  <c r="AC226" i="1"/>
  <c r="AD226" i="1"/>
  <c r="AE226" i="1"/>
  <c r="AF226" i="1"/>
  <c r="T227" i="1"/>
  <c r="U227" i="1"/>
  <c r="AG227" i="1" s="1"/>
  <c r="V227" i="1"/>
  <c r="W227" i="1"/>
  <c r="X227" i="1"/>
  <c r="Y227" i="1"/>
  <c r="Z227" i="1"/>
  <c r="AA227" i="1"/>
  <c r="AB227" i="1"/>
  <c r="AC227" i="1"/>
  <c r="AD227" i="1"/>
  <c r="AE227" i="1"/>
  <c r="AF227" i="1"/>
  <c r="T228" i="1"/>
  <c r="U228" i="1"/>
  <c r="AG228" i="1" s="1"/>
  <c r="V228" i="1"/>
  <c r="W228" i="1"/>
  <c r="X228" i="1"/>
  <c r="Y228" i="1"/>
  <c r="Z228" i="1"/>
  <c r="AA228" i="1"/>
  <c r="AB228" i="1"/>
  <c r="AC228" i="1"/>
  <c r="AD228" i="1"/>
  <c r="AE228" i="1"/>
  <c r="AF228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T231" i="1"/>
  <c r="U231" i="1"/>
  <c r="AG231" i="1" s="1"/>
  <c r="V231" i="1"/>
  <c r="W231" i="1"/>
  <c r="X231" i="1"/>
  <c r="Y231" i="1"/>
  <c r="Z231" i="1"/>
  <c r="AA231" i="1"/>
  <c r="AB231" i="1"/>
  <c r="AC231" i="1"/>
  <c r="AD231" i="1"/>
  <c r="AE231" i="1"/>
  <c r="AF231" i="1"/>
  <c r="T232" i="1"/>
  <c r="U232" i="1"/>
  <c r="AG232" i="1" s="1"/>
  <c r="V232" i="1"/>
  <c r="W232" i="1"/>
  <c r="X232" i="1"/>
  <c r="Y232" i="1"/>
  <c r="Z232" i="1"/>
  <c r="AA232" i="1"/>
  <c r="AB232" i="1"/>
  <c r="AC232" i="1"/>
  <c r="AD232" i="1"/>
  <c r="AE232" i="1"/>
  <c r="AF232" i="1"/>
  <c r="T233" i="1"/>
  <c r="U233" i="1"/>
  <c r="AG233" i="1" s="1"/>
  <c r="V233" i="1"/>
  <c r="W233" i="1"/>
  <c r="X233" i="1"/>
  <c r="Y233" i="1"/>
  <c r="Z233" i="1"/>
  <c r="AA233" i="1"/>
  <c r="AB233" i="1"/>
  <c r="AC233" i="1"/>
  <c r="AD233" i="1"/>
  <c r="AE233" i="1"/>
  <c r="AF233" i="1"/>
  <c r="T234" i="1"/>
  <c r="U234" i="1"/>
  <c r="AG234" i="1" s="1"/>
  <c r="V234" i="1"/>
  <c r="W234" i="1"/>
  <c r="X234" i="1"/>
  <c r="Y234" i="1"/>
  <c r="Z234" i="1"/>
  <c r="AA234" i="1"/>
  <c r="AB234" i="1"/>
  <c r="AC234" i="1"/>
  <c r="AD234" i="1"/>
  <c r="AE234" i="1"/>
  <c r="AF234" i="1"/>
  <c r="T235" i="1"/>
  <c r="U235" i="1"/>
  <c r="AG235" i="1" s="1"/>
  <c r="V235" i="1"/>
  <c r="W235" i="1"/>
  <c r="X235" i="1"/>
  <c r="Y235" i="1"/>
  <c r="Z235" i="1"/>
  <c r="AA235" i="1"/>
  <c r="AB235" i="1"/>
  <c r="AC235" i="1"/>
  <c r="AD235" i="1"/>
  <c r="AE235" i="1"/>
  <c r="AF235" i="1"/>
  <c r="T236" i="1"/>
  <c r="U236" i="1"/>
  <c r="AG236" i="1" s="1"/>
  <c r="V236" i="1"/>
  <c r="W236" i="1"/>
  <c r="X236" i="1"/>
  <c r="Y236" i="1"/>
  <c r="Z236" i="1"/>
  <c r="AA236" i="1"/>
  <c r="AB236" i="1"/>
  <c r="AC236" i="1"/>
  <c r="AD236" i="1"/>
  <c r="AE236" i="1"/>
  <c r="AF236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T239" i="1"/>
  <c r="U239" i="1"/>
  <c r="AG239" i="1" s="1"/>
  <c r="V239" i="1"/>
  <c r="W239" i="1"/>
  <c r="X239" i="1"/>
  <c r="Y239" i="1"/>
  <c r="Z239" i="1"/>
  <c r="AA239" i="1"/>
  <c r="AB239" i="1"/>
  <c r="AC239" i="1"/>
  <c r="AD239" i="1"/>
  <c r="AE239" i="1"/>
  <c r="AF239" i="1"/>
  <c r="T240" i="1"/>
  <c r="U240" i="1"/>
  <c r="AG240" i="1" s="1"/>
  <c r="V240" i="1"/>
  <c r="W240" i="1"/>
  <c r="X240" i="1"/>
  <c r="Y240" i="1"/>
  <c r="Z240" i="1"/>
  <c r="AA240" i="1"/>
  <c r="AB240" i="1"/>
  <c r="AC240" i="1"/>
  <c r="AD240" i="1"/>
  <c r="AE240" i="1"/>
  <c r="AF240" i="1"/>
  <c r="T241" i="1"/>
  <c r="U241" i="1"/>
  <c r="AG241" i="1" s="1"/>
  <c r="V241" i="1"/>
  <c r="W241" i="1"/>
  <c r="X241" i="1"/>
  <c r="Y241" i="1"/>
  <c r="Z241" i="1"/>
  <c r="AA241" i="1"/>
  <c r="AB241" i="1"/>
  <c r="AC241" i="1"/>
  <c r="AD241" i="1"/>
  <c r="AE241" i="1"/>
  <c r="AF241" i="1"/>
  <c r="T242" i="1"/>
  <c r="U242" i="1"/>
  <c r="AG242" i="1" s="1"/>
  <c r="V242" i="1"/>
  <c r="W242" i="1"/>
  <c r="X242" i="1"/>
  <c r="Y242" i="1"/>
  <c r="Z242" i="1"/>
  <c r="AA242" i="1"/>
  <c r="AB242" i="1"/>
  <c r="AC242" i="1"/>
  <c r="AD242" i="1"/>
  <c r="AE242" i="1"/>
  <c r="AF242" i="1"/>
  <c r="T243" i="1"/>
  <c r="U243" i="1"/>
  <c r="AG243" i="1" s="1"/>
  <c r="V243" i="1"/>
  <c r="W243" i="1"/>
  <c r="X243" i="1"/>
  <c r="Y243" i="1"/>
  <c r="Z243" i="1"/>
  <c r="AA243" i="1"/>
  <c r="AB243" i="1"/>
  <c r="AC243" i="1"/>
  <c r="AD243" i="1"/>
  <c r="AE243" i="1"/>
  <c r="AF243" i="1"/>
  <c r="T244" i="1"/>
  <c r="U244" i="1"/>
  <c r="AG244" i="1" s="1"/>
  <c r="V244" i="1"/>
  <c r="W244" i="1"/>
  <c r="X244" i="1"/>
  <c r="Y244" i="1"/>
  <c r="Z244" i="1"/>
  <c r="AA244" i="1"/>
  <c r="AB244" i="1"/>
  <c r="AC244" i="1"/>
  <c r="AD244" i="1"/>
  <c r="AE244" i="1"/>
  <c r="AF244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T247" i="1"/>
  <c r="U247" i="1"/>
  <c r="AG247" i="1" s="1"/>
  <c r="V247" i="1"/>
  <c r="W247" i="1"/>
  <c r="X247" i="1"/>
  <c r="Y247" i="1"/>
  <c r="Z247" i="1"/>
  <c r="AA247" i="1"/>
  <c r="AB247" i="1"/>
  <c r="AC247" i="1"/>
  <c r="AD247" i="1"/>
  <c r="AE247" i="1"/>
  <c r="AF247" i="1"/>
  <c r="T248" i="1"/>
  <c r="U248" i="1"/>
  <c r="AG248" i="1" s="1"/>
  <c r="V248" i="1"/>
  <c r="W248" i="1"/>
  <c r="X248" i="1"/>
  <c r="Y248" i="1"/>
  <c r="Z248" i="1"/>
  <c r="AA248" i="1"/>
  <c r="AB248" i="1"/>
  <c r="AC248" i="1"/>
  <c r="AD248" i="1"/>
  <c r="AE248" i="1"/>
  <c r="AF248" i="1"/>
  <c r="T249" i="1"/>
  <c r="U249" i="1"/>
  <c r="AG249" i="1" s="1"/>
  <c r="V249" i="1"/>
  <c r="W249" i="1"/>
  <c r="X249" i="1"/>
  <c r="Y249" i="1"/>
  <c r="Z249" i="1"/>
  <c r="AA249" i="1"/>
  <c r="AB249" i="1"/>
  <c r="AC249" i="1"/>
  <c r="AD249" i="1"/>
  <c r="AE249" i="1"/>
  <c r="AF249" i="1"/>
  <c r="T250" i="1"/>
  <c r="U250" i="1"/>
  <c r="AG250" i="1" s="1"/>
  <c r="V250" i="1"/>
  <c r="W250" i="1"/>
  <c r="X250" i="1"/>
  <c r="Y250" i="1"/>
  <c r="Z250" i="1"/>
  <c r="AA250" i="1"/>
  <c r="AB250" i="1"/>
  <c r="AC250" i="1"/>
  <c r="AD250" i="1"/>
  <c r="AE250" i="1"/>
  <c r="AF250" i="1"/>
  <c r="T251" i="1"/>
  <c r="U251" i="1"/>
  <c r="AG251" i="1" s="1"/>
  <c r="V251" i="1"/>
  <c r="W251" i="1"/>
  <c r="X251" i="1"/>
  <c r="Y251" i="1"/>
  <c r="Z251" i="1"/>
  <c r="AA251" i="1"/>
  <c r="AB251" i="1"/>
  <c r="AC251" i="1"/>
  <c r="AD251" i="1"/>
  <c r="AE251" i="1"/>
  <c r="AF251" i="1"/>
  <c r="T252" i="1"/>
  <c r="U252" i="1"/>
  <c r="AG252" i="1" s="1"/>
  <c r="V252" i="1"/>
  <c r="W252" i="1"/>
  <c r="X252" i="1"/>
  <c r="Y252" i="1"/>
  <c r="Z252" i="1"/>
  <c r="AA252" i="1"/>
  <c r="AB252" i="1"/>
  <c r="AC252" i="1"/>
  <c r="AD252" i="1"/>
  <c r="AE252" i="1"/>
  <c r="AF252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T255" i="1"/>
  <c r="U255" i="1"/>
  <c r="AG255" i="1" s="1"/>
  <c r="V255" i="1"/>
  <c r="W255" i="1"/>
  <c r="X255" i="1"/>
  <c r="Y255" i="1"/>
  <c r="Z255" i="1"/>
  <c r="AA255" i="1"/>
  <c r="AB255" i="1"/>
  <c r="AC255" i="1"/>
  <c r="AD255" i="1"/>
  <c r="AE255" i="1"/>
  <c r="AF255" i="1"/>
  <c r="T256" i="1"/>
  <c r="U256" i="1"/>
  <c r="AG256" i="1" s="1"/>
  <c r="V256" i="1"/>
  <c r="W256" i="1"/>
  <c r="X256" i="1"/>
  <c r="Y256" i="1"/>
  <c r="Z256" i="1"/>
  <c r="AA256" i="1"/>
  <c r="AB256" i="1"/>
  <c r="AC256" i="1"/>
  <c r="AD256" i="1"/>
  <c r="AE256" i="1"/>
  <c r="AF256" i="1"/>
  <c r="T257" i="1"/>
  <c r="U257" i="1"/>
  <c r="AG257" i="1" s="1"/>
  <c r="V257" i="1"/>
  <c r="W257" i="1"/>
  <c r="X257" i="1"/>
  <c r="Y257" i="1"/>
  <c r="Z257" i="1"/>
  <c r="AA257" i="1"/>
  <c r="AB257" i="1"/>
  <c r="AC257" i="1"/>
  <c r="AD257" i="1"/>
  <c r="AE257" i="1"/>
  <c r="AF257" i="1"/>
  <c r="T258" i="1"/>
  <c r="U258" i="1"/>
  <c r="AG258" i="1" s="1"/>
  <c r="V258" i="1"/>
  <c r="W258" i="1"/>
  <c r="X258" i="1"/>
  <c r="Y258" i="1"/>
  <c r="Z258" i="1"/>
  <c r="AA258" i="1"/>
  <c r="AB258" i="1"/>
  <c r="AC258" i="1"/>
  <c r="AD258" i="1"/>
  <c r="AE258" i="1"/>
  <c r="AF258" i="1"/>
  <c r="T259" i="1"/>
  <c r="U259" i="1"/>
  <c r="AG259" i="1" s="1"/>
  <c r="V259" i="1"/>
  <c r="W259" i="1"/>
  <c r="X259" i="1"/>
  <c r="Y259" i="1"/>
  <c r="Z259" i="1"/>
  <c r="AA259" i="1"/>
  <c r="AB259" i="1"/>
  <c r="AC259" i="1"/>
  <c r="AD259" i="1"/>
  <c r="AE259" i="1"/>
  <c r="AF259" i="1"/>
  <c r="T260" i="1"/>
  <c r="U260" i="1"/>
  <c r="AG260" i="1" s="1"/>
  <c r="V260" i="1"/>
  <c r="W260" i="1"/>
  <c r="X260" i="1"/>
  <c r="Y260" i="1"/>
  <c r="Z260" i="1"/>
  <c r="AA260" i="1"/>
  <c r="AB260" i="1"/>
  <c r="AC260" i="1"/>
  <c r="AD260" i="1"/>
  <c r="AE260" i="1"/>
  <c r="AF260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T263" i="1"/>
  <c r="U263" i="1"/>
  <c r="AG263" i="1" s="1"/>
  <c r="V263" i="1"/>
  <c r="W263" i="1"/>
  <c r="X263" i="1"/>
  <c r="Y263" i="1"/>
  <c r="Z263" i="1"/>
  <c r="AA263" i="1"/>
  <c r="AB263" i="1"/>
  <c r="AC263" i="1"/>
  <c r="AD263" i="1"/>
  <c r="AE263" i="1"/>
  <c r="AF263" i="1"/>
  <c r="T264" i="1"/>
  <c r="U264" i="1"/>
  <c r="AG264" i="1" s="1"/>
  <c r="V264" i="1"/>
  <c r="W264" i="1"/>
  <c r="X264" i="1"/>
  <c r="Y264" i="1"/>
  <c r="Z264" i="1"/>
  <c r="AA264" i="1"/>
  <c r="AB264" i="1"/>
  <c r="AC264" i="1"/>
  <c r="AD264" i="1"/>
  <c r="AE264" i="1"/>
  <c r="AF264" i="1"/>
  <c r="T265" i="1"/>
  <c r="U265" i="1"/>
  <c r="AG265" i="1" s="1"/>
  <c r="V265" i="1"/>
  <c r="W265" i="1"/>
  <c r="X265" i="1"/>
  <c r="Y265" i="1"/>
  <c r="Z265" i="1"/>
  <c r="AA265" i="1"/>
  <c r="AB265" i="1"/>
  <c r="AC265" i="1"/>
  <c r="AD265" i="1"/>
  <c r="AE265" i="1"/>
  <c r="AF265" i="1"/>
  <c r="T266" i="1"/>
  <c r="U266" i="1"/>
  <c r="AG266" i="1" s="1"/>
  <c r="V266" i="1"/>
  <c r="W266" i="1"/>
  <c r="X266" i="1"/>
  <c r="Y266" i="1"/>
  <c r="Z266" i="1"/>
  <c r="AA266" i="1"/>
  <c r="AB266" i="1"/>
  <c r="AC266" i="1"/>
  <c r="AD266" i="1"/>
  <c r="AE266" i="1"/>
  <c r="AF266" i="1"/>
  <c r="T267" i="1"/>
  <c r="U267" i="1"/>
  <c r="AG267" i="1" s="1"/>
  <c r="V267" i="1"/>
  <c r="W267" i="1"/>
  <c r="X267" i="1"/>
  <c r="Y267" i="1"/>
  <c r="Z267" i="1"/>
  <c r="AA267" i="1"/>
  <c r="AB267" i="1"/>
  <c r="AC267" i="1"/>
  <c r="AD267" i="1"/>
  <c r="AE267" i="1"/>
  <c r="AF267" i="1"/>
  <c r="T268" i="1"/>
  <c r="U268" i="1"/>
  <c r="AG268" i="1" s="1"/>
  <c r="V268" i="1"/>
  <c r="W268" i="1"/>
  <c r="X268" i="1"/>
  <c r="Y268" i="1"/>
  <c r="Z268" i="1"/>
  <c r="AA268" i="1"/>
  <c r="AB268" i="1"/>
  <c r="AC268" i="1"/>
  <c r="AD268" i="1"/>
  <c r="AE268" i="1"/>
  <c r="AF268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T271" i="1"/>
  <c r="U271" i="1"/>
  <c r="AG271" i="1" s="1"/>
  <c r="V271" i="1"/>
  <c r="W271" i="1"/>
  <c r="X271" i="1"/>
  <c r="Y271" i="1"/>
  <c r="Z271" i="1"/>
  <c r="AA271" i="1"/>
  <c r="AB271" i="1"/>
  <c r="AC271" i="1"/>
  <c r="AD271" i="1"/>
  <c r="AE271" i="1"/>
  <c r="AF271" i="1"/>
  <c r="T272" i="1"/>
  <c r="U272" i="1"/>
  <c r="AG272" i="1" s="1"/>
  <c r="V272" i="1"/>
  <c r="W272" i="1"/>
  <c r="X272" i="1"/>
  <c r="Y272" i="1"/>
  <c r="Z272" i="1"/>
  <c r="AA272" i="1"/>
  <c r="AB272" i="1"/>
  <c r="AC272" i="1"/>
  <c r="AD272" i="1"/>
  <c r="AE272" i="1"/>
  <c r="AF272" i="1"/>
  <c r="T273" i="1"/>
  <c r="U273" i="1"/>
  <c r="AG273" i="1" s="1"/>
  <c r="V273" i="1"/>
  <c r="W273" i="1"/>
  <c r="X273" i="1"/>
  <c r="Y273" i="1"/>
  <c r="Z273" i="1"/>
  <c r="AA273" i="1"/>
  <c r="AB273" i="1"/>
  <c r="AC273" i="1"/>
  <c r="AD273" i="1"/>
  <c r="AE273" i="1"/>
  <c r="AF273" i="1"/>
  <c r="T274" i="1"/>
  <c r="U274" i="1"/>
  <c r="AG274" i="1" s="1"/>
  <c r="V274" i="1"/>
  <c r="W274" i="1"/>
  <c r="X274" i="1"/>
  <c r="Y274" i="1"/>
  <c r="Z274" i="1"/>
  <c r="AA274" i="1"/>
  <c r="AB274" i="1"/>
  <c r="AC274" i="1"/>
  <c r="AD274" i="1"/>
  <c r="AE274" i="1"/>
  <c r="AF274" i="1"/>
  <c r="T275" i="1"/>
  <c r="U275" i="1"/>
  <c r="AG275" i="1" s="1"/>
  <c r="V275" i="1"/>
  <c r="W275" i="1"/>
  <c r="X275" i="1"/>
  <c r="Y275" i="1"/>
  <c r="Z275" i="1"/>
  <c r="AA275" i="1"/>
  <c r="AB275" i="1"/>
  <c r="AC275" i="1"/>
  <c r="AD275" i="1"/>
  <c r="AE275" i="1"/>
  <c r="AF275" i="1"/>
  <c r="T276" i="1"/>
  <c r="U276" i="1"/>
  <c r="AG276" i="1" s="1"/>
  <c r="V276" i="1"/>
  <c r="W276" i="1"/>
  <c r="X276" i="1"/>
  <c r="Y276" i="1"/>
  <c r="Z276" i="1"/>
  <c r="AA276" i="1"/>
  <c r="AB276" i="1"/>
  <c r="AC276" i="1"/>
  <c r="AD276" i="1"/>
  <c r="AE276" i="1"/>
  <c r="AF276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T279" i="1"/>
  <c r="U279" i="1"/>
  <c r="AG279" i="1" s="1"/>
  <c r="V279" i="1"/>
  <c r="W279" i="1"/>
  <c r="X279" i="1"/>
  <c r="Y279" i="1"/>
  <c r="Z279" i="1"/>
  <c r="AA279" i="1"/>
  <c r="AB279" i="1"/>
  <c r="AC279" i="1"/>
  <c r="AD279" i="1"/>
  <c r="AE279" i="1"/>
  <c r="AF279" i="1"/>
  <c r="T280" i="1"/>
  <c r="U280" i="1"/>
  <c r="AG280" i="1" s="1"/>
  <c r="V280" i="1"/>
  <c r="W280" i="1"/>
  <c r="X280" i="1"/>
  <c r="Y280" i="1"/>
  <c r="Z280" i="1"/>
  <c r="AA280" i="1"/>
  <c r="AB280" i="1"/>
  <c r="AC280" i="1"/>
  <c r="AD280" i="1"/>
  <c r="AE280" i="1"/>
  <c r="AF280" i="1"/>
  <c r="T281" i="1"/>
  <c r="U281" i="1"/>
  <c r="AG281" i="1" s="1"/>
  <c r="V281" i="1"/>
  <c r="W281" i="1"/>
  <c r="X281" i="1"/>
  <c r="Y281" i="1"/>
  <c r="Z281" i="1"/>
  <c r="AA281" i="1"/>
  <c r="AB281" i="1"/>
  <c r="AC281" i="1"/>
  <c r="AD281" i="1"/>
  <c r="AE281" i="1"/>
  <c r="AF281" i="1"/>
  <c r="T282" i="1"/>
  <c r="U282" i="1"/>
  <c r="AG282" i="1" s="1"/>
  <c r="V282" i="1"/>
  <c r="W282" i="1"/>
  <c r="X282" i="1"/>
  <c r="Y282" i="1"/>
  <c r="Z282" i="1"/>
  <c r="AA282" i="1"/>
  <c r="AB282" i="1"/>
  <c r="AC282" i="1"/>
  <c r="AD282" i="1"/>
  <c r="AE282" i="1"/>
  <c r="AF282" i="1"/>
  <c r="T283" i="1"/>
  <c r="U283" i="1"/>
  <c r="AG283" i="1" s="1"/>
  <c r="V283" i="1"/>
  <c r="W283" i="1"/>
  <c r="X283" i="1"/>
  <c r="Y283" i="1"/>
  <c r="Z283" i="1"/>
  <c r="AA283" i="1"/>
  <c r="AB283" i="1"/>
  <c r="AC283" i="1"/>
  <c r="AD283" i="1"/>
  <c r="AE283" i="1"/>
  <c r="AF283" i="1"/>
  <c r="T284" i="1"/>
  <c r="U284" i="1"/>
  <c r="AG284" i="1" s="1"/>
  <c r="V284" i="1"/>
  <c r="W284" i="1"/>
  <c r="X284" i="1"/>
  <c r="Y284" i="1"/>
  <c r="Z284" i="1"/>
  <c r="AA284" i="1"/>
  <c r="AB284" i="1"/>
  <c r="AC284" i="1"/>
  <c r="AD284" i="1"/>
  <c r="AE284" i="1"/>
  <c r="AF284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T287" i="1"/>
  <c r="U287" i="1"/>
  <c r="AG287" i="1" s="1"/>
  <c r="V287" i="1"/>
  <c r="W287" i="1"/>
  <c r="X287" i="1"/>
  <c r="Y287" i="1"/>
  <c r="Z287" i="1"/>
  <c r="AA287" i="1"/>
  <c r="AB287" i="1"/>
  <c r="AC287" i="1"/>
  <c r="AD287" i="1"/>
  <c r="AE287" i="1"/>
  <c r="AF287" i="1"/>
  <c r="T288" i="1"/>
  <c r="U288" i="1"/>
  <c r="AG288" i="1" s="1"/>
  <c r="V288" i="1"/>
  <c r="W288" i="1"/>
  <c r="X288" i="1"/>
  <c r="Y288" i="1"/>
  <c r="Z288" i="1"/>
  <c r="AA288" i="1"/>
  <c r="AB288" i="1"/>
  <c r="AC288" i="1"/>
  <c r="AD288" i="1"/>
  <c r="AE288" i="1"/>
  <c r="AF288" i="1"/>
  <c r="T289" i="1"/>
  <c r="U289" i="1"/>
  <c r="AG289" i="1" s="1"/>
  <c r="V289" i="1"/>
  <c r="W289" i="1"/>
  <c r="X289" i="1"/>
  <c r="Y289" i="1"/>
  <c r="Z289" i="1"/>
  <c r="AA289" i="1"/>
  <c r="AB289" i="1"/>
  <c r="AC289" i="1"/>
  <c r="AD289" i="1"/>
  <c r="AE289" i="1"/>
  <c r="AF289" i="1"/>
  <c r="T290" i="1"/>
  <c r="U290" i="1"/>
  <c r="AG290" i="1" s="1"/>
  <c r="V290" i="1"/>
  <c r="W290" i="1"/>
  <c r="X290" i="1"/>
  <c r="Y290" i="1"/>
  <c r="Z290" i="1"/>
  <c r="AA290" i="1"/>
  <c r="AB290" i="1"/>
  <c r="AC290" i="1"/>
  <c r="AD290" i="1"/>
  <c r="AE290" i="1"/>
  <c r="AF290" i="1"/>
  <c r="T291" i="1"/>
  <c r="U291" i="1"/>
  <c r="AG291" i="1" s="1"/>
  <c r="V291" i="1"/>
  <c r="W291" i="1"/>
  <c r="X291" i="1"/>
  <c r="Y291" i="1"/>
  <c r="Z291" i="1"/>
  <c r="AA291" i="1"/>
  <c r="AB291" i="1"/>
  <c r="AC291" i="1"/>
  <c r="AD291" i="1"/>
  <c r="AE291" i="1"/>
  <c r="AF291" i="1"/>
  <c r="T292" i="1"/>
  <c r="U292" i="1"/>
  <c r="AG292" i="1" s="1"/>
  <c r="V292" i="1"/>
  <c r="W292" i="1"/>
  <c r="X292" i="1"/>
  <c r="Y292" i="1"/>
  <c r="Z292" i="1"/>
  <c r="AA292" i="1"/>
  <c r="AB292" i="1"/>
  <c r="AC292" i="1"/>
  <c r="AD292" i="1"/>
  <c r="AE292" i="1"/>
  <c r="AF292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T295" i="1"/>
  <c r="U295" i="1"/>
  <c r="AG295" i="1" s="1"/>
  <c r="V295" i="1"/>
  <c r="W295" i="1"/>
  <c r="X295" i="1"/>
  <c r="Y295" i="1"/>
  <c r="Z295" i="1"/>
  <c r="AA295" i="1"/>
  <c r="AB295" i="1"/>
  <c r="AC295" i="1"/>
  <c r="AD295" i="1"/>
  <c r="AE295" i="1"/>
  <c r="AF295" i="1"/>
  <c r="T296" i="1"/>
  <c r="U296" i="1"/>
  <c r="AG296" i="1" s="1"/>
  <c r="V296" i="1"/>
  <c r="W296" i="1"/>
  <c r="X296" i="1"/>
  <c r="Y296" i="1"/>
  <c r="Z296" i="1"/>
  <c r="AA296" i="1"/>
  <c r="AB296" i="1"/>
  <c r="AC296" i="1"/>
  <c r="AD296" i="1"/>
  <c r="AE296" i="1"/>
  <c r="AF296" i="1"/>
  <c r="T297" i="1"/>
  <c r="U297" i="1"/>
  <c r="AG297" i="1" s="1"/>
  <c r="V297" i="1"/>
  <c r="W297" i="1"/>
  <c r="X297" i="1"/>
  <c r="Y297" i="1"/>
  <c r="Z297" i="1"/>
  <c r="AA297" i="1"/>
  <c r="AB297" i="1"/>
  <c r="AC297" i="1"/>
  <c r="AD297" i="1"/>
  <c r="AE297" i="1"/>
  <c r="AF297" i="1"/>
  <c r="T298" i="1"/>
  <c r="U298" i="1"/>
  <c r="AG298" i="1" s="1"/>
  <c r="V298" i="1"/>
  <c r="W298" i="1"/>
  <c r="X298" i="1"/>
  <c r="Y298" i="1"/>
  <c r="Z298" i="1"/>
  <c r="AA298" i="1"/>
  <c r="AB298" i="1"/>
  <c r="AC298" i="1"/>
  <c r="AD298" i="1"/>
  <c r="AE298" i="1"/>
  <c r="AF298" i="1"/>
  <c r="T299" i="1"/>
  <c r="U299" i="1"/>
  <c r="AG299" i="1" s="1"/>
  <c r="V299" i="1"/>
  <c r="W299" i="1"/>
  <c r="X299" i="1"/>
  <c r="Y299" i="1"/>
  <c r="Z299" i="1"/>
  <c r="AA299" i="1"/>
  <c r="AB299" i="1"/>
  <c r="AC299" i="1"/>
  <c r="AD299" i="1"/>
  <c r="AE299" i="1"/>
  <c r="AF299" i="1"/>
  <c r="T300" i="1"/>
  <c r="U300" i="1"/>
  <c r="AG300" i="1" s="1"/>
  <c r="V300" i="1"/>
  <c r="W300" i="1"/>
  <c r="X300" i="1"/>
  <c r="Y300" i="1"/>
  <c r="Z300" i="1"/>
  <c r="AA300" i="1"/>
  <c r="AB300" i="1"/>
  <c r="AC300" i="1"/>
  <c r="AD300" i="1"/>
  <c r="AE300" i="1"/>
  <c r="AF300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T303" i="1"/>
  <c r="U303" i="1"/>
  <c r="AG303" i="1" s="1"/>
  <c r="V303" i="1"/>
  <c r="W303" i="1"/>
  <c r="X303" i="1"/>
  <c r="Y303" i="1"/>
  <c r="Z303" i="1"/>
  <c r="AA303" i="1"/>
  <c r="AB303" i="1"/>
  <c r="AC303" i="1"/>
  <c r="AD303" i="1"/>
  <c r="AE303" i="1"/>
  <c r="AF303" i="1"/>
  <c r="T304" i="1"/>
  <c r="U304" i="1"/>
  <c r="AG304" i="1" s="1"/>
  <c r="V304" i="1"/>
  <c r="W304" i="1"/>
  <c r="X304" i="1"/>
  <c r="Y304" i="1"/>
  <c r="Z304" i="1"/>
  <c r="AA304" i="1"/>
  <c r="AB304" i="1"/>
  <c r="AC304" i="1"/>
  <c r="AD304" i="1"/>
  <c r="AE304" i="1"/>
  <c r="AF304" i="1"/>
  <c r="T305" i="1"/>
  <c r="U305" i="1"/>
  <c r="AG305" i="1" s="1"/>
  <c r="V305" i="1"/>
  <c r="W305" i="1"/>
  <c r="X305" i="1"/>
  <c r="Y305" i="1"/>
  <c r="Z305" i="1"/>
  <c r="AA305" i="1"/>
  <c r="AB305" i="1"/>
  <c r="AC305" i="1"/>
  <c r="AD305" i="1"/>
  <c r="AE305" i="1"/>
  <c r="AF305" i="1"/>
  <c r="T306" i="1"/>
  <c r="U306" i="1"/>
  <c r="AG306" i="1" s="1"/>
  <c r="V306" i="1"/>
  <c r="W306" i="1"/>
  <c r="X306" i="1"/>
  <c r="Y306" i="1"/>
  <c r="Z306" i="1"/>
  <c r="AA306" i="1"/>
  <c r="AB306" i="1"/>
  <c r="AC306" i="1"/>
  <c r="AD306" i="1"/>
  <c r="AE306" i="1"/>
  <c r="AF306" i="1"/>
  <c r="T307" i="1"/>
  <c r="U307" i="1"/>
  <c r="AG307" i="1" s="1"/>
  <c r="V307" i="1"/>
  <c r="W307" i="1"/>
  <c r="X307" i="1"/>
  <c r="Y307" i="1"/>
  <c r="Z307" i="1"/>
  <c r="AA307" i="1"/>
  <c r="AB307" i="1"/>
  <c r="AC307" i="1"/>
  <c r="AD307" i="1"/>
  <c r="AE307" i="1"/>
  <c r="AF307" i="1"/>
  <c r="T308" i="1"/>
  <c r="U308" i="1"/>
  <c r="AG308" i="1" s="1"/>
  <c r="V308" i="1"/>
  <c r="W308" i="1"/>
  <c r="X308" i="1"/>
  <c r="Y308" i="1"/>
  <c r="Z308" i="1"/>
  <c r="AA308" i="1"/>
  <c r="AB308" i="1"/>
  <c r="AC308" i="1"/>
  <c r="AD308" i="1"/>
  <c r="AE308" i="1"/>
  <c r="AF308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T311" i="1"/>
  <c r="U311" i="1"/>
  <c r="AG311" i="1" s="1"/>
  <c r="V311" i="1"/>
  <c r="W311" i="1"/>
  <c r="X311" i="1"/>
  <c r="Y311" i="1"/>
  <c r="Z311" i="1"/>
  <c r="AA311" i="1"/>
  <c r="AB311" i="1"/>
  <c r="AC311" i="1"/>
  <c r="AD311" i="1"/>
  <c r="AE311" i="1"/>
  <c r="AF311" i="1"/>
  <c r="T312" i="1"/>
  <c r="U312" i="1"/>
  <c r="AG312" i="1" s="1"/>
  <c r="V312" i="1"/>
  <c r="W312" i="1"/>
  <c r="X312" i="1"/>
  <c r="Y312" i="1"/>
  <c r="Z312" i="1"/>
  <c r="AA312" i="1"/>
  <c r="AB312" i="1"/>
  <c r="AC312" i="1"/>
  <c r="AD312" i="1"/>
  <c r="AE312" i="1"/>
  <c r="AF312" i="1"/>
  <c r="T313" i="1"/>
  <c r="U313" i="1"/>
  <c r="AG313" i="1" s="1"/>
  <c r="V313" i="1"/>
  <c r="W313" i="1"/>
  <c r="X313" i="1"/>
  <c r="Y313" i="1"/>
  <c r="Z313" i="1"/>
  <c r="AA313" i="1"/>
  <c r="AB313" i="1"/>
  <c r="AC313" i="1"/>
  <c r="AD313" i="1"/>
  <c r="AE313" i="1"/>
  <c r="AF313" i="1"/>
  <c r="T314" i="1"/>
  <c r="U314" i="1"/>
  <c r="AG314" i="1" s="1"/>
  <c r="V314" i="1"/>
  <c r="W314" i="1"/>
  <c r="X314" i="1"/>
  <c r="Y314" i="1"/>
  <c r="Z314" i="1"/>
  <c r="AA314" i="1"/>
  <c r="AB314" i="1"/>
  <c r="AC314" i="1"/>
  <c r="AD314" i="1"/>
  <c r="AE314" i="1"/>
  <c r="AF314" i="1"/>
  <c r="T315" i="1"/>
  <c r="U315" i="1"/>
  <c r="AG315" i="1" s="1"/>
  <c r="V315" i="1"/>
  <c r="W315" i="1"/>
  <c r="X315" i="1"/>
  <c r="Y315" i="1"/>
  <c r="Z315" i="1"/>
  <c r="AA315" i="1"/>
  <c r="AB315" i="1"/>
  <c r="AC315" i="1"/>
  <c r="AD315" i="1"/>
  <c r="AE315" i="1"/>
  <c r="AF315" i="1"/>
  <c r="T316" i="1"/>
  <c r="U316" i="1"/>
  <c r="AG316" i="1" s="1"/>
  <c r="V316" i="1"/>
  <c r="W316" i="1"/>
  <c r="X316" i="1"/>
  <c r="Y316" i="1"/>
  <c r="Z316" i="1"/>
  <c r="AA316" i="1"/>
  <c r="AB316" i="1"/>
  <c r="AC316" i="1"/>
  <c r="AD316" i="1"/>
  <c r="AE316" i="1"/>
  <c r="AF316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T319" i="1"/>
  <c r="U319" i="1"/>
  <c r="AG319" i="1" s="1"/>
  <c r="V319" i="1"/>
  <c r="W319" i="1"/>
  <c r="X319" i="1"/>
  <c r="Y319" i="1"/>
  <c r="Z319" i="1"/>
  <c r="AA319" i="1"/>
  <c r="AB319" i="1"/>
  <c r="AC319" i="1"/>
  <c r="AD319" i="1"/>
  <c r="AE319" i="1"/>
  <c r="AF319" i="1"/>
  <c r="T320" i="1"/>
  <c r="U320" i="1"/>
  <c r="AG320" i="1" s="1"/>
  <c r="V320" i="1"/>
  <c r="W320" i="1"/>
  <c r="X320" i="1"/>
  <c r="Y320" i="1"/>
  <c r="Z320" i="1"/>
  <c r="AA320" i="1"/>
  <c r="AB320" i="1"/>
  <c r="AC320" i="1"/>
  <c r="AD320" i="1"/>
  <c r="AE320" i="1"/>
  <c r="AF320" i="1"/>
  <c r="T321" i="1"/>
  <c r="U321" i="1"/>
  <c r="AG321" i="1" s="1"/>
  <c r="V321" i="1"/>
  <c r="W321" i="1"/>
  <c r="X321" i="1"/>
  <c r="Y321" i="1"/>
  <c r="Z321" i="1"/>
  <c r="AA321" i="1"/>
  <c r="AB321" i="1"/>
  <c r="AC321" i="1"/>
  <c r="AD321" i="1"/>
  <c r="AE321" i="1"/>
  <c r="AF321" i="1"/>
  <c r="T322" i="1"/>
  <c r="U322" i="1"/>
  <c r="AG322" i="1" s="1"/>
  <c r="V322" i="1"/>
  <c r="W322" i="1"/>
  <c r="X322" i="1"/>
  <c r="Y322" i="1"/>
  <c r="Z322" i="1"/>
  <c r="AA322" i="1"/>
  <c r="AB322" i="1"/>
  <c r="AC322" i="1"/>
  <c r="AD322" i="1"/>
  <c r="AE322" i="1"/>
  <c r="AF322" i="1"/>
  <c r="T323" i="1"/>
  <c r="U323" i="1"/>
  <c r="AG323" i="1" s="1"/>
  <c r="V323" i="1"/>
  <c r="W323" i="1"/>
  <c r="X323" i="1"/>
  <c r="Y323" i="1"/>
  <c r="Z323" i="1"/>
  <c r="AA323" i="1"/>
  <c r="AB323" i="1"/>
  <c r="AC323" i="1"/>
  <c r="AD323" i="1"/>
  <c r="AE323" i="1"/>
  <c r="AF323" i="1"/>
  <c r="T324" i="1"/>
  <c r="U324" i="1"/>
  <c r="AG324" i="1" s="1"/>
  <c r="V324" i="1"/>
  <c r="W324" i="1"/>
  <c r="X324" i="1"/>
  <c r="Y324" i="1"/>
  <c r="Z324" i="1"/>
  <c r="AA324" i="1"/>
  <c r="AB324" i="1"/>
  <c r="AC324" i="1"/>
  <c r="AD324" i="1"/>
  <c r="AE324" i="1"/>
  <c r="AF324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T327" i="1"/>
  <c r="U327" i="1"/>
  <c r="AG327" i="1" s="1"/>
  <c r="V327" i="1"/>
  <c r="W327" i="1"/>
  <c r="X327" i="1"/>
  <c r="Y327" i="1"/>
  <c r="Z327" i="1"/>
  <c r="AA327" i="1"/>
  <c r="AB327" i="1"/>
  <c r="AC327" i="1"/>
  <c r="AD327" i="1"/>
  <c r="AE327" i="1"/>
  <c r="AF327" i="1"/>
  <c r="T328" i="1"/>
  <c r="U328" i="1"/>
  <c r="AG328" i="1" s="1"/>
  <c r="V328" i="1"/>
  <c r="W328" i="1"/>
  <c r="X328" i="1"/>
  <c r="Y328" i="1"/>
  <c r="Z328" i="1"/>
  <c r="AA328" i="1"/>
  <c r="AB328" i="1"/>
  <c r="AC328" i="1"/>
  <c r="AD328" i="1"/>
  <c r="AE328" i="1"/>
  <c r="AF328" i="1"/>
  <c r="T329" i="1"/>
  <c r="U329" i="1"/>
  <c r="AG329" i="1" s="1"/>
  <c r="V329" i="1"/>
  <c r="W329" i="1"/>
  <c r="X329" i="1"/>
  <c r="Y329" i="1"/>
  <c r="Z329" i="1"/>
  <c r="AA329" i="1"/>
  <c r="AB329" i="1"/>
  <c r="AC329" i="1"/>
  <c r="AD329" i="1"/>
  <c r="AE329" i="1"/>
  <c r="AF329" i="1"/>
  <c r="T330" i="1"/>
  <c r="U330" i="1"/>
  <c r="AG330" i="1" s="1"/>
  <c r="V330" i="1"/>
  <c r="W330" i="1"/>
  <c r="X330" i="1"/>
  <c r="Y330" i="1"/>
  <c r="Z330" i="1"/>
  <c r="AA330" i="1"/>
  <c r="AB330" i="1"/>
  <c r="AC330" i="1"/>
  <c r="AD330" i="1"/>
  <c r="AE330" i="1"/>
  <c r="AF330" i="1"/>
  <c r="T331" i="1"/>
  <c r="U331" i="1"/>
  <c r="AG331" i="1" s="1"/>
  <c r="V331" i="1"/>
  <c r="W331" i="1"/>
  <c r="X331" i="1"/>
  <c r="Y331" i="1"/>
  <c r="Z331" i="1"/>
  <c r="AA331" i="1"/>
  <c r="AB331" i="1"/>
  <c r="AC331" i="1"/>
  <c r="AD331" i="1"/>
  <c r="AE331" i="1"/>
  <c r="AF331" i="1"/>
  <c r="T332" i="1"/>
  <c r="U332" i="1"/>
  <c r="AG332" i="1" s="1"/>
  <c r="V332" i="1"/>
  <c r="W332" i="1"/>
  <c r="X332" i="1"/>
  <c r="Y332" i="1"/>
  <c r="Z332" i="1"/>
  <c r="AA332" i="1"/>
  <c r="AB332" i="1"/>
  <c r="AC332" i="1"/>
  <c r="AD332" i="1"/>
  <c r="AE332" i="1"/>
  <c r="AF332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T335" i="1"/>
  <c r="U335" i="1"/>
  <c r="AG335" i="1" s="1"/>
  <c r="V335" i="1"/>
  <c r="W335" i="1"/>
  <c r="X335" i="1"/>
  <c r="Y335" i="1"/>
  <c r="Z335" i="1"/>
  <c r="AA335" i="1"/>
  <c r="AB335" i="1"/>
  <c r="AC335" i="1"/>
  <c r="AD335" i="1"/>
  <c r="AE335" i="1"/>
  <c r="AF335" i="1"/>
  <c r="T336" i="1"/>
  <c r="U336" i="1"/>
  <c r="AG336" i="1" s="1"/>
  <c r="V336" i="1"/>
  <c r="W336" i="1"/>
  <c r="X336" i="1"/>
  <c r="Y336" i="1"/>
  <c r="Z336" i="1"/>
  <c r="AA336" i="1"/>
  <c r="AB336" i="1"/>
  <c r="AC336" i="1"/>
  <c r="AD336" i="1"/>
  <c r="AE336" i="1"/>
  <c r="AF336" i="1"/>
  <c r="T337" i="1"/>
  <c r="U337" i="1"/>
  <c r="AG337" i="1" s="1"/>
  <c r="V337" i="1"/>
  <c r="W337" i="1"/>
  <c r="X337" i="1"/>
  <c r="Y337" i="1"/>
  <c r="Z337" i="1"/>
  <c r="AA337" i="1"/>
  <c r="AB337" i="1"/>
  <c r="AC337" i="1"/>
  <c r="AD337" i="1"/>
  <c r="AE337" i="1"/>
  <c r="AF337" i="1"/>
  <c r="T338" i="1"/>
  <c r="U338" i="1"/>
  <c r="AG338" i="1" s="1"/>
  <c r="V338" i="1"/>
  <c r="W338" i="1"/>
  <c r="X338" i="1"/>
  <c r="Y338" i="1"/>
  <c r="Z338" i="1"/>
  <c r="AA338" i="1"/>
  <c r="AB338" i="1"/>
  <c r="AC338" i="1"/>
  <c r="AD338" i="1"/>
  <c r="AE338" i="1"/>
  <c r="AF338" i="1"/>
  <c r="T339" i="1"/>
  <c r="U339" i="1"/>
  <c r="AG339" i="1" s="1"/>
  <c r="V339" i="1"/>
  <c r="W339" i="1"/>
  <c r="X339" i="1"/>
  <c r="Y339" i="1"/>
  <c r="Z339" i="1"/>
  <c r="AA339" i="1"/>
  <c r="AB339" i="1"/>
  <c r="AC339" i="1"/>
  <c r="AD339" i="1"/>
  <c r="AE339" i="1"/>
  <c r="AF339" i="1"/>
  <c r="T340" i="1"/>
  <c r="U340" i="1"/>
  <c r="AG340" i="1" s="1"/>
  <c r="V340" i="1"/>
  <c r="W340" i="1"/>
  <c r="X340" i="1"/>
  <c r="Y340" i="1"/>
  <c r="Z340" i="1"/>
  <c r="AA340" i="1"/>
  <c r="AB340" i="1"/>
  <c r="AC340" i="1"/>
  <c r="AD340" i="1"/>
  <c r="AE340" i="1"/>
  <c r="AF340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T343" i="1"/>
  <c r="U343" i="1"/>
  <c r="AG343" i="1" s="1"/>
  <c r="V343" i="1"/>
  <c r="W343" i="1"/>
  <c r="X343" i="1"/>
  <c r="Y343" i="1"/>
  <c r="Z343" i="1"/>
  <c r="AA343" i="1"/>
  <c r="AB343" i="1"/>
  <c r="AC343" i="1"/>
  <c r="AD343" i="1"/>
  <c r="AE343" i="1"/>
  <c r="AF343" i="1"/>
  <c r="T344" i="1"/>
  <c r="U344" i="1"/>
  <c r="AG344" i="1" s="1"/>
  <c r="V344" i="1"/>
  <c r="W344" i="1"/>
  <c r="X344" i="1"/>
  <c r="Y344" i="1"/>
  <c r="Z344" i="1"/>
  <c r="AA344" i="1"/>
  <c r="AB344" i="1"/>
  <c r="AC344" i="1"/>
  <c r="AD344" i="1"/>
  <c r="AE344" i="1"/>
  <c r="AF344" i="1"/>
  <c r="T345" i="1"/>
  <c r="U345" i="1"/>
  <c r="AG345" i="1" s="1"/>
  <c r="V345" i="1"/>
  <c r="W345" i="1"/>
  <c r="X345" i="1"/>
  <c r="Y345" i="1"/>
  <c r="Z345" i="1"/>
  <c r="AA345" i="1"/>
  <c r="AB345" i="1"/>
  <c r="AC345" i="1"/>
  <c r="AD345" i="1"/>
  <c r="AE345" i="1"/>
  <c r="AF345" i="1"/>
  <c r="T346" i="1"/>
  <c r="U346" i="1"/>
  <c r="AG346" i="1" s="1"/>
  <c r="V346" i="1"/>
  <c r="W346" i="1"/>
  <c r="X346" i="1"/>
  <c r="Y346" i="1"/>
  <c r="Z346" i="1"/>
  <c r="AA346" i="1"/>
  <c r="AB346" i="1"/>
  <c r="AC346" i="1"/>
  <c r="AD346" i="1"/>
  <c r="AE346" i="1"/>
  <c r="AF346" i="1"/>
  <c r="T347" i="1"/>
  <c r="U347" i="1"/>
  <c r="AG347" i="1" s="1"/>
  <c r="V347" i="1"/>
  <c r="W347" i="1"/>
  <c r="X347" i="1"/>
  <c r="Y347" i="1"/>
  <c r="Z347" i="1"/>
  <c r="AA347" i="1"/>
  <c r="AB347" i="1"/>
  <c r="AC347" i="1"/>
  <c r="AD347" i="1"/>
  <c r="AE347" i="1"/>
  <c r="AF347" i="1"/>
  <c r="T348" i="1"/>
  <c r="U348" i="1"/>
  <c r="AG348" i="1" s="1"/>
  <c r="V348" i="1"/>
  <c r="W348" i="1"/>
  <c r="X348" i="1"/>
  <c r="Y348" i="1"/>
  <c r="Z348" i="1"/>
  <c r="AA348" i="1"/>
  <c r="AB348" i="1"/>
  <c r="AC348" i="1"/>
  <c r="AD348" i="1"/>
  <c r="AE348" i="1"/>
  <c r="AF348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T351" i="1"/>
  <c r="U351" i="1"/>
  <c r="AG351" i="1" s="1"/>
  <c r="V351" i="1"/>
  <c r="W351" i="1"/>
  <c r="X351" i="1"/>
  <c r="Y351" i="1"/>
  <c r="Z351" i="1"/>
  <c r="AA351" i="1"/>
  <c r="AB351" i="1"/>
  <c r="AC351" i="1"/>
  <c r="AD351" i="1"/>
  <c r="AE351" i="1"/>
  <c r="AF351" i="1"/>
  <c r="T352" i="1"/>
  <c r="U352" i="1"/>
  <c r="AG352" i="1" s="1"/>
  <c r="V352" i="1"/>
  <c r="W352" i="1"/>
  <c r="X352" i="1"/>
  <c r="Y352" i="1"/>
  <c r="Z352" i="1"/>
  <c r="AA352" i="1"/>
  <c r="AB352" i="1"/>
  <c r="AC352" i="1"/>
  <c r="AD352" i="1"/>
  <c r="AE352" i="1"/>
  <c r="AF352" i="1"/>
  <c r="T353" i="1"/>
  <c r="U353" i="1"/>
  <c r="AG353" i="1" s="1"/>
  <c r="V353" i="1"/>
  <c r="W353" i="1"/>
  <c r="X353" i="1"/>
  <c r="Y353" i="1"/>
  <c r="Z353" i="1"/>
  <c r="AA353" i="1"/>
  <c r="AB353" i="1"/>
  <c r="AC353" i="1"/>
  <c r="AD353" i="1"/>
  <c r="AE353" i="1"/>
  <c r="AF353" i="1"/>
  <c r="T354" i="1"/>
  <c r="U354" i="1"/>
  <c r="AG354" i="1" s="1"/>
  <c r="V354" i="1"/>
  <c r="W354" i="1"/>
  <c r="X354" i="1"/>
  <c r="Y354" i="1"/>
  <c r="Z354" i="1"/>
  <c r="AA354" i="1"/>
  <c r="AB354" i="1"/>
  <c r="AC354" i="1"/>
  <c r="AD354" i="1"/>
  <c r="AE354" i="1"/>
  <c r="AF354" i="1"/>
  <c r="T355" i="1"/>
  <c r="U355" i="1"/>
  <c r="AG355" i="1" s="1"/>
  <c r="V355" i="1"/>
  <c r="W355" i="1"/>
  <c r="X355" i="1"/>
  <c r="Y355" i="1"/>
  <c r="Z355" i="1"/>
  <c r="AA355" i="1"/>
  <c r="AB355" i="1"/>
  <c r="AC355" i="1"/>
  <c r="AD355" i="1"/>
  <c r="AE355" i="1"/>
  <c r="AF355" i="1"/>
  <c r="T356" i="1"/>
  <c r="U356" i="1"/>
  <c r="AG356" i="1" s="1"/>
  <c r="V356" i="1"/>
  <c r="W356" i="1"/>
  <c r="X356" i="1"/>
  <c r="Y356" i="1"/>
  <c r="Z356" i="1"/>
  <c r="AA356" i="1"/>
  <c r="AB356" i="1"/>
  <c r="AC356" i="1"/>
  <c r="AD356" i="1"/>
  <c r="AE356" i="1"/>
  <c r="AF356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T359" i="1"/>
  <c r="U359" i="1"/>
  <c r="AG359" i="1" s="1"/>
  <c r="V359" i="1"/>
  <c r="W359" i="1"/>
  <c r="X359" i="1"/>
  <c r="Y359" i="1"/>
  <c r="Z359" i="1"/>
  <c r="AA359" i="1"/>
  <c r="AB359" i="1"/>
  <c r="AC359" i="1"/>
  <c r="AD359" i="1"/>
  <c r="AE359" i="1"/>
  <c r="AF359" i="1"/>
  <c r="T360" i="1"/>
  <c r="U360" i="1"/>
  <c r="AG360" i="1" s="1"/>
  <c r="V360" i="1"/>
  <c r="W360" i="1"/>
  <c r="X360" i="1"/>
  <c r="Y360" i="1"/>
  <c r="Z360" i="1"/>
  <c r="AA360" i="1"/>
  <c r="AB360" i="1"/>
  <c r="AC360" i="1"/>
  <c r="AD360" i="1"/>
  <c r="AE360" i="1"/>
  <c r="AF360" i="1"/>
  <c r="T361" i="1"/>
  <c r="U361" i="1"/>
  <c r="AG361" i="1" s="1"/>
  <c r="V361" i="1"/>
  <c r="W361" i="1"/>
  <c r="X361" i="1"/>
  <c r="Y361" i="1"/>
  <c r="Z361" i="1"/>
  <c r="AA361" i="1"/>
  <c r="AB361" i="1"/>
  <c r="AC361" i="1"/>
  <c r="AD361" i="1"/>
  <c r="AE361" i="1"/>
  <c r="AF361" i="1"/>
  <c r="T362" i="1"/>
  <c r="U362" i="1"/>
  <c r="AG362" i="1" s="1"/>
  <c r="V362" i="1"/>
  <c r="W362" i="1"/>
  <c r="X362" i="1"/>
  <c r="Y362" i="1"/>
  <c r="Z362" i="1"/>
  <c r="AA362" i="1"/>
  <c r="AB362" i="1"/>
  <c r="AC362" i="1"/>
  <c r="AD362" i="1"/>
  <c r="AE362" i="1"/>
  <c r="AF362" i="1"/>
  <c r="T363" i="1"/>
  <c r="U363" i="1"/>
  <c r="AG363" i="1" s="1"/>
  <c r="V363" i="1"/>
  <c r="W363" i="1"/>
  <c r="X363" i="1"/>
  <c r="Y363" i="1"/>
  <c r="Z363" i="1"/>
  <c r="AA363" i="1"/>
  <c r="AB363" i="1"/>
  <c r="AC363" i="1"/>
  <c r="AD363" i="1"/>
  <c r="AE363" i="1"/>
  <c r="AF363" i="1"/>
  <c r="T364" i="1"/>
  <c r="U364" i="1"/>
  <c r="AG364" i="1" s="1"/>
  <c r="V364" i="1"/>
  <c r="W364" i="1"/>
  <c r="X364" i="1"/>
  <c r="Y364" i="1"/>
  <c r="Z364" i="1"/>
  <c r="AA364" i="1"/>
  <c r="AB364" i="1"/>
  <c r="AC364" i="1"/>
  <c r="AD364" i="1"/>
  <c r="AE364" i="1"/>
  <c r="AF364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T367" i="1"/>
  <c r="U367" i="1"/>
  <c r="AG367" i="1" s="1"/>
  <c r="V367" i="1"/>
  <c r="W367" i="1"/>
  <c r="X367" i="1"/>
  <c r="Y367" i="1"/>
  <c r="Z367" i="1"/>
  <c r="AA367" i="1"/>
  <c r="AB367" i="1"/>
  <c r="AC367" i="1"/>
  <c r="AD367" i="1"/>
  <c r="AE367" i="1"/>
  <c r="AF367" i="1"/>
  <c r="T368" i="1"/>
  <c r="U368" i="1"/>
  <c r="AG368" i="1" s="1"/>
  <c r="V368" i="1"/>
  <c r="W368" i="1"/>
  <c r="X368" i="1"/>
  <c r="Y368" i="1"/>
  <c r="Z368" i="1"/>
  <c r="AA368" i="1"/>
  <c r="AB368" i="1"/>
  <c r="AC368" i="1"/>
  <c r="AD368" i="1"/>
  <c r="AE368" i="1"/>
  <c r="AF368" i="1"/>
  <c r="T369" i="1"/>
  <c r="U369" i="1"/>
  <c r="AG369" i="1" s="1"/>
  <c r="V369" i="1"/>
  <c r="W369" i="1"/>
  <c r="X369" i="1"/>
  <c r="Y369" i="1"/>
  <c r="Z369" i="1"/>
  <c r="AA369" i="1"/>
  <c r="AB369" i="1"/>
  <c r="AC369" i="1"/>
  <c r="AD369" i="1"/>
  <c r="AE369" i="1"/>
  <c r="AF369" i="1"/>
  <c r="T370" i="1"/>
  <c r="U370" i="1"/>
  <c r="AG370" i="1" s="1"/>
  <c r="V370" i="1"/>
  <c r="W370" i="1"/>
  <c r="X370" i="1"/>
  <c r="Y370" i="1"/>
  <c r="Z370" i="1"/>
  <c r="AA370" i="1"/>
  <c r="AB370" i="1"/>
  <c r="AC370" i="1"/>
  <c r="AD370" i="1"/>
  <c r="AE370" i="1"/>
  <c r="AF370" i="1"/>
  <c r="T371" i="1"/>
  <c r="U371" i="1"/>
  <c r="AG371" i="1" s="1"/>
  <c r="V371" i="1"/>
  <c r="W371" i="1"/>
  <c r="X371" i="1"/>
  <c r="Y371" i="1"/>
  <c r="Z371" i="1"/>
  <c r="AA371" i="1"/>
  <c r="AB371" i="1"/>
  <c r="AC371" i="1"/>
  <c r="AD371" i="1"/>
  <c r="AE371" i="1"/>
  <c r="AF371" i="1"/>
  <c r="T372" i="1"/>
  <c r="U372" i="1"/>
  <c r="AG372" i="1" s="1"/>
  <c r="V372" i="1"/>
  <c r="W372" i="1"/>
  <c r="X372" i="1"/>
  <c r="Y372" i="1"/>
  <c r="Z372" i="1"/>
  <c r="AA372" i="1"/>
  <c r="AB372" i="1"/>
  <c r="AC372" i="1"/>
  <c r="AD372" i="1"/>
  <c r="AE372" i="1"/>
  <c r="AF372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T375" i="1"/>
  <c r="U375" i="1"/>
  <c r="AG375" i="1" s="1"/>
  <c r="V375" i="1"/>
  <c r="W375" i="1"/>
  <c r="X375" i="1"/>
  <c r="Y375" i="1"/>
  <c r="Z375" i="1"/>
  <c r="AA375" i="1"/>
  <c r="AB375" i="1"/>
  <c r="AC375" i="1"/>
  <c r="AD375" i="1"/>
  <c r="AE375" i="1"/>
  <c r="AF375" i="1"/>
  <c r="T376" i="1"/>
  <c r="U376" i="1"/>
  <c r="AG376" i="1" s="1"/>
  <c r="V376" i="1"/>
  <c r="W376" i="1"/>
  <c r="X376" i="1"/>
  <c r="Y376" i="1"/>
  <c r="Z376" i="1"/>
  <c r="AA376" i="1"/>
  <c r="AB376" i="1"/>
  <c r="AC376" i="1"/>
  <c r="AD376" i="1"/>
  <c r="AE376" i="1"/>
  <c r="AF376" i="1"/>
  <c r="T377" i="1"/>
  <c r="U377" i="1"/>
  <c r="AG377" i="1" s="1"/>
  <c r="V377" i="1"/>
  <c r="W377" i="1"/>
  <c r="X377" i="1"/>
  <c r="Y377" i="1"/>
  <c r="Z377" i="1"/>
  <c r="AA377" i="1"/>
  <c r="AB377" i="1"/>
  <c r="AC377" i="1"/>
  <c r="AD377" i="1"/>
  <c r="AE377" i="1"/>
  <c r="AF377" i="1"/>
  <c r="T378" i="1"/>
  <c r="U378" i="1"/>
  <c r="AG378" i="1" s="1"/>
  <c r="V378" i="1"/>
  <c r="W378" i="1"/>
  <c r="X378" i="1"/>
  <c r="Y378" i="1"/>
  <c r="Z378" i="1"/>
  <c r="AA378" i="1"/>
  <c r="AB378" i="1"/>
  <c r="AC378" i="1"/>
  <c r="AD378" i="1"/>
  <c r="AE378" i="1"/>
  <c r="AF378" i="1"/>
  <c r="T379" i="1"/>
  <c r="U379" i="1"/>
  <c r="AG379" i="1" s="1"/>
  <c r="V379" i="1"/>
  <c r="W379" i="1"/>
  <c r="X379" i="1"/>
  <c r="Y379" i="1"/>
  <c r="Z379" i="1"/>
  <c r="AA379" i="1"/>
  <c r="AB379" i="1"/>
  <c r="AC379" i="1"/>
  <c r="AD379" i="1"/>
  <c r="AE379" i="1"/>
  <c r="AF379" i="1"/>
  <c r="T380" i="1"/>
  <c r="U380" i="1"/>
  <c r="AG380" i="1" s="1"/>
  <c r="V380" i="1"/>
  <c r="W380" i="1"/>
  <c r="X380" i="1"/>
  <c r="Y380" i="1"/>
  <c r="Z380" i="1"/>
  <c r="AA380" i="1"/>
  <c r="AB380" i="1"/>
  <c r="AC380" i="1"/>
  <c r="AD380" i="1"/>
  <c r="AE380" i="1"/>
  <c r="AF380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T383" i="1"/>
  <c r="U383" i="1"/>
  <c r="AG383" i="1" s="1"/>
  <c r="V383" i="1"/>
  <c r="W383" i="1"/>
  <c r="X383" i="1"/>
  <c r="Y383" i="1"/>
  <c r="Z383" i="1"/>
  <c r="AA383" i="1"/>
  <c r="AB383" i="1"/>
  <c r="AC383" i="1"/>
  <c r="AD383" i="1"/>
  <c r="AE383" i="1"/>
  <c r="AF383" i="1"/>
  <c r="T384" i="1"/>
  <c r="U384" i="1"/>
  <c r="AG384" i="1" s="1"/>
  <c r="V384" i="1"/>
  <c r="W384" i="1"/>
  <c r="X384" i="1"/>
  <c r="Y384" i="1"/>
  <c r="Z384" i="1"/>
  <c r="AA384" i="1"/>
  <c r="AB384" i="1"/>
  <c r="AC384" i="1"/>
  <c r="AD384" i="1"/>
  <c r="AE384" i="1"/>
  <c r="AF384" i="1"/>
  <c r="T385" i="1"/>
  <c r="U385" i="1"/>
  <c r="AG385" i="1" s="1"/>
  <c r="V385" i="1"/>
  <c r="W385" i="1"/>
  <c r="X385" i="1"/>
  <c r="Y385" i="1"/>
  <c r="Z385" i="1"/>
  <c r="AA385" i="1"/>
  <c r="AB385" i="1"/>
  <c r="AC385" i="1"/>
  <c r="AD385" i="1"/>
  <c r="AE385" i="1"/>
  <c r="AF385" i="1"/>
  <c r="T386" i="1"/>
  <c r="U386" i="1"/>
  <c r="AG386" i="1" s="1"/>
  <c r="V386" i="1"/>
  <c r="W386" i="1"/>
  <c r="X386" i="1"/>
  <c r="Y386" i="1"/>
  <c r="Z386" i="1"/>
  <c r="AA386" i="1"/>
  <c r="AB386" i="1"/>
  <c r="AC386" i="1"/>
  <c r="AD386" i="1"/>
  <c r="AE386" i="1"/>
  <c r="AF386" i="1"/>
  <c r="T387" i="1"/>
  <c r="U387" i="1"/>
  <c r="AG387" i="1" s="1"/>
  <c r="V387" i="1"/>
  <c r="W387" i="1"/>
  <c r="X387" i="1"/>
  <c r="Y387" i="1"/>
  <c r="Z387" i="1"/>
  <c r="AA387" i="1"/>
  <c r="AB387" i="1"/>
  <c r="AC387" i="1"/>
  <c r="AD387" i="1"/>
  <c r="AE387" i="1"/>
  <c r="AF387" i="1"/>
  <c r="T388" i="1"/>
  <c r="U388" i="1"/>
  <c r="AG388" i="1" s="1"/>
  <c r="V388" i="1"/>
  <c r="W388" i="1"/>
  <c r="X388" i="1"/>
  <c r="Y388" i="1"/>
  <c r="Z388" i="1"/>
  <c r="AA388" i="1"/>
  <c r="AB388" i="1"/>
  <c r="AC388" i="1"/>
  <c r="AD388" i="1"/>
  <c r="AE388" i="1"/>
  <c r="AF388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T391" i="1"/>
  <c r="U391" i="1"/>
  <c r="AG391" i="1" s="1"/>
  <c r="V391" i="1"/>
  <c r="W391" i="1"/>
  <c r="X391" i="1"/>
  <c r="Y391" i="1"/>
  <c r="Z391" i="1"/>
  <c r="AA391" i="1"/>
  <c r="AB391" i="1"/>
  <c r="AC391" i="1"/>
  <c r="AD391" i="1"/>
  <c r="AE391" i="1"/>
  <c r="AF391" i="1"/>
  <c r="T392" i="1"/>
  <c r="U392" i="1"/>
  <c r="AG392" i="1" s="1"/>
  <c r="V392" i="1"/>
  <c r="W392" i="1"/>
  <c r="X392" i="1"/>
  <c r="Y392" i="1"/>
  <c r="Z392" i="1"/>
  <c r="AA392" i="1"/>
  <c r="AB392" i="1"/>
  <c r="AC392" i="1"/>
  <c r="AD392" i="1"/>
  <c r="AE392" i="1"/>
  <c r="AF392" i="1"/>
  <c r="T393" i="1"/>
  <c r="U393" i="1"/>
  <c r="AG393" i="1" s="1"/>
  <c r="V393" i="1"/>
  <c r="W393" i="1"/>
  <c r="X393" i="1"/>
  <c r="Y393" i="1"/>
  <c r="Z393" i="1"/>
  <c r="AA393" i="1"/>
  <c r="AB393" i="1"/>
  <c r="AC393" i="1"/>
  <c r="AD393" i="1"/>
  <c r="AE393" i="1"/>
  <c r="AF393" i="1"/>
  <c r="T394" i="1"/>
  <c r="U394" i="1"/>
  <c r="AG394" i="1" s="1"/>
  <c r="V394" i="1"/>
  <c r="W394" i="1"/>
  <c r="X394" i="1"/>
  <c r="Y394" i="1"/>
  <c r="Z394" i="1"/>
  <c r="AA394" i="1"/>
  <c r="AB394" i="1"/>
  <c r="AC394" i="1"/>
  <c r="AD394" i="1"/>
  <c r="AE394" i="1"/>
  <c r="AF394" i="1"/>
  <c r="T395" i="1"/>
  <c r="U395" i="1"/>
  <c r="AG395" i="1" s="1"/>
  <c r="V395" i="1"/>
  <c r="W395" i="1"/>
  <c r="X395" i="1"/>
  <c r="Y395" i="1"/>
  <c r="Z395" i="1"/>
  <c r="AA395" i="1"/>
  <c r="AB395" i="1"/>
  <c r="AC395" i="1"/>
  <c r="AD395" i="1"/>
  <c r="AE395" i="1"/>
  <c r="AF395" i="1"/>
  <c r="T396" i="1"/>
  <c r="U396" i="1"/>
  <c r="AG396" i="1" s="1"/>
  <c r="V396" i="1"/>
  <c r="W396" i="1"/>
  <c r="X396" i="1"/>
  <c r="Y396" i="1"/>
  <c r="Z396" i="1"/>
  <c r="AA396" i="1"/>
  <c r="AB396" i="1"/>
  <c r="AC396" i="1"/>
  <c r="AD396" i="1"/>
  <c r="AE396" i="1"/>
  <c r="AF396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T399" i="1"/>
  <c r="U399" i="1"/>
  <c r="AG399" i="1" s="1"/>
  <c r="V399" i="1"/>
  <c r="W399" i="1"/>
  <c r="X399" i="1"/>
  <c r="Y399" i="1"/>
  <c r="Z399" i="1"/>
  <c r="AA399" i="1"/>
  <c r="AB399" i="1"/>
  <c r="AC399" i="1"/>
  <c r="AD399" i="1"/>
  <c r="AE399" i="1"/>
  <c r="AF399" i="1"/>
  <c r="T400" i="1"/>
  <c r="U400" i="1"/>
  <c r="AG400" i="1" s="1"/>
  <c r="V400" i="1"/>
  <c r="W400" i="1"/>
  <c r="X400" i="1"/>
  <c r="Y400" i="1"/>
  <c r="Z400" i="1"/>
  <c r="AA400" i="1"/>
  <c r="AB400" i="1"/>
  <c r="AC400" i="1"/>
  <c r="AD400" i="1"/>
  <c r="AE400" i="1"/>
  <c r="AF400" i="1"/>
  <c r="T401" i="1"/>
  <c r="U401" i="1"/>
  <c r="AG401" i="1" s="1"/>
  <c r="V401" i="1"/>
  <c r="W401" i="1"/>
  <c r="X401" i="1"/>
  <c r="Y401" i="1"/>
  <c r="Z401" i="1"/>
  <c r="AA401" i="1"/>
  <c r="AB401" i="1"/>
  <c r="AC401" i="1"/>
  <c r="AD401" i="1"/>
  <c r="AE401" i="1"/>
  <c r="AF401" i="1"/>
  <c r="T402" i="1"/>
  <c r="U402" i="1"/>
  <c r="AG402" i="1" s="1"/>
  <c r="V402" i="1"/>
  <c r="W402" i="1"/>
  <c r="X402" i="1"/>
  <c r="Y402" i="1"/>
  <c r="Z402" i="1"/>
  <c r="AA402" i="1"/>
  <c r="AB402" i="1"/>
  <c r="AC402" i="1"/>
  <c r="AD402" i="1"/>
  <c r="AE402" i="1"/>
  <c r="AF402" i="1"/>
  <c r="T403" i="1"/>
  <c r="U403" i="1"/>
  <c r="AG403" i="1" s="1"/>
  <c r="V403" i="1"/>
  <c r="W403" i="1"/>
  <c r="X403" i="1"/>
  <c r="Y403" i="1"/>
  <c r="Z403" i="1"/>
  <c r="AA403" i="1"/>
  <c r="AB403" i="1"/>
  <c r="AC403" i="1"/>
  <c r="AD403" i="1"/>
  <c r="AE403" i="1"/>
  <c r="AF403" i="1"/>
  <c r="T404" i="1"/>
  <c r="U404" i="1"/>
  <c r="AG404" i="1" s="1"/>
  <c r="V404" i="1"/>
  <c r="W404" i="1"/>
  <c r="X404" i="1"/>
  <c r="Y404" i="1"/>
  <c r="Z404" i="1"/>
  <c r="AA404" i="1"/>
  <c r="AB404" i="1"/>
  <c r="AC404" i="1"/>
  <c r="AD404" i="1"/>
  <c r="AE404" i="1"/>
  <c r="AF404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T407" i="1"/>
  <c r="U407" i="1"/>
  <c r="AG407" i="1" s="1"/>
  <c r="V407" i="1"/>
  <c r="W407" i="1"/>
  <c r="X407" i="1"/>
  <c r="Y407" i="1"/>
  <c r="Z407" i="1"/>
  <c r="AA407" i="1"/>
  <c r="AB407" i="1"/>
  <c r="AC407" i="1"/>
  <c r="AD407" i="1"/>
  <c r="AE407" i="1"/>
  <c r="AF407" i="1"/>
  <c r="T408" i="1"/>
  <c r="U408" i="1"/>
  <c r="AG408" i="1" s="1"/>
  <c r="V408" i="1"/>
  <c r="W408" i="1"/>
  <c r="X408" i="1"/>
  <c r="Y408" i="1"/>
  <c r="Z408" i="1"/>
  <c r="AA408" i="1"/>
  <c r="AB408" i="1"/>
  <c r="AC408" i="1"/>
  <c r="AD408" i="1"/>
  <c r="AE408" i="1"/>
  <c r="AF408" i="1"/>
  <c r="T409" i="1"/>
  <c r="U409" i="1"/>
  <c r="AG409" i="1" s="1"/>
  <c r="V409" i="1"/>
  <c r="W409" i="1"/>
  <c r="X409" i="1"/>
  <c r="Y409" i="1"/>
  <c r="Z409" i="1"/>
  <c r="AA409" i="1"/>
  <c r="AB409" i="1"/>
  <c r="AC409" i="1"/>
  <c r="AD409" i="1"/>
  <c r="AE409" i="1"/>
  <c r="AF409" i="1"/>
  <c r="T410" i="1"/>
  <c r="U410" i="1"/>
  <c r="AG410" i="1" s="1"/>
  <c r="V410" i="1"/>
  <c r="W410" i="1"/>
  <c r="X410" i="1"/>
  <c r="Y410" i="1"/>
  <c r="Z410" i="1"/>
  <c r="AA410" i="1"/>
  <c r="AB410" i="1"/>
  <c r="AC410" i="1"/>
  <c r="AD410" i="1"/>
  <c r="AE410" i="1"/>
  <c r="AF410" i="1"/>
  <c r="T411" i="1"/>
  <c r="U411" i="1"/>
  <c r="AG411" i="1" s="1"/>
  <c r="V411" i="1"/>
  <c r="W411" i="1"/>
  <c r="X411" i="1"/>
  <c r="Y411" i="1"/>
  <c r="Z411" i="1"/>
  <c r="AA411" i="1"/>
  <c r="AB411" i="1"/>
  <c r="AC411" i="1"/>
  <c r="AD411" i="1"/>
  <c r="AE411" i="1"/>
  <c r="AF411" i="1"/>
  <c r="T412" i="1"/>
  <c r="U412" i="1"/>
  <c r="AG412" i="1" s="1"/>
  <c r="V412" i="1"/>
  <c r="W412" i="1"/>
  <c r="X412" i="1"/>
  <c r="Y412" i="1"/>
  <c r="Z412" i="1"/>
  <c r="AA412" i="1"/>
  <c r="AB412" i="1"/>
  <c r="AC412" i="1"/>
  <c r="AD412" i="1"/>
  <c r="AE412" i="1"/>
  <c r="AF412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T415" i="1"/>
  <c r="U415" i="1"/>
  <c r="AG415" i="1" s="1"/>
  <c r="V415" i="1"/>
  <c r="W415" i="1"/>
  <c r="X415" i="1"/>
  <c r="Y415" i="1"/>
  <c r="Z415" i="1"/>
  <c r="AA415" i="1"/>
  <c r="AB415" i="1"/>
  <c r="AC415" i="1"/>
  <c r="AD415" i="1"/>
  <c r="AE415" i="1"/>
  <c r="AF415" i="1"/>
  <c r="T416" i="1"/>
  <c r="U416" i="1"/>
  <c r="AG416" i="1" s="1"/>
  <c r="V416" i="1"/>
  <c r="W416" i="1"/>
  <c r="X416" i="1"/>
  <c r="Y416" i="1"/>
  <c r="Z416" i="1"/>
  <c r="AA416" i="1"/>
  <c r="AB416" i="1"/>
  <c r="AC416" i="1"/>
  <c r="AD416" i="1"/>
  <c r="AE416" i="1"/>
  <c r="AF416" i="1"/>
  <c r="T417" i="1"/>
  <c r="U417" i="1"/>
  <c r="AG417" i="1" s="1"/>
  <c r="V417" i="1"/>
  <c r="W417" i="1"/>
  <c r="X417" i="1"/>
  <c r="Y417" i="1"/>
  <c r="Z417" i="1"/>
  <c r="AA417" i="1"/>
  <c r="AB417" i="1"/>
  <c r="AC417" i="1"/>
  <c r="AD417" i="1"/>
  <c r="AE417" i="1"/>
  <c r="AF417" i="1"/>
  <c r="T418" i="1"/>
  <c r="U418" i="1"/>
  <c r="AG418" i="1" s="1"/>
  <c r="V418" i="1"/>
  <c r="W418" i="1"/>
  <c r="X418" i="1"/>
  <c r="Y418" i="1"/>
  <c r="Z418" i="1"/>
  <c r="AA418" i="1"/>
  <c r="AB418" i="1"/>
  <c r="AC418" i="1"/>
  <c r="AD418" i="1"/>
  <c r="AE418" i="1"/>
  <c r="AF418" i="1"/>
  <c r="T419" i="1"/>
  <c r="U419" i="1"/>
  <c r="AG419" i="1" s="1"/>
  <c r="V419" i="1"/>
  <c r="W419" i="1"/>
  <c r="X419" i="1"/>
  <c r="Y419" i="1"/>
  <c r="Z419" i="1"/>
  <c r="AA419" i="1"/>
  <c r="AB419" i="1"/>
  <c r="AC419" i="1"/>
  <c r="AD419" i="1"/>
  <c r="AE419" i="1"/>
  <c r="AF419" i="1"/>
  <c r="T420" i="1"/>
  <c r="U420" i="1"/>
  <c r="AG420" i="1" s="1"/>
  <c r="V420" i="1"/>
  <c r="W420" i="1"/>
  <c r="X420" i="1"/>
  <c r="Y420" i="1"/>
  <c r="Z420" i="1"/>
  <c r="AA420" i="1"/>
  <c r="AB420" i="1"/>
  <c r="AC420" i="1"/>
  <c r="AD420" i="1"/>
  <c r="AE420" i="1"/>
  <c r="AF420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T423" i="1"/>
  <c r="U423" i="1"/>
  <c r="AG423" i="1" s="1"/>
  <c r="V423" i="1"/>
  <c r="W423" i="1"/>
  <c r="X423" i="1"/>
  <c r="Y423" i="1"/>
  <c r="Z423" i="1"/>
  <c r="AA423" i="1"/>
  <c r="AB423" i="1"/>
  <c r="AC423" i="1"/>
  <c r="AD423" i="1"/>
  <c r="AE423" i="1"/>
  <c r="AF423" i="1"/>
  <c r="T424" i="1"/>
  <c r="U424" i="1"/>
  <c r="AG424" i="1" s="1"/>
  <c r="V424" i="1"/>
  <c r="W424" i="1"/>
  <c r="X424" i="1"/>
  <c r="Y424" i="1"/>
  <c r="Z424" i="1"/>
  <c r="AA424" i="1"/>
  <c r="AB424" i="1"/>
  <c r="AC424" i="1"/>
  <c r="AD424" i="1"/>
  <c r="AE424" i="1"/>
  <c r="AF424" i="1"/>
  <c r="T425" i="1"/>
  <c r="U425" i="1"/>
  <c r="AG425" i="1" s="1"/>
  <c r="V425" i="1"/>
  <c r="W425" i="1"/>
  <c r="X425" i="1"/>
  <c r="Y425" i="1"/>
  <c r="Z425" i="1"/>
  <c r="AA425" i="1"/>
  <c r="AB425" i="1"/>
  <c r="AC425" i="1"/>
  <c r="AD425" i="1"/>
  <c r="AE425" i="1"/>
  <c r="AF425" i="1"/>
  <c r="T426" i="1"/>
  <c r="U426" i="1"/>
  <c r="AG426" i="1" s="1"/>
  <c r="V426" i="1"/>
  <c r="W426" i="1"/>
  <c r="X426" i="1"/>
  <c r="Y426" i="1"/>
  <c r="Z426" i="1"/>
  <c r="AA426" i="1"/>
  <c r="AB426" i="1"/>
  <c r="AC426" i="1"/>
  <c r="AD426" i="1"/>
  <c r="AE426" i="1"/>
  <c r="AF426" i="1"/>
  <c r="T427" i="1"/>
  <c r="U427" i="1"/>
  <c r="AG427" i="1" s="1"/>
  <c r="V427" i="1"/>
  <c r="W427" i="1"/>
  <c r="X427" i="1"/>
  <c r="Y427" i="1"/>
  <c r="Z427" i="1"/>
  <c r="AA427" i="1"/>
  <c r="AB427" i="1"/>
  <c r="AC427" i="1"/>
  <c r="AD427" i="1"/>
  <c r="AE427" i="1"/>
  <c r="AF427" i="1"/>
  <c r="T428" i="1"/>
  <c r="U428" i="1"/>
  <c r="AG428" i="1" s="1"/>
  <c r="V428" i="1"/>
  <c r="W428" i="1"/>
  <c r="X428" i="1"/>
  <c r="Y428" i="1"/>
  <c r="Z428" i="1"/>
  <c r="AA428" i="1"/>
  <c r="AB428" i="1"/>
  <c r="AC428" i="1"/>
  <c r="AD428" i="1"/>
  <c r="AE428" i="1"/>
  <c r="AF428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T431" i="1"/>
  <c r="U431" i="1"/>
  <c r="AG431" i="1" s="1"/>
  <c r="V431" i="1"/>
  <c r="W431" i="1"/>
  <c r="X431" i="1"/>
  <c r="Y431" i="1"/>
  <c r="Z431" i="1"/>
  <c r="AA431" i="1"/>
  <c r="AB431" i="1"/>
  <c r="AC431" i="1"/>
  <c r="AD431" i="1"/>
  <c r="AE431" i="1"/>
  <c r="AF431" i="1"/>
  <c r="T432" i="1"/>
  <c r="U432" i="1"/>
  <c r="AG432" i="1" s="1"/>
  <c r="V432" i="1"/>
  <c r="W432" i="1"/>
  <c r="X432" i="1"/>
  <c r="Y432" i="1"/>
  <c r="Z432" i="1"/>
  <c r="AA432" i="1"/>
  <c r="AB432" i="1"/>
  <c r="AC432" i="1"/>
  <c r="AD432" i="1"/>
  <c r="AE432" i="1"/>
  <c r="AF432" i="1"/>
  <c r="T433" i="1"/>
  <c r="U433" i="1"/>
  <c r="AG433" i="1" s="1"/>
  <c r="V433" i="1"/>
  <c r="W433" i="1"/>
  <c r="X433" i="1"/>
  <c r="Y433" i="1"/>
  <c r="Z433" i="1"/>
  <c r="AA433" i="1"/>
  <c r="AB433" i="1"/>
  <c r="AC433" i="1"/>
  <c r="AD433" i="1"/>
  <c r="AE433" i="1"/>
  <c r="AF433" i="1"/>
  <c r="T434" i="1"/>
  <c r="U434" i="1"/>
  <c r="AG434" i="1" s="1"/>
  <c r="V434" i="1"/>
  <c r="W434" i="1"/>
  <c r="X434" i="1"/>
  <c r="Y434" i="1"/>
  <c r="Z434" i="1"/>
  <c r="AA434" i="1"/>
  <c r="AB434" i="1"/>
  <c r="AC434" i="1"/>
  <c r="AD434" i="1"/>
  <c r="AE434" i="1"/>
  <c r="AF434" i="1"/>
  <c r="T435" i="1"/>
  <c r="U435" i="1"/>
  <c r="AG435" i="1" s="1"/>
  <c r="V435" i="1"/>
  <c r="W435" i="1"/>
  <c r="X435" i="1"/>
  <c r="Y435" i="1"/>
  <c r="Z435" i="1"/>
  <c r="AA435" i="1"/>
  <c r="AB435" i="1"/>
  <c r="AC435" i="1"/>
  <c r="AD435" i="1"/>
  <c r="AE435" i="1"/>
  <c r="AF435" i="1"/>
  <c r="T436" i="1"/>
  <c r="U436" i="1"/>
  <c r="AG436" i="1" s="1"/>
  <c r="V436" i="1"/>
  <c r="W436" i="1"/>
  <c r="X436" i="1"/>
  <c r="Y436" i="1"/>
  <c r="Z436" i="1"/>
  <c r="AA436" i="1"/>
  <c r="AB436" i="1"/>
  <c r="AC436" i="1"/>
  <c r="AD436" i="1"/>
  <c r="AE436" i="1"/>
  <c r="AF436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T439" i="1"/>
  <c r="U439" i="1"/>
  <c r="AG439" i="1" s="1"/>
  <c r="V439" i="1"/>
  <c r="W439" i="1"/>
  <c r="X439" i="1"/>
  <c r="Y439" i="1"/>
  <c r="Z439" i="1"/>
  <c r="AA439" i="1"/>
  <c r="AB439" i="1"/>
  <c r="AC439" i="1"/>
  <c r="AD439" i="1"/>
  <c r="AE439" i="1"/>
  <c r="AF439" i="1"/>
  <c r="T440" i="1"/>
  <c r="U440" i="1"/>
  <c r="AG440" i="1" s="1"/>
  <c r="V440" i="1"/>
  <c r="W440" i="1"/>
  <c r="X440" i="1"/>
  <c r="Y440" i="1"/>
  <c r="Z440" i="1"/>
  <c r="AA440" i="1"/>
  <c r="AB440" i="1"/>
  <c r="AC440" i="1"/>
  <c r="AD440" i="1"/>
  <c r="AE440" i="1"/>
  <c r="AF440" i="1"/>
  <c r="T441" i="1"/>
  <c r="U441" i="1"/>
  <c r="AG441" i="1" s="1"/>
  <c r="V441" i="1"/>
  <c r="W441" i="1"/>
  <c r="X441" i="1"/>
  <c r="Y441" i="1"/>
  <c r="Z441" i="1"/>
  <c r="AA441" i="1"/>
  <c r="AB441" i="1"/>
  <c r="AC441" i="1"/>
  <c r="AD441" i="1"/>
  <c r="AE441" i="1"/>
  <c r="AF441" i="1"/>
  <c r="T442" i="1"/>
  <c r="U442" i="1"/>
  <c r="AG442" i="1" s="1"/>
  <c r="V442" i="1"/>
  <c r="W442" i="1"/>
  <c r="X442" i="1"/>
  <c r="Y442" i="1"/>
  <c r="Z442" i="1"/>
  <c r="AA442" i="1"/>
  <c r="AB442" i="1"/>
  <c r="AC442" i="1"/>
  <c r="AD442" i="1"/>
  <c r="AE442" i="1"/>
  <c r="AF442" i="1"/>
  <c r="T443" i="1"/>
  <c r="U443" i="1"/>
  <c r="AG443" i="1" s="1"/>
  <c r="V443" i="1"/>
  <c r="W443" i="1"/>
  <c r="X443" i="1"/>
  <c r="Y443" i="1"/>
  <c r="Z443" i="1"/>
  <c r="AA443" i="1"/>
  <c r="AB443" i="1"/>
  <c r="AC443" i="1"/>
  <c r="AD443" i="1"/>
  <c r="AE443" i="1"/>
  <c r="AF443" i="1"/>
  <c r="T444" i="1"/>
  <c r="U444" i="1"/>
  <c r="AG444" i="1" s="1"/>
  <c r="V444" i="1"/>
  <c r="W444" i="1"/>
  <c r="X444" i="1"/>
  <c r="Y444" i="1"/>
  <c r="Z444" i="1"/>
  <c r="AA444" i="1"/>
  <c r="AB444" i="1"/>
  <c r="AC444" i="1"/>
  <c r="AD444" i="1"/>
  <c r="AE444" i="1"/>
  <c r="AF444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T447" i="1"/>
  <c r="U447" i="1"/>
  <c r="AG447" i="1" s="1"/>
  <c r="V447" i="1"/>
  <c r="W447" i="1"/>
  <c r="X447" i="1"/>
  <c r="Y447" i="1"/>
  <c r="Z447" i="1"/>
  <c r="AA447" i="1"/>
  <c r="AB447" i="1"/>
  <c r="AC447" i="1"/>
  <c r="AD447" i="1"/>
  <c r="AE447" i="1"/>
  <c r="AF447" i="1"/>
  <c r="T448" i="1"/>
  <c r="U448" i="1"/>
  <c r="AG448" i="1" s="1"/>
  <c r="V448" i="1"/>
  <c r="W448" i="1"/>
  <c r="X448" i="1"/>
  <c r="Y448" i="1"/>
  <c r="Z448" i="1"/>
  <c r="AA448" i="1"/>
  <c r="AB448" i="1"/>
  <c r="AC448" i="1"/>
  <c r="AD448" i="1"/>
  <c r="AE448" i="1"/>
  <c r="AF448" i="1"/>
  <c r="T449" i="1"/>
  <c r="U449" i="1"/>
  <c r="AG449" i="1" s="1"/>
  <c r="V449" i="1"/>
  <c r="W449" i="1"/>
  <c r="X449" i="1"/>
  <c r="Y449" i="1"/>
  <c r="Z449" i="1"/>
  <c r="AA449" i="1"/>
  <c r="AB449" i="1"/>
  <c r="AC449" i="1"/>
  <c r="AD449" i="1"/>
  <c r="AE449" i="1"/>
  <c r="AF449" i="1"/>
  <c r="T450" i="1"/>
  <c r="U450" i="1"/>
  <c r="AG450" i="1" s="1"/>
  <c r="V450" i="1"/>
  <c r="W450" i="1"/>
  <c r="X450" i="1"/>
  <c r="Y450" i="1"/>
  <c r="Z450" i="1"/>
  <c r="AA450" i="1"/>
  <c r="AB450" i="1"/>
  <c r="AC450" i="1"/>
  <c r="AD450" i="1"/>
  <c r="AE450" i="1"/>
  <c r="AF450" i="1"/>
  <c r="T451" i="1"/>
  <c r="U451" i="1"/>
  <c r="AG451" i="1" s="1"/>
  <c r="V451" i="1"/>
  <c r="W451" i="1"/>
  <c r="X451" i="1"/>
  <c r="Y451" i="1"/>
  <c r="Z451" i="1"/>
  <c r="AA451" i="1"/>
  <c r="AB451" i="1"/>
  <c r="AC451" i="1"/>
  <c r="AD451" i="1"/>
  <c r="AE451" i="1"/>
  <c r="AF451" i="1"/>
  <c r="T452" i="1"/>
  <c r="U452" i="1"/>
  <c r="AG452" i="1" s="1"/>
  <c r="V452" i="1"/>
  <c r="W452" i="1"/>
  <c r="X452" i="1"/>
  <c r="Y452" i="1"/>
  <c r="Z452" i="1"/>
  <c r="AA452" i="1"/>
  <c r="AB452" i="1"/>
  <c r="AC452" i="1"/>
  <c r="AD452" i="1"/>
  <c r="AE452" i="1"/>
  <c r="AF452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T455" i="1"/>
  <c r="U455" i="1"/>
  <c r="AG455" i="1" s="1"/>
  <c r="V455" i="1"/>
  <c r="W455" i="1"/>
  <c r="X455" i="1"/>
  <c r="Y455" i="1"/>
  <c r="Z455" i="1"/>
  <c r="AA455" i="1"/>
  <c r="AB455" i="1"/>
  <c r="AC455" i="1"/>
  <c r="AD455" i="1"/>
  <c r="AE455" i="1"/>
  <c r="AF455" i="1"/>
  <c r="T456" i="1"/>
  <c r="U456" i="1"/>
  <c r="AG456" i="1" s="1"/>
  <c r="V456" i="1"/>
  <c r="W456" i="1"/>
  <c r="X456" i="1"/>
  <c r="Y456" i="1"/>
  <c r="Z456" i="1"/>
  <c r="AA456" i="1"/>
  <c r="AB456" i="1"/>
  <c r="AC456" i="1"/>
  <c r="AD456" i="1"/>
  <c r="AE456" i="1"/>
  <c r="AF456" i="1"/>
  <c r="T457" i="1"/>
  <c r="U457" i="1"/>
  <c r="AG457" i="1" s="1"/>
  <c r="V457" i="1"/>
  <c r="W457" i="1"/>
  <c r="X457" i="1"/>
  <c r="Y457" i="1"/>
  <c r="Z457" i="1"/>
  <c r="AA457" i="1"/>
  <c r="AB457" i="1"/>
  <c r="AC457" i="1"/>
  <c r="AD457" i="1"/>
  <c r="AE457" i="1"/>
  <c r="AF457" i="1"/>
  <c r="T458" i="1"/>
  <c r="U458" i="1"/>
  <c r="AG458" i="1" s="1"/>
  <c r="V458" i="1"/>
  <c r="W458" i="1"/>
  <c r="X458" i="1"/>
  <c r="Y458" i="1"/>
  <c r="Z458" i="1"/>
  <c r="AA458" i="1"/>
  <c r="AB458" i="1"/>
  <c r="AC458" i="1"/>
  <c r="AD458" i="1"/>
  <c r="AE458" i="1"/>
  <c r="AF458" i="1"/>
  <c r="T459" i="1"/>
  <c r="U459" i="1"/>
  <c r="AG459" i="1" s="1"/>
  <c r="V459" i="1"/>
  <c r="W459" i="1"/>
  <c r="X459" i="1"/>
  <c r="Y459" i="1"/>
  <c r="Z459" i="1"/>
  <c r="AA459" i="1"/>
  <c r="AB459" i="1"/>
  <c r="AC459" i="1"/>
  <c r="AD459" i="1"/>
  <c r="AE459" i="1"/>
  <c r="AF459" i="1"/>
  <c r="T460" i="1"/>
  <c r="U460" i="1"/>
  <c r="AG460" i="1" s="1"/>
  <c r="V460" i="1"/>
  <c r="W460" i="1"/>
  <c r="X460" i="1"/>
  <c r="Y460" i="1"/>
  <c r="Z460" i="1"/>
  <c r="AA460" i="1"/>
  <c r="AB460" i="1"/>
  <c r="AC460" i="1"/>
  <c r="AD460" i="1"/>
  <c r="AE460" i="1"/>
  <c r="AF460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T463" i="1"/>
  <c r="U463" i="1"/>
  <c r="AG463" i="1" s="1"/>
  <c r="V463" i="1"/>
  <c r="W463" i="1"/>
  <c r="X463" i="1"/>
  <c r="Y463" i="1"/>
  <c r="Z463" i="1"/>
  <c r="AA463" i="1"/>
  <c r="AB463" i="1"/>
  <c r="AC463" i="1"/>
  <c r="AD463" i="1"/>
  <c r="AE463" i="1"/>
  <c r="AF463" i="1"/>
  <c r="T464" i="1"/>
  <c r="U464" i="1"/>
  <c r="AG464" i="1" s="1"/>
  <c r="V464" i="1"/>
  <c r="W464" i="1"/>
  <c r="X464" i="1"/>
  <c r="Y464" i="1"/>
  <c r="Z464" i="1"/>
  <c r="AA464" i="1"/>
  <c r="AB464" i="1"/>
  <c r="AC464" i="1"/>
  <c r="AD464" i="1"/>
  <c r="AE464" i="1"/>
  <c r="AF464" i="1"/>
  <c r="T465" i="1"/>
  <c r="U465" i="1"/>
  <c r="AG465" i="1" s="1"/>
  <c r="V465" i="1"/>
  <c r="W465" i="1"/>
  <c r="X465" i="1"/>
  <c r="Y465" i="1"/>
  <c r="Z465" i="1"/>
  <c r="AA465" i="1"/>
  <c r="AB465" i="1"/>
  <c r="AC465" i="1"/>
  <c r="AD465" i="1"/>
  <c r="AE465" i="1"/>
  <c r="AF465" i="1"/>
  <c r="T466" i="1"/>
  <c r="U466" i="1"/>
  <c r="AG466" i="1" s="1"/>
  <c r="V466" i="1"/>
  <c r="W466" i="1"/>
  <c r="X466" i="1"/>
  <c r="Y466" i="1"/>
  <c r="Z466" i="1"/>
  <c r="AA466" i="1"/>
  <c r="AB466" i="1"/>
  <c r="AC466" i="1"/>
  <c r="AD466" i="1"/>
  <c r="AE466" i="1"/>
  <c r="AF466" i="1"/>
  <c r="T467" i="1"/>
  <c r="U467" i="1"/>
  <c r="AG467" i="1" s="1"/>
  <c r="V467" i="1"/>
  <c r="W467" i="1"/>
  <c r="X467" i="1"/>
  <c r="Y467" i="1"/>
  <c r="Z467" i="1"/>
  <c r="AA467" i="1"/>
  <c r="AB467" i="1"/>
  <c r="AC467" i="1"/>
  <c r="AD467" i="1"/>
  <c r="AE467" i="1"/>
  <c r="AF467" i="1"/>
  <c r="T468" i="1"/>
  <c r="U468" i="1"/>
  <c r="AG468" i="1" s="1"/>
  <c r="V468" i="1"/>
  <c r="W468" i="1"/>
  <c r="X468" i="1"/>
  <c r="Y468" i="1"/>
  <c r="Z468" i="1"/>
  <c r="AA468" i="1"/>
  <c r="AB468" i="1"/>
  <c r="AC468" i="1"/>
  <c r="AD468" i="1"/>
  <c r="AE468" i="1"/>
  <c r="AF468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T471" i="1"/>
  <c r="U471" i="1"/>
  <c r="AG471" i="1" s="1"/>
  <c r="V471" i="1"/>
  <c r="W471" i="1"/>
  <c r="X471" i="1"/>
  <c r="Y471" i="1"/>
  <c r="Z471" i="1"/>
  <c r="AA471" i="1"/>
  <c r="AB471" i="1"/>
  <c r="AC471" i="1"/>
  <c r="AD471" i="1"/>
  <c r="AE471" i="1"/>
  <c r="AF471" i="1"/>
  <c r="T472" i="1"/>
  <c r="U472" i="1"/>
  <c r="AG472" i="1" s="1"/>
  <c r="V472" i="1"/>
  <c r="W472" i="1"/>
  <c r="X472" i="1"/>
  <c r="Y472" i="1"/>
  <c r="Z472" i="1"/>
  <c r="AA472" i="1"/>
  <c r="AB472" i="1"/>
  <c r="AC472" i="1"/>
  <c r="AD472" i="1"/>
  <c r="AE472" i="1"/>
  <c r="AF472" i="1"/>
  <c r="T473" i="1"/>
  <c r="U473" i="1"/>
  <c r="AG473" i="1" s="1"/>
  <c r="V473" i="1"/>
  <c r="W473" i="1"/>
  <c r="X473" i="1"/>
  <c r="Y473" i="1"/>
  <c r="Z473" i="1"/>
  <c r="AA473" i="1"/>
  <c r="AB473" i="1"/>
  <c r="AC473" i="1"/>
  <c r="AD473" i="1"/>
  <c r="AE473" i="1"/>
  <c r="AF473" i="1"/>
  <c r="T474" i="1"/>
  <c r="U474" i="1"/>
  <c r="AG474" i="1" s="1"/>
  <c r="V474" i="1"/>
  <c r="W474" i="1"/>
  <c r="X474" i="1"/>
  <c r="Y474" i="1"/>
  <c r="Z474" i="1"/>
  <c r="AA474" i="1"/>
  <c r="AB474" i="1"/>
  <c r="AC474" i="1"/>
  <c r="AD474" i="1"/>
  <c r="AE474" i="1"/>
  <c r="AF474" i="1"/>
  <c r="T475" i="1"/>
  <c r="U475" i="1"/>
  <c r="AG475" i="1" s="1"/>
  <c r="V475" i="1"/>
  <c r="W475" i="1"/>
  <c r="X475" i="1"/>
  <c r="Y475" i="1"/>
  <c r="Z475" i="1"/>
  <c r="AA475" i="1"/>
  <c r="AB475" i="1"/>
  <c r="AC475" i="1"/>
  <c r="AD475" i="1"/>
  <c r="AE475" i="1"/>
  <c r="AF475" i="1"/>
  <c r="T476" i="1"/>
  <c r="U476" i="1"/>
  <c r="AG476" i="1" s="1"/>
  <c r="V476" i="1"/>
  <c r="W476" i="1"/>
  <c r="X476" i="1"/>
  <c r="Y476" i="1"/>
  <c r="Z476" i="1"/>
  <c r="AA476" i="1"/>
  <c r="AB476" i="1"/>
  <c r="AC476" i="1"/>
  <c r="AD476" i="1"/>
  <c r="AE476" i="1"/>
  <c r="AF476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T479" i="1"/>
  <c r="U479" i="1"/>
  <c r="AG479" i="1" s="1"/>
  <c r="V479" i="1"/>
  <c r="W479" i="1"/>
  <c r="X479" i="1"/>
  <c r="Y479" i="1"/>
  <c r="Z479" i="1"/>
  <c r="AA479" i="1"/>
  <c r="AB479" i="1"/>
  <c r="AC479" i="1"/>
  <c r="AD479" i="1"/>
  <c r="AE479" i="1"/>
  <c r="AF479" i="1"/>
  <c r="T480" i="1"/>
  <c r="U480" i="1"/>
  <c r="AG480" i="1" s="1"/>
  <c r="V480" i="1"/>
  <c r="W480" i="1"/>
  <c r="X480" i="1"/>
  <c r="Y480" i="1"/>
  <c r="Z480" i="1"/>
  <c r="AA480" i="1"/>
  <c r="AB480" i="1"/>
  <c r="AC480" i="1"/>
  <c r="AD480" i="1"/>
  <c r="AE480" i="1"/>
  <c r="AF480" i="1"/>
  <c r="T481" i="1"/>
  <c r="U481" i="1"/>
  <c r="AG481" i="1" s="1"/>
  <c r="V481" i="1"/>
  <c r="W481" i="1"/>
  <c r="X481" i="1"/>
  <c r="Y481" i="1"/>
  <c r="Z481" i="1"/>
  <c r="AA481" i="1"/>
  <c r="AB481" i="1"/>
  <c r="AC481" i="1"/>
  <c r="AD481" i="1"/>
  <c r="AE481" i="1"/>
  <c r="AF481" i="1"/>
  <c r="T482" i="1"/>
  <c r="U482" i="1"/>
  <c r="AG482" i="1" s="1"/>
  <c r="V482" i="1"/>
  <c r="W482" i="1"/>
  <c r="X482" i="1"/>
  <c r="Y482" i="1"/>
  <c r="Z482" i="1"/>
  <c r="AA482" i="1"/>
  <c r="AB482" i="1"/>
  <c r="AC482" i="1"/>
  <c r="AD482" i="1"/>
  <c r="AE482" i="1"/>
  <c r="AF482" i="1"/>
  <c r="T483" i="1"/>
  <c r="U483" i="1"/>
  <c r="AG483" i="1" s="1"/>
  <c r="V483" i="1"/>
  <c r="W483" i="1"/>
  <c r="X483" i="1"/>
  <c r="Y483" i="1"/>
  <c r="Z483" i="1"/>
  <c r="AA483" i="1"/>
  <c r="AB483" i="1"/>
  <c r="AC483" i="1"/>
  <c r="AD483" i="1"/>
  <c r="AE483" i="1"/>
  <c r="AF483" i="1"/>
  <c r="T484" i="1"/>
  <c r="U484" i="1"/>
  <c r="AG484" i="1" s="1"/>
  <c r="V484" i="1"/>
  <c r="W484" i="1"/>
  <c r="X484" i="1"/>
  <c r="Y484" i="1"/>
  <c r="Z484" i="1"/>
  <c r="AA484" i="1"/>
  <c r="AB484" i="1"/>
  <c r="AC484" i="1"/>
  <c r="AD484" i="1"/>
  <c r="AE484" i="1"/>
  <c r="AF484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T487" i="1"/>
  <c r="U487" i="1"/>
  <c r="AG487" i="1" s="1"/>
  <c r="V487" i="1"/>
  <c r="W487" i="1"/>
  <c r="X487" i="1"/>
  <c r="Y487" i="1"/>
  <c r="Z487" i="1"/>
  <c r="AA487" i="1"/>
  <c r="AB487" i="1"/>
  <c r="AC487" i="1"/>
  <c r="AD487" i="1"/>
  <c r="AE487" i="1"/>
  <c r="AF487" i="1"/>
  <c r="T488" i="1"/>
  <c r="U488" i="1"/>
  <c r="AG488" i="1" s="1"/>
  <c r="V488" i="1"/>
  <c r="W488" i="1"/>
  <c r="X488" i="1"/>
  <c r="Y488" i="1"/>
  <c r="Z488" i="1"/>
  <c r="AA488" i="1"/>
  <c r="AB488" i="1"/>
  <c r="AC488" i="1"/>
  <c r="AD488" i="1"/>
  <c r="AE488" i="1"/>
  <c r="AF488" i="1"/>
  <c r="T489" i="1"/>
  <c r="U489" i="1"/>
  <c r="AG489" i="1" s="1"/>
  <c r="V489" i="1"/>
  <c r="W489" i="1"/>
  <c r="X489" i="1"/>
  <c r="Y489" i="1"/>
  <c r="Z489" i="1"/>
  <c r="AA489" i="1"/>
  <c r="AB489" i="1"/>
  <c r="AC489" i="1"/>
  <c r="AD489" i="1"/>
  <c r="AE489" i="1"/>
  <c r="AF489" i="1"/>
  <c r="T490" i="1"/>
  <c r="U490" i="1"/>
  <c r="AG490" i="1" s="1"/>
  <c r="V490" i="1"/>
  <c r="W490" i="1"/>
  <c r="X490" i="1"/>
  <c r="Y490" i="1"/>
  <c r="Z490" i="1"/>
  <c r="AA490" i="1"/>
  <c r="AB490" i="1"/>
  <c r="AC490" i="1"/>
  <c r="AD490" i="1"/>
  <c r="AE490" i="1"/>
  <c r="AF490" i="1"/>
  <c r="T491" i="1"/>
  <c r="U491" i="1"/>
  <c r="AG491" i="1" s="1"/>
  <c r="V491" i="1"/>
  <c r="W491" i="1"/>
  <c r="X491" i="1"/>
  <c r="Y491" i="1"/>
  <c r="Z491" i="1"/>
  <c r="AA491" i="1"/>
  <c r="AB491" i="1"/>
  <c r="AC491" i="1"/>
  <c r="AD491" i="1"/>
  <c r="AE491" i="1"/>
  <c r="AF491" i="1"/>
  <c r="T492" i="1"/>
  <c r="U492" i="1"/>
  <c r="AG492" i="1" s="1"/>
  <c r="V492" i="1"/>
  <c r="W492" i="1"/>
  <c r="X492" i="1"/>
  <c r="Y492" i="1"/>
  <c r="Z492" i="1"/>
  <c r="AA492" i="1"/>
  <c r="AB492" i="1"/>
  <c r="AC492" i="1"/>
  <c r="AD492" i="1"/>
  <c r="AE492" i="1"/>
  <c r="AF492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T495" i="1"/>
  <c r="U495" i="1"/>
  <c r="AG495" i="1" s="1"/>
  <c r="V495" i="1"/>
  <c r="W495" i="1"/>
  <c r="X495" i="1"/>
  <c r="Y495" i="1"/>
  <c r="Z495" i="1"/>
  <c r="AA495" i="1"/>
  <c r="AB495" i="1"/>
  <c r="AC495" i="1"/>
  <c r="AD495" i="1"/>
  <c r="AE495" i="1"/>
  <c r="AF495" i="1"/>
  <c r="T496" i="1"/>
  <c r="U496" i="1"/>
  <c r="AG496" i="1" s="1"/>
  <c r="V496" i="1"/>
  <c r="W496" i="1"/>
  <c r="X496" i="1"/>
  <c r="Y496" i="1"/>
  <c r="Z496" i="1"/>
  <c r="AA496" i="1"/>
  <c r="AB496" i="1"/>
  <c r="AC496" i="1"/>
  <c r="AD496" i="1"/>
  <c r="AE496" i="1"/>
  <c r="AF496" i="1"/>
  <c r="T497" i="1"/>
  <c r="U497" i="1"/>
  <c r="AG497" i="1" s="1"/>
  <c r="V497" i="1"/>
  <c r="W497" i="1"/>
  <c r="X497" i="1"/>
  <c r="Y497" i="1"/>
  <c r="Z497" i="1"/>
  <c r="AA497" i="1"/>
  <c r="AB497" i="1"/>
  <c r="AC497" i="1"/>
  <c r="AD497" i="1"/>
  <c r="AE497" i="1"/>
  <c r="AF497" i="1"/>
  <c r="T498" i="1"/>
  <c r="U498" i="1"/>
  <c r="AG498" i="1" s="1"/>
  <c r="V498" i="1"/>
  <c r="W498" i="1"/>
  <c r="X498" i="1"/>
  <c r="Y498" i="1"/>
  <c r="Z498" i="1"/>
  <c r="AA498" i="1"/>
  <c r="AB498" i="1"/>
  <c r="AC498" i="1"/>
  <c r="AD498" i="1"/>
  <c r="AE498" i="1"/>
  <c r="AF498" i="1"/>
  <c r="T499" i="1"/>
  <c r="U499" i="1"/>
  <c r="AG499" i="1" s="1"/>
  <c r="V499" i="1"/>
  <c r="W499" i="1"/>
  <c r="X499" i="1"/>
  <c r="Y499" i="1"/>
  <c r="Z499" i="1"/>
  <c r="AA499" i="1"/>
  <c r="AB499" i="1"/>
  <c r="AC499" i="1"/>
  <c r="AD499" i="1"/>
  <c r="AE499" i="1"/>
  <c r="AF499" i="1"/>
  <c r="T500" i="1"/>
  <c r="U500" i="1"/>
  <c r="AG500" i="1" s="1"/>
  <c r="V500" i="1"/>
  <c r="W500" i="1"/>
  <c r="X500" i="1"/>
  <c r="Y500" i="1"/>
  <c r="Z500" i="1"/>
  <c r="AA500" i="1"/>
  <c r="AB500" i="1"/>
  <c r="AC500" i="1"/>
  <c r="AD500" i="1"/>
  <c r="AE500" i="1"/>
  <c r="AF500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T503" i="1"/>
  <c r="U503" i="1"/>
  <c r="AG503" i="1" s="1"/>
  <c r="V503" i="1"/>
  <c r="W503" i="1"/>
  <c r="X503" i="1"/>
  <c r="Y503" i="1"/>
  <c r="Z503" i="1"/>
  <c r="AA503" i="1"/>
  <c r="AB503" i="1"/>
  <c r="AC503" i="1"/>
  <c r="AD503" i="1"/>
  <c r="AE503" i="1"/>
  <c r="AF503" i="1"/>
  <c r="T504" i="1"/>
  <c r="U504" i="1"/>
  <c r="AG504" i="1" s="1"/>
  <c r="V504" i="1"/>
  <c r="W504" i="1"/>
  <c r="X504" i="1"/>
  <c r="Y504" i="1"/>
  <c r="Z504" i="1"/>
  <c r="AA504" i="1"/>
  <c r="AB504" i="1"/>
  <c r="AC504" i="1"/>
  <c r="AD504" i="1"/>
  <c r="AE504" i="1"/>
  <c r="AF504" i="1"/>
  <c r="T505" i="1"/>
  <c r="U505" i="1"/>
  <c r="AG505" i="1" s="1"/>
  <c r="V505" i="1"/>
  <c r="W505" i="1"/>
  <c r="X505" i="1"/>
  <c r="Y505" i="1"/>
  <c r="Z505" i="1"/>
  <c r="AA505" i="1"/>
  <c r="AB505" i="1"/>
  <c r="AC505" i="1"/>
  <c r="AD505" i="1"/>
  <c r="AE505" i="1"/>
  <c r="AF505" i="1"/>
  <c r="T506" i="1"/>
  <c r="U506" i="1"/>
  <c r="AG506" i="1" s="1"/>
  <c r="V506" i="1"/>
  <c r="W506" i="1"/>
  <c r="X506" i="1"/>
  <c r="Y506" i="1"/>
  <c r="Z506" i="1"/>
  <c r="AA506" i="1"/>
  <c r="AB506" i="1"/>
  <c r="AC506" i="1"/>
  <c r="AD506" i="1"/>
  <c r="AE506" i="1"/>
  <c r="AF506" i="1"/>
  <c r="T507" i="1"/>
  <c r="U507" i="1"/>
  <c r="AG507" i="1" s="1"/>
  <c r="V507" i="1"/>
  <c r="W507" i="1"/>
  <c r="X507" i="1"/>
  <c r="Y507" i="1"/>
  <c r="Z507" i="1"/>
  <c r="AA507" i="1"/>
  <c r="AB507" i="1"/>
  <c r="AC507" i="1"/>
  <c r="AD507" i="1"/>
  <c r="AE507" i="1"/>
  <c r="AF507" i="1"/>
  <c r="T508" i="1"/>
  <c r="U508" i="1"/>
  <c r="AG508" i="1" s="1"/>
  <c r="V508" i="1"/>
  <c r="W508" i="1"/>
  <c r="X508" i="1"/>
  <c r="Y508" i="1"/>
  <c r="Z508" i="1"/>
  <c r="AA508" i="1"/>
  <c r="AB508" i="1"/>
  <c r="AC508" i="1"/>
  <c r="AD508" i="1"/>
  <c r="AE508" i="1"/>
  <c r="AF508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T511" i="1"/>
  <c r="U511" i="1"/>
  <c r="AG511" i="1" s="1"/>
  <c r="V511" i="1"/>
  <c r="W511" i="1"/>
  <c r="X511" i="1"/>
  <c r="Y511" i="1"/>
  <c r="Z511" i="1"/>
  <c r="AA511" i="1"/>
  <c r="AB511" i="1"/>
  <c r="AC511" i="1"/>
  <c r="AD511" i="1"/>
  <c r="AE511" i="1"/>
  <c r="AF511" i="1"/>
  <c r="T512" i="1"/>
  <c r="U512" i="1"/>
  <c r="AG512" i="1" s="1"/>
  <c r="V512" i="1"/>
  <c r="W512" i="1"/>
  <c r="X512" i="1"/>
  <c r="Y512" i="1"/>
  <c r="Z512" i="1"/>
  <c r="AA512" i="1"/>
  <c r="AB512" i="1"/>
  <c r="AC512" i="1"/>
  <c r="AD512" i="1"/>
  <c r="AE512" i="1"/>
  <c r="AF512" i="1"/>
  <c r="T513" i="1"/>
  <c r="U513" i="1"/>
  <c r="AG513" i="1" s="1"/>
  <c r="V513" i="1"/>
  <c r="W513" i="1"/>
  <c r="X513" i="1"/>
  <c r="Y513" i="1"/>
  <c r="Z513" i="1"/>
  <c r="AA513" i="1"/>
  <c r="AB513" i="1"/>
  <c r="AC513" i="1"/>
  <c r="AD513" i="1"/>
  <c r="AE513" i="1"/>
  <c r="AF513" i="1"/>
  <c r="T514" i="1"/>
  <c r="U514" i="1"/>
  <c r="AG514" i="1" s="1"/>
  <c r="V514" i="1"/>
  <c r="W514" i="1"/>
  <c r="X514" i="1"/>
  <c r="Y514" i="1"/>
  <c r="Z514" i="1"/>
  <c r="AA514" i="1"/>
  <c r="AB514" i="1"/>
  <c r="AC514" i="1"/>
  <c r="AD514" i="1"/>
  <c r="AE514" i="1"/>
  <c r="AF514" i="1"/>
  <c r="T515" i="1"/>
  <c r="U515" i="1"/>
  <c r="AG515" i="1" s="1"/>
  <c r="V515" i="1"/>
  <c r="W515" i="1"/>
  <c r="X515" i="1"/>
  <c r="Y515" i="1"/>
  <c r="Z515" i="1"/>
  <c r="AA515" i="1"/>
  <c r="AB515" i="1"/>
  <c r="AC515" i="1"/>
  <c r="AD515" i="1"/>
  <c r="AE515" i="1"/>
  <c r="AF515" i="1"/>
  <c r="T516" i="1"/>
  <c r="U516" i="1"/>
  <c r="AG516" i="1" s="1"/>
  <c r="V516" i="1"/>
  <c r="W516" i="1"/>
  <c r="X516" i="1"/>
  <c r="Y516" i="1"/>
  <c r="Z516" i="1"/>
  <c r="AA516" i="1"/>
  <c r="AB516" i="1"/>
  <c r="AC516" i="1"/>
  <c r="AD516" i="1"/>
  <c r="AE516" i="1"/>
  <c r="AF516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T519" i="1"/>
  <c r="U519" i="1"/>
  <c r="AG519" i="1" s="1"/>
  <c r="V519" i="1"/>
  <c r="W519" i="1"/>
  <c r="X519" i="1"/>
  <c r="Y519" i="1"/>
  <c r="Z519" i="1"/>
  <c r="AA519" i="1"/>
  <c r="AB519" i="1"/>
  <c r="AC519" i="1"/>
  <c r="AD519" i="1"/>
  <c r="AE519" i="1"/>
  <c r="AF519" i="1"/>
  <c r="U3" i="1"/>
  <c r="AG3" i="1" s="1"/>
  <c r="V3" i="1"/>
  <c r="W3" i="1"/>
  <c r="X3" i="1"/>
  <c r="Y3" i="1"/>
  <c r="Z3" i="1"/>
  <c r="AA3" i="1"/>
  <c r="AB3" i="1"/>
  <c r="AC3" i="1"/>
  <c r="AD3" i="1"/>
  <c r="AE3" i="1"/>
  <c r="AF3" i="1"/>
  <c r="T3" i="1"/>
  <c r="U2" i="1"/>
  <c r="V2" i="1"/>
  <c r="W2" i="1"/>
  <c r="X2" i="1"/>
  <c r="Y2" i="1"/>
  <c r="Z2" i="1"/>
  <c r="AA2" i="1"/>
  <c r="AB2" i="1"/>
  <c r="AC2" i="1"/>
  <c r="AD2" i="1"/>
  <c r="AE2" i="1"/>
  <c r="AF2" i="1"/>
  <c r="T2" i="1"/>
  <c r="AG517" i="1" l="1"/>
  <c r="AG509" i="1"/>
  <c r="AG501" i="1"/>
  <c r="AG493" i="1"/>
  <c r="AG485" i="1"/>
  <c r="AG477" i="1"/>
  <c r="AG469" i="1"/>
  <c r="AG461" i="1"/>
  <c r="AG453" i="1"/>
  <c r="AG445" i="1"/>
  <c r="AG437" i="1"/>
  <c r="AG429" i="1"/>
  <c r="AG421" i="1"/>
  <c r="AG413" i="1"/>
  <c r="AG405" i="1"/>
  <c r="AG397" i="1"/>
  <c r="AG389" i="1"/>
  <c r="AG381" i="1"/>
  <c r="AG373" i="1"/>
  <c r="AG365" i="1"/>
  <c r="AG357" i="1"/>
  <c r="AG349" i="1"/>
  <c r="AG341" i="1"/>
  <c r="AG333" i="1"/>
  <c r="AG325" i="1"/>
  <c r="AG317" i="1"/>
  <c r="AG309" i="1"/>
  <c r="AG301" i="1"/>
  <c r="AG293" i="1"/>
  <c r="AG285" i="1"/>
  <c r="AG277" i="1"/>
  <c r="AG269" i="1"/>
  <c r="AG261" i="1"/>
  <c r="AG253" i="1"/>
  <c r="AG245" i="1"/>
  <c r="AG237" i="1"/>
  <c r="AG229" i="1"/>
  <c r="AG221" i="1"/>
  <c r="AG213" i="1"/>
  <c r="AG205" i="1"/>
  <c r="AG197" i="1"/>
  <c r="AG189" i="1"/>
  <c r="AG181" i="1"/>
  <c r="AG173" i="1"/>
  <c r="AG165" i="1"/>
  <c r="AG157" i="1"/>
  <c r="AG149" i="1"/>
  <c r="AG141" i="1"/>
  <c r="AG133" i="1"/>
  <c r="AG125" i="1"/>
  <c r="AG117" i="1"/>
  <c r="AG109" i="1"/>
  <c r="AG101" i="1"/>
  <c r="AG93" i="1"/>
  <c r="AG85" i="1"/>
  <c r="AG77" i="1"/>
  <c r="AG69" i="1"/>
  <c r="AG61" i="1"/>
  <c r="AG53" i="1"/>
  <c r="AG45" i="1"/>
  <c r="AG37" i="1"/>
  <c r="AG29" i="1"/>
  <c r="AG21" i="1"/>
  <c r="AG13" i="1"/>
  <c r="AG5" i="1"/>
  <c r="AG518" i="1"/>
  <c r="AG510" i="1"/>
  <c r="AG502" i="1"/>
  <c r="AG494" i="1"/>
  <c r="AG486" i="1"/>
  <c r="AG478" i="1"/>
  <c r="AG470" i="1"/>
  <c r="AG462" i="1"/>
  <c r="AG454" i="1"/>
  <c r="AG446" i="1"/>
  <c r="AG438" i="1"/>
  <c r="AG430" i="1"/>
  <c r="AG422" i="1"/>
  <c r="AG414" i="1"/>
  <c r="AG406" i="1"/>
  <c r="AG398" i="1"/>
  <c r="AG390" i="1"/>
  <c r="AG382" i="1"/>
  <c r="AG374" i="1"/>
  <c r="AG366" i="1"/>
  <c r="AG358" i="1"/>
  <c r="AG350" i="1"/>
  <c r="AG342" i="1"/>
  <c r="AG334" i="1"/>
  <c r="AG326" i="1"/>
  <c r="AG318" i="1"/>
  <c r="AG310" i="1"/>
  <c r="AG302" i="1"/>
  <c r="AG294" i="1"/>
  <c r="AG286" i="1"/>
  <c r="AG278" i="1"/>
  <c r="AG270" i="1"/>
  <c r="AG262" i="1"/>
  <c r="AG254" i="1"/>
  <c r="AG246" i="1"/>
  <c r="AG238" i="1"/>
  <c r="AG230" i="1"/>
  <c r="AG222" i="1"/>
  <c r="AG214" i="1"/>
  <c r="AG206" i="1"/>
  <c r="AG198" i="1"/>
  <c r="AG190" i="1"/>
  <c r="AG182" i="1"/>
  <c r="AG174" i="1"/>
  <c r="AG166" i="1"/>
  <c r="AG158" i="1"/>
  <c r="AG150" i="1"/>
  <c r="AG142" i="1"/>
  <c r="AG134" i="1"/>
  <c r="AG126" i="1"/>
  <c r="AG118" i="1"/>
  <c r="AG110" i="1"/>
  <c r="AG102" i="1"/>
  <c r="AG94" i="1"/>
  <c r="AG86" i="1"/>
  <c r="AG78" i="1"/>
  <c r="AG70" i="1"/>
  <c r="AG62" i="1"/>
  <c r="AG54" i="1"/>
  <c r="AG46" i="1"/>
  <c r="AG38" i="1"/>
  <c r="AG30" i="1"/>
  <c r="AG22" i="1"/>
  <c r="AG14" i="1"/>
  <c r="AG6" i="1"/>
</calcChain>
</file>

<file path=xl/sharedStrings.xml><?xml version="1.0" encoding="utf-8"?>
<sst xmlns="http://schemas.openxmlformats.org/spreadsheetml/2006/main" count="589" uniqueCount="87">
  <si>
    <t>WO_no</t>
  </si>
  <si>
    <t>grade</t>
  </si>
  <si>
    <t>Hours</t>
  </si>
  <si>
    <t>Sawdust</t>
  </si>
  <si>
    <t>OSF</t>
  </si>
  <si>
    <t>OSF External</t>
  </si>
  <si>
    <t>OSF internal</t>
  </si>
  <si>
    <t>WF</t>
  </si>
  <si>
    <t>Caustic</t>
  </si>
  <si>
    <t>Caustic Flow</t>
  </si>
  <si>
    <t>Fresh acid Flow</t>
  </si>
  <si>
    <t>Fresh acid tank</t>
  </si>
  <si>
    <t>Plant Acid</t>
  </si>
  <si>
    <t>Bled Acid</t>
  </si>
  <si>
    <t>output</t>
  </si>
  <si>
    <t>start</t>
  </si>
  <si>
    <t>end</t>
  </si>
  <si>
    <t>Sawdust check</t>
  </si>
  <si>
    <t>Sawdust moisture</t>
  </si>
  <si>
    <t>5020685</t>
  </si>
  <si>
    <t>TRANS</t>
  </si>
  <si>
    <t>transition</t>
  </si>
  <si>
    <t>TRANSITION</t>
  </si>
  <si>
    <t>(5195114)</t>
  </si>
  <si>
    <t>include with 5326588</t>
  </si>
  <si>
    <t>add to CA</t>
  </si>
  <si>
    <t>TRANS - CN</t>
  </si>
  <si>
    <t>trans (CA)</t>
  </si>
  <si>
    <t>trans</t>
  </si>
  <si>
    <t>trans- CA</t>
  </si>
  <si>
    <t xml:space="preserve">transition </t>
  </si>
  <si>
    <t>ELCD Rplant</t>
  </si>
  <si>
    <t>CA</t>
  </si>
  <si>
    <t>CN/CG</t>
  </si>
  <si>
    <t>CGPSU</t>
  </si>
  <si>
    <t>CAS/CAPSU</t>
  </si>
  <si>
    <t>CAPSUW</t>
  </si>
  <si>
    <t>CGSP/CGPSU/CNSP</t>
  </si>
  <si>
    <t>CA1P</t>
  </si>
  <si>
    <t>CG1P</t>
  </si>
  <si>
    <t>CAW</t>
  </si>
  <si>
    <t>CG</t>
  </si>
  <si>
    <t>CN</t>
  </si>
  <si>
    <t>CAPSU</t>
  </si>
  <si>
    <t>ELCD Rplant CNR120</t>
  </si>
  <si>
    <t xml:space="preserve">115cnr </t>
  </si>
  <si>
    <t>CGSP</t>
  </si>
  <si>
    <t>CNR120R</t>
  </si>
  <si>
    <t>CNR115</t>
  </si>
  <si>
    <t>CAS</t>
  </si>
  <si>
    <t>ELCD</t>
  </si>
  <si>
    <t>cnr120</t>
  </si>
  <si>
    <t>CNR115LB</t>
  </si>
  <si>
    <t>cnr115r</t>
  </si>
  <si>
    <t>115LB</t>
  </si>
  <si>
    <t>CNR115R</t>
  </si>
  <si>
    <t>115 LB</t>
  </si>
  <si>
    <t>CA1P-NH</t>
  </si>
  <si>
    <t>Saw dust check</t>
  </si>
  <si>
    <t>OSF Yeild</t>
  </si>
  <si>
    <t>Sawdust Yeild</t>
  </si>
  <si>
    <t>Sawduct Check Yeild</t>
  </si>
  <si>
    <t>Row Labels</t>
  </si>
  <si>
    <t>Grand Total</t>
  </si>
  <si>
    <t>Average of Saw dust check</t>
  </si>
  <si>
    <t>Average of Sawdust moisture</t>
  </si>
  <si>
    <t>Average of Sawdust per MT</t>
  </si>
  <si>
    <t>Average of Sawdust check per MT</t>
  </si>
  <si>
    <t>Average of Sawdust Yeild</t>
  </si>
  <si>
    <t>Average of Sawduct Check Yeild</t>
  </si>
  <si>
    <t>Average of Hours per MT</t>
  </si>
  <si>
    <t>Average of start</t>
  </si>
  <si>
    <t>Sum of OSF Yeild</t>
  </si>
  <si>
    <t>(All)</t>
  </si>
  <si>
    <t>Average of Caustic Flow per MT</t>
  </si>
  <si>
    <t>Average of Fresh acid Flow per MT</t>
  </si>
  <si>
    <t>Average of Plant Acid per MT</t>
  </si>
  <si>
    <t>Average of Bled Acid per MT</t>
  </si>
  <si>
    <t>PLN</t>
  </si>
  <si>
    <t>start date</t>
  </si>
  <si>
    <t>BOMS</t>
  </si>
  <si>
    <t>diff</t>
  </si>
  <si>
    <t>Measured sawdust consumption</t>
  </si>
  <si>
    <t>hours</t>
  </si>
  <si>
    <t>Bom</t>
  </si>
  <si>
    <t>measured sawdust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</si>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</sst>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2" borderId="0" xfId="0" applyFill="1" applyAlignment="1">
      <alignment horizontal="left" indent="1"/>
    </xf>
    <xf numFmtId="1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0" fillId="0" borderId="0" xfId="0" pivotButton="1"/>
    <xf numFmtId="0" fontId="0" fillId="0" borderId="0" xfId="0" applyNumberFormat="1"/>
    <xf numFmtId="0" fontId="0" fillId="2" borderId="0" xfId="0" applyNumberFormat="1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6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165" formatCode="0.0000"/>
    </dxf>
    <dxf>
      <numFmt numFmtId="165" formatCode="0.00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sawdust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CN!$F$1</c:f>
              <c:strCache>
                <c:ptCount val="1"/>
                <c:pt idx="0">
                  <c:v>Measured sawdust consumption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CN!$C$5:$C$11</c:f>
              <c:numCache>
                <c:formatCode>m/d/yyyy</c:formatCode>
                <c:ptCount val="7"/>
                <c:pt idx="0">
                  <c:v>45105.125</c:v>
                </c:pt>
                <c:pt idx="1">
                  <c:v>45115.208333333336</c:v>
                </c:pt>
                <c:pt idx="2">
                  <c:v>45116.215277777781</c:v>
                </c:pt>
                <c:pt idx="3">
                  <c:v>45119.253472222219</c:v>
                </c:pt>
                <c:pt idx="4">
                  <c:v>45120.197916666664</c:v>
                </c:pt>
                <c:pt idx="5">
                  <c:v>45121.059027777781</c:v>
                </c:pt>
                <c:pt idx="6">
                  <c:v>45124.291666666664</c:v>
                </c:pt>
              </c:numCache>
            </c:numRef>
          </c:xVal>
          <c:yVal>
            <c:numRef>
              <c:f>CN!$F$5:$F$11</c:f>
              <c:numCache>
                <c:formatCode>0.00</c:formatCode>
                <c:ptCount val="7"/>
                <c:pt idx="0">
                  <c:v>2155.9973214955303</c:v>
                </c:pt>
                <c:pt idx="1">
                  <c:v>2155.9943643559386</c:v>
                </c:pt>
                <c:pt idx="2">
                  <c:v>2213.5185910101936</c:v>
                </c:pt>
                <c:pt idx="3">
                  <c:v>2156.1435541691085</c:v>
                </c:pt>
                <c:pt idx="4">
                  <c:v>2155.9853129865237</c:v>
                </c:pt>
                <c:pt idx="5">
                  <c:v>2155.995248418787</c:v>
                </c:pt>
                <c:pt idx="6">
                  <c:v>2155.737656282653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C-40CD-AFB5-8930624CB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998736"/>
        <c:axId val="651043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CN!$D$1</c15:sqref>
                        </c15:formulaRef>
                      </c:ext>
                    </c:extLst>
                    <c:strCache>
                      <c:ptCount val="1"/>
                      <c:pt idx="0">
                        <c:v>Hours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CN!$C$5:$C$11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45105.125</c:v>
                      </c:pt>
                      <c:pt idx="1">
                        <c:v>45115.208333333336</c:v>
                      </c:pt>
                      <c:pt idx="2">
                        <c:v>45116.215277777781</c:v>
                      </c:pt>
                      <c:pt idx="3">
                        <c:v>45119.253472222219</c:v>
                      </c:pt>
                      <c:pt idx="4">
                        <c:v>45120.197916666664</c:v>
                      </c:pt>
                      <c:pt idx="5">
                        <c:v>45121.059027777781</c:v>
                      </c:pt>
                      <c:pt idx="6">
                        <c:v>45124.291666666664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CN!$D$5:$D$11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0.77454346143426089</c:v>
                      </c:pt>
                      <c:pt idx="1">
                        <c:v>0.83651101132809536</c:v>
                      </c:pt>
                      <c:pt idx="2">
                        <c:v>0.85462745916064775</c:v>
                      </c:pt>
                      <c:pt idx="3">
                        <c:v>0.89593811111080524</c:v>
                      </c:pt>
                      <c:pt idx="4">
                        <c:v>0.76251464176601746</c:v>
                      </c:pt>
                      <c:pt idx="5">
                        <c:v>0.79281783767606884</c:v>
                      </c:pt>
                      <c:pt idx="6">
                        <c:v>0.83708440342326451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BBC-40CD-AFB5-8930624CB68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CN!$E$1</c15:sqref>
                        </c15:formulaRef>
                      </c:ext>
                    </c:extLst>
                    <c:strCache>
                      <c:ptCount val="1"/>
                      <c:pt idx="0">
                        <c:v>BOMS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CN!$C$5:$C$11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45105.125</c:v>
                      </c:pt>
                      <c:pt idx="1">
                        <c:v>45115.208333333336</c:v>
                      </c:pt>
                      <c:pt idx="2">
                        <c:v>45116.215277777781</c:v>
                      </c:pt>
                      <c:pt idx="3">
                        <c:v>45119.253472222219</c:v>
                      </c:pt>
                      <c:pt idx="4">
                        <c:v>45120.197916666664</c:v>
                      </c:pt>
                      <c:pt idx="5">
                        <c:v>45121.059027777781</c:v>
                      </c:pt>
                      <c:pt idx="6">
                        <c:v>45124.291666666664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CN!$E$5:$E$11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2155.9999999999995</c:v>
                      </c:pt>
                      <c:pt idx="1">
                        <c:v>2156</c:v>
                      </c:pt>
                      <c:pt idx="2">
                        <c:v>2156.0000000000009</c:v>
                      </c:pt>
                      <c:pt idx="3">
                        <c:v>2155.9999999999995</c:v>
                      </c:pt>
                      <c:pt idx="4">
                        <c:v>2156</c:v>
                      </c:pt>
                      <c:pt idx="5">
                        <c:v>2155.9999999999995</c:v>
                      </c:pt>
                      <c:pt idx="6">
                        <c:v>2156.0000000000005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BBC-40CD-AFB5-8930624CB68E}"/>
                  </c:ext>
                </c:extLst>
              </c15:ser>
            </c15:filteredScatterSeries>
          </c:ext>
        </c:extLst>
      </c:scatterChart>
      <c:valAx>
        <c:axId val="207699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43008"/>
        <c:crosses val="autoZero"/>
        <c:crossBetween val="midCat"/>
      </c:valAx>
      <c:valAx>
        <c:axId val="65104300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9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'recipe 2'!$F$3</c:f>
              <c:strCache>
                <c:ptCount val="1"/>
                <c:pt idx="0">
                  <c:v>measured sawdust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'recipe 2'!$C$4:$C$13</c:f>
              <c:numCache>
                <c:formatCode>m/d/yyyy</c:formatCode>
                <c:ptCount val="10"/>
                <c:pt idx="0">
                  <c:v>45104.177083333336</c:v>
                </c:pt>
                <c:pt idx="1">
                  <c:v>45105.125</c:v>
                </c:pt>
                <c:pt idx="2">
                  <c:v>45113.645833333336</c:v>
                </c:pt>
                <c:pt idx="3">
                  <c:v>45114.430555555555</c:v>
                </c:pt>
                <c:pt idx="4">
                  <c:v>45115.208333333336</c:v>
                </c:pt>
                <c:pt idx="5">
                  <c:v>45117.1875</c:v>
                </c:pt>
                <c:pt idx="6">
                  <c:v>45119.253472222219</c:v>
                </c:pt>
                <c:pt idx="7">
                  <c:v>45120.197916666664</c:v>
                </c:pt>
                <c:pt idx="8">
                  <c:v>45121.059027777781</c:v>
                </c:pt>
                <c:pt idx="9">
                  <c:v>45124.291666666664</c:v>
                </c:pt>
              </c:numCache>
            </c:numRef>
          </c:xVal>
          <c:yVal>
            <c:numRef>
              <c:f>'recipe 2'!$F$4:$F$13</c:f>
              <c:numCache>
                <c:formatCode>0.00</c:formatCode>
                <c:ptCount val="10"/>
                <c:pt idx="0">
                  <c:v>2155.9994670872343</c:v>
                </c:pt>
                <c:pt idx="1">
                  <c:v>2155.9973214955303</c:v>
                </c:pt>
                <c:pt idx="2">
                  <c:v>2155.9695130017831</c:v>
                </c:pt>
                <c:pt idx="3">
                  <c:v>2161.3990298818276</c:v>
                </c:pt>
                <c:pt idx="4">
                  <c:v>2155.9943643559386</c:v>
                </c:pt>
                <c:pt idx="5">
                  <c:v>2155.9862422642968</c:v>
                </c:pt>
                <c:pt idx="6">
                  <c:v>2156.1435541691085</c:v>
                </c:pt>
                <c:pt idx="7">
                  <c:v>2155.9853129865237</c:v>
                </c:pt>
                <c:pt idx="8">
                  <c:v>2155.995248418787</c:v>
                </c:pt>
                <c:pt idx="9">
                  <c:v>2155.737656282653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0-4A78-A6A1-C3AF2D356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023728"/>
        <c:axId val="564952496"/>
      </c:scatterChart>
      <c:valAx>
        <c:axId val="188202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52496"/>
        <c:crosses val="autoZero"/>
        <c:crossBetween val="midCat"/>
      </c:valAx>
      <c:valAx>
        <c:axId val="564952496"/>
        <c:scaling>
          <c:orientation val="minMax"/>
          <c:max val="2170"/>
          <c:min val="2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2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68580</xdr:rowOff>
    </xdr:from>
    <xdr:to>
      <xdr:col>16</xdr:col>
      <xdr:colOff>182880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19C45-520C-27A8-1C34-44EA91EA5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5</xdr:row>
      <xdr:rowOff>167640</xdr:rowOff>
    </xdr:from>
    <xdr:to>
      <xdr:col>19</xdr:col>
      <xdr:colOff>342900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F60B1-EBE9-F982-E209-4DA880255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arruthers" refreshedDate="45197.494783101851" createdVersion="8" refreshedVersion="8" minRefreshableVersion="3" recordCount="517" xr:uid="{E54BF072-C462-4051-B7E1-9A7C623C963D}">
  <cacheSource type="worksheet">
    <worksheetSource ref="A2:AK519" sheet="WO_data"/>
  </cacheSource>
  <cacheFields count="39">
    <cacheField name="WO_no" numFmtId="0">
      <sharedItems containsMixedTypes="1" containsNumber="1" containsInteger="1" minValue="4902659" maxValue="5381310" count="515">
        <n v="4902659"/>
        <n v="4907184"/>
        <n v="4907185"/>
        <n v="4908279"/>
        <n v="4908213"/>
        <n v="4908215"/>
        <n v="4908426"/>
        <n v="4909167"/>
        <n v="4909157"/>
        <n v="4909174"/>
        <n v="4909888"/>
        <n v="4910517"/>
        <n v="4909886"/>
        <n v="4911286"/>
        <n v="4911275"/>
        <n v="4915161"/>
        <n v="4913849"/>
        <n v="4917002"/>
        <n v="4916727"/>
        <n v="4918334"/>
        <n v="4918337"/>
        <n v="4919018"/>
        <n v="4918863"/>
        <n v="4920028"/>
        <n v="4920033"/>
        <n v="4920581"/>
        <n v="4927565"/>
        <n v="4929889"/>
        <n v="4936957"/>
        <n v="4936948"/>
        <n v="4936964"/>
        <n v="4936966"/>
        <n v="4939620"/>
        <n v="4939619"/>
        <n v="4939618"/>
        <n v="4941894"/>
        <n v="4942595"/>
        <n v="4944505"/>
        <n v="4942593"/>
        <n v="4942601"/>
        <n v="4945794"/>
        <n v="4942599"/>
        <n v="4946651"/>
        <n v="4946772"/>
        <n v="4947855"/>
        <n v="4948442"/>
        <n v="4949662"/>
        <n v="4945145"/>
        <n v="4950235"/>
        <n v="4950231"/>
        <n v="4952854"/>
        <n v="4953616"/>
        <n v="4953614"/>
        <n v="4953618"/>
        <n v="4954491"/>
        <n v="4959677"/>
        <n v="4962205"/>
        <n v="4969784"/>
        <n v="4969789"/>
        <n v="4969787"/>
        <n v="4970757"/>
        <n v="4970910"/>
        <n v="4970908"/>
        <n v="4972073"/>
        <n v="4970758"/>
        <n v="4972658"/>
        <n v="4972656"/>
        <n v="4972075"/>
        <n v="4972660"/>
        <n v="4973966"/>
        <n v="4975256"/>
        <n v="4975226"/>
        <n v="4975638"/>
        <n v="4975634"/>
        <n v="4976684"/>
        <n v="4977194"/>
        <n v="4975636"/>
        <n v="4977183"/>
        <n v="4973395"/>
        <n v="4978566"/>
        <n v="4979704"/>
        <n v="4979707"/>
        <n v="4979709"/>
        <n v="4982222"/>
        <n v="4981270"/>
        <n v="4998494"/>
        <n v="4998497"/>
        <n v="4998499"/>
        <n v="4998501"/>
        <n v="4998521"/>
        <n v="4998523"/>
        <n v="4998529"/>
        <n v="4998531"/>
        <n v="4998527"/>
        <n v="4998525"/>
        <n v="5008273"/>
        <n v="5008423"/>
        <n v="4998566"/>
        <n v="4998564"/>
        <n v="5010022"/>
        <n v="5010024"/>
        <n v="4998570"/>
        <n v="5012269"/>
        <n v="5012271"/>
        <n v="5010611"/>
        <n v="5012273"/>
        <n v="5014861"/>
        <n v="5016051"/>
        <n v="5015529"/>
        <n v="5016769"/>
        <n v="5017261"/>
        <n v="5017263"/>
        <n v="5018243"/>
        <n v="5018657"/>
        <n v="5018825"/>
        <n v="5015532"/>
        <n v="5020680"/>
        <n v="5020687"/>
        <n v="5018197"/>
        <s v="5020685"/>
        <n v="5023096"/>
        <n v="5023152"/>
        <n v="5023098"/>
        <n v="5023620"/>
        <n v="5024309"/>
        <n v="5024415"/>
        <n v="5024413"/>
        <n v="5025504"/>
        <n v="5025662"/>
        <n v="5024311"/>
        <n v="5026590"/>
        <n v="5026623"/>
        <n v="5026617"/>
        <n v="5027784"/>
        <n v="5027909"/>
        <n v="5027972"/>
        <n v="5027970"/>
        <n v="5029636"/>
        <n v="5030193"/>
        <n v="5029661"/>
        <n v="5029659"/>
        <n v="5035841"/>
        <n v="5040741"/>
        <n v="5043579"/>
        <n v="5071653"/>
        <n v="5088503"/>
        <s v="TRANS"/>
        <n v="5088505"/>
        <n v="5089055"/>
        <n v="5089064"/>
        <n v="5090278"/>
        <n v="5090276"/>
        <n v="5090280"/>
        <n v="5095589"/>
        <n v="5096165"/>
        <n v="5097372"/>
        <n v="5097370"/>
        <n v="5097121"/>
        <n v="5097353"/>
        <n v="5100289"/>
        <n v="5100287"/>
        <n v="5100291"/>
        <n v="5100285"/>
        <n v="5100963"/>
        <n v="5103922"/>
        <n v="5103920"/>
        <n v="5106867"/>
        <n v="5106865"/>
        <n v="5108080"/>
        <n v="5121645"/>
        <n v="5122125"/>
        <n v="5122700"/>
        <n v="5122703"/>
        <n v="5128700"/>
        <n v="5128698"/>
        <n v="5128696"/>
        <n v="5131524"/>
        <n v="5131526"/>
        <n v="5133442"/>
        <n v="5134112"/>
        <n v="5134751"/>
        <n v="5135632"/>
        <n v="5136947"/>
        <n v="5136945"/>
        <n v="5140104"/>
        <n v="5139332"/>
        <n v="5140106"/>
        <n v="5141346"/>
        <n v="5142521"/>
        <n v="5144313"/>
        <s v="transition"/>
        <n v="5144317"/>
        <n v="5136949"/>
        <n v="5144315"/>
        <n v="5135629"/>
        <n v="5147402"/>
        <n v="5144311"/>
        <n v="5147406"/>
        <n v="5150412"/>
        <n v="5150414"/>
        <n v="5152234"/>
        <n v="5155975"/>
        <n v="5156770"/>
        <n v="5157890"/>
        <n v="5156772"/>
        <n v="5158593"/>
        <n v="5158953"/>
        <n v="5159843"/>
        <n v="5160569"/>
        <n v="5160573"/>
        <n v="5160545"/>
        <n v="5166273"/>
        <n v="5169577"/>
        <n v="5171553"/>
        <n v="5171618"/>
        <n v="5177256"/>
        <n v="5177258"/>
        <n v="5177259"/>
        <n v="5178078"/>
        <n v="5179465"/>
        <n v="5178079"/>
        <n v="5181626"/>
        <n v="5182306"/>
        <n v="5184674"/>
        <n v="5186479"/>
        <n v="5188512"/>
        <n v="5188514"/>
        <n v="5188518"/>
        <n v="5189680"/>
        <n v="5189682"/>
        <n v="5191967"/>
        <n v="5191186"/>
        <n v="5188516"/>
        <n v="5193759"/>
        <n v="5193835"/>
        <n v="5195114"/>
        <s v="(5195114)"/>
        <n v="5196663"/>
        <n v="5196661"/>
        <n v="5196665"/>
        <n v="5196673"/>
        <n v="5195112"/>
        <n v="5188522"/>
        <n v="5199566"/>
        <n v="5198735"/>
        <n v="5198471"/>
        <n v="5199841"/>
        <n v="5200764"/>
        <n v="5202619"/>
        <n v="5202629"/>
        <n v="5203266"/>
        <n v="5203291"/>
        <n v="5204175"/>
        <n v="5204782"/>
        <n v="5206639"/>
        <n v="5204915"/>
        <n v="5204917"/>
        <n v="5206644"/>
        <n v="5206651"/>
        <n v="5206694"/>
        <n v="5206696"/>
        <n v="5206750"/>
        <n v="5206752"/>
        <n v="5208002"/>
        <n v="5209264"/>
        <n v="5209266"/>
        <n v="5209270"/>
        <n v="5209268"/>
        <n v="5209274"/>
        <n v="5209276"/>
        <n v="5209279"/>
        <n v="5209281"/>
        <n v="5209283"/>
        <n v="5209285"/>
        <n v="5209292"/>
        <n v="5209294"/>
        <n v="5208645"/>
        <n v="5209168"/>
        <n v="5243554"/>
        <n v="5261497"/>
        <n v="5269563"/>
        <n v="5269578"/>
        <n v="5269580"/>
        <n v="5278027"/>
        <n v="5281268"/>
        <n v="5281273"/>
        <n v="5281271"/>
        <n v="5281275"/>
        <n v="5281277"/>
        <n v="5281281"/>
        <n v="5281279"/>
        <n v="5286827"/>
        <n v="5286822"/>
        <n v="5288868"/>
        <n v="5299115"/>
        <n v="5298998"/>
        <n v="5300336"/>
        <n v="5319204"/>
        <n v="5316928"/>
        <n v="5319207"/>
        <n v="5319208"/>
        <n v="5319904"/>
        <n v="5320597"/>
        <n v="5320599"/>
        <n v="5323330"/>
        <n v="5325218"/>
        <n v="5325986"/>
        <n v="5326142"/>
        <n v="5326143"/>
        <n v="5326479"/>
        <s v="include with 5326588"/>
        <n v="5326588"/>
        <n v="5326592"/>
        <n v="5326594"/>
        <n v="5326596"/>
        <n v="5326590"/>
        <n v="5327047"/>
        <n v="5326975"/>
        <n v="5327279"/>
        <n v="5327285"/>
        <n v="5327292"/>
        <n v="5327283"/>
        <n v="5327600"/>
        <n v="5327693"/>
        <n v="5327792"/>
        <n v="5328131"/>
        <n v="5328134"/>
        <n v="5328332"/>
        <n v="5328119"/>
        <n v="5328631"/>
        <n v="5328583"/>
        <n v="5329279"/>
        <n v="5329282"/>
        <n v="5329336"/>
        <n v="5329511"/>
        <n v="5329514"/>
        <n v="5340771"/>
        <n v="5340773"/>
        <n v="5343514"/>
        <n v="5343750"/>
        <n v="5343774"/>
        <n v="5344461"/>
        <n v="5344410"/>
        <n v="5344414"/>
        <n v="5344542"/>
        <n v="5345088"/>
        <n v="5345091"/>
        <n v="5345287"/>
        <n v="5344935"/>
        <n v="5345258"/>
        <n v="5345681"/>
        <n v="5345973"/>
        <n v="5346247"/>
        <n v="5346387"/>
        <n v="5346451"/>
        <n v="5346838"/>
        <n v="5347045"/>
        <n v="5347048"/>
        <n v="5347176"/>
        <n v="5347179"/>
        <n v="5347246"/>
        <n v="5347566"/>
        <n v="5347766"/>
        <n v="5347986"/>
        <n v="5348404"/>
        <n v="5349422"/>
        <n v="5348079"/>
        <n v="5348082"/>
        <n v="5348178"/>
        <n v="5348182"/>
        <n v="5348085"/>
        <n v="5348099"/>
        <n v="5348102"/>
        <n v="5348111"/>
        <n v="5348107"/>
        <n v="5350144"/>
        <n v="5350088"/>
        <n v="5350149"/>
        <n v="5350342"/>
        <n v="5350354"/>
        <n v="5350349"/>
        <n v="5351252"/>
        <n v="5350347"/>
        <n v="5351325"/>
        <n v="5351422"/>
        <n v="5351426"/>
        <n v="5351330"/>
        <n v="5351333"/>
        <n v="5351463"/>
        <n v="5351554"/>
        <n v="5351810"/>
        <n v="5352228"/>
        <n v="5354587"/>
        <n v="5354592"/>
        <n v="5354599"/>
        <n v="5355340"/>
        <n v="5354596"/>
        <n v="5355395"/>
        <n v="5355392"/>
        <n v="5355396"/>
        <n v="5355755"/>
        <n v="5355877"/>
        <n v="5355758"/>
        <n v="5355957"/>
        <n v="5355960"/>
        <n v="5355965"/>
        <n v="5356324"/>
        <n v="5356454"/>
        <n v="5356457"/>
        <n v="5356520"/>
        <n v="5356816"/>
        <n v="5356935"/>
        <n v="5357051"/>
        <n v="5357069"/>
        <n v="5356939"/>
        <n v="5358149"/>
        <n v="5358578"/>
        <n v="5359015"/>
        <n v="5359508"/>
        <n v="5359768"/>
        <n v="5359823"/>
        <n v="5359610"/>
        <n v="5360106"/>
        <n v="5360109"/>
        <n v="5360112"/>
        <n v="5360176"/>
        <n v="5360653"/>
        <s v="add to CA"/>
        <n v="5360859"/>
        <n v="5360856"/>
        <n v="5361278"/>
        <n v="5361281"/>
        <n v="5361785"/>
        <n v="5362203"/>
        <n v="5362415"/>
        <n v="5362420"/>
        <n v="5362423"/>
        <n v="5362754"/>
        <n v="5360983"/>
        <n v="5362428"/>
        <n v="5362961"/>
        <n v="5362964"/>
        <n v="5363167"/>
        <s v="TRANS - CN"/>
        <n v="5363631"/>
        <n v="5362969"/>
        <n v="5363371"/>
        <n v="5363536"/>
        <s v="trans (CA)"/>
        <n v="5363846"/>
        <n v="5365846"/>
        <n v="5367586"/>
        <n v="5367591"/>
        <n v="5367594"/>
        <n v="5368007"/>
        <s v="trans- CA"/>
        <n v="5368630"/>
        <n v="5368633"/>
        <n v="5368720"/>
        <n v="5368204"/>
        <n v="5369400"/>
        <n v="5369879"/>
        <n v="5369886"/>
        <n v="5368217"/>
        <n v="5369889"/>
        <n v="5371714"/>
        <n v="5371929"/>
        <n v="5372229"/>
        <n v="5373955"/>
        <n v="5374272"/>
        <n v="5374593"/>
        <n v="5374965"/>
        <n v="5375015"/>
        <n v="5375020"/>
        <n v="5375852"/>
        <n v="5375761"/>
        <n v="5375764"/>
        <n v="5375849"/>
        <n v="5376297"/>
        <n v="5376301"/>
        <n v="5376451"/>
        <n v="5376454"/>
        <n v="5376742"/>
        <n v="5376448"/>
        <n v="5376531"/>
        <n v="5376350"/>
        <n v="5376984"/>
        <n v="5376987"/>
        <n v="5376990"/>
        <n v="5376992"/>
        <n v="5377108"/>
        <n v="5377174"/>
        <n v="5377177"/>
        <n v="5317177"/>
        <n v="5377181"/>
        <n v="5377184"/>
        <n v="5377612"/>
        <s v="transition "/>
        <n v="5377686"/>
        <n v="5379646"/>
        <n v="5379649"/>
        <n v="5379652"/>
        <n v="5379655"/>
        <n v="5379971"/>
        <n v="5379968"/>
        <n v="5379965"/>
        <n v="5380239"/>
        <n v="5380406"/>
        <n v="5380412"/>
        <n v="5380972"/>
        <n v="5380975"/>
        <n v="5380978"/>
        <n v="5380981"/>
        <n v="5380984"/>
        <n v="5381310"/>
      </sharedItems>
    </cacheField>
    <cacheField name="grade" numFmtId="0">
      <sharedItems containsMixedTypes="1" containsNumber="1" containsInteger="1" minValue="120" maxValue="120" count="27">
        <s v="ELCD Rplant"/>
        <s v="CA"/>
        <s v="CN/CG"/>
        <s v="CGPSU"/>
        <s v="CAS/CAPSU"/>
        <s v="CAPSUW"/>
        <s v="CGSP/CGPSU/CNSP"/>
        <s v="CA1P"/>
        <s v="CG1P"/>
        <s v="CAW"/>
        <s v="CG"/>
        <s v="CN"/>
        <s v="CAPSU"/>
        <s v="ELCD Rplant CNR120"/>
        <s v="115cnr "/>
        <s v="CGSP"/>
        <s v="CNR120R"/>
        <s v="CNR115"/>
        <s v="CAS"/>
        <s v="ELCD"/>
        <s v="cnr120"/>
        <s v="CNR115LB"/>
        <s v="cnr115r"/>
        <s v="115LB"/>
        <s v="115 LB"/>
        <s v="CA1P-NH"/>
        <n v="120"/>
      </sharedItems>
    </cacheField>
    <cacheField name="Hours" numFmtId="0">
      <sharedItems containsSemiMixedTypes="0" containsString="0" containsNumber="1" minValue="0.33333333333333331" maxValue="425.5"/>
    </cacheField>
    <cacheField name="Sawdust" numFmtId="0">
      <sharedItems containsSemiMixedTypes="0" containsString="0" containsNumber="1" minValue="0" maxValue="667287.44866134739"/>
    </cacheField>
    <cacheField name="OSF" numFmtId="0">
      <sharedItems containsString="0" containsBlank="1" containsNumber="1" minValue="0" maxValue="769374.20500000007"/>
    </cacheField>
    <cacheField name="OSF External" numFmtId="0">
      <sharedItems containsString="0" containsBlank="1" containsNumber="1" minValue="0" maxValue="404774.28804416669"/>
    </cacheField>
    <cacheField name="OSF internal" numFmtId="0">
      <sharedItems containsString="0" containsBlank="1" containsNumber="1" minValue="0" maxValue="487314.75543865998"/>
    </cacheField>
    <cacheField name="WF" numFmtId="0">
      <sharedItems containsString="0" containsBlank="1" containsNumber="1" minValue="0" maxValue="68167.33600000001"/>
    </cacheField>
    <cacheField name="Caustic" numFmtId="0">
      <sharedItems containsString="0" containsBlank="1" containsNumber="1" minValue="-52350.322050250033" maxValue="37417.665181387441"/>
    </cacheField>
    <cacheField name="Caustic Flow" numFmtId="0">
      <sharedItems containsSemiMixedTypes="0" containsString="0" containsNumber="1" minValue="102.8453387203095" maxValue="183687.14709883189"/>
    </cacheField>
    <cacheField name="Fresh acid Flow" numFmtId="0">
      <sharedItems containsSemiMixedTypes="0" containsString="0" containsNumber="1" minValue="0" maxValue="481182.37088575371"/>
    </cacheField>
    <cacheField name="Fresh acid tank" numFmtId="0">
      <sharedItems containsString="0" containsBlank="1" containsNumber="1" minValue="-48436.508584151197" maxValue="47620.735351414012"/>
    </cacheField>
    <cacheField name="Plant Acid" numFmtId="0">
      <sharedItems containsSemiMixedTypes="0" containsString="0" containsNumber="1" minValue="-3458.2570000000001" maxValue="231205.2260959234"/>
    </cacheField>
    <cacheField name="Bled Acid" numFmtId="0">
      <sharedItems containsSemiMixedTypes="0" containsString="0" containsNumber="1" minValue="-1880.226009690625" maxValue="426257.54690330481"/>
    </cacheField>
    <cacheField name="output" numFmtId="0">
      <sharedItems containsSemiMixedTypes="0" containsString="0" containsNumber="1" minValue="382.27567306909287" maxValue="338633.01276408439"/>
    </cacheField>
    <cacheField name="start" numFmtId="164">
      <sharedItems containsSemiMixedTypes="0" containsNonDate="0" containsDate="1" containsString="0" minDate="2020-01-01T07:00:00" maxDate="2023-09-06T07:00:00" count="498">
        <d v="2020-01-01T07:00:00"/>
        <d v="2020-01-02T07:00:00"/>
        <d v="2020-01-03T07:40:00"/>
        <d v="2020-01-05T02:25:00"/>
        <d v="2020-01-06T06:10:00"/>
        <d v="2020-01-06T19:20:00"/>
        <d v="2020-01-08T03:35:00"/>
        <d v="2020-01-07T21:10:00"/>
        <d v="2020-01-08T18:20:00"/>
        <d v="2020-01-09T13:15:00"/>
        <d v="2020-01-10T00:10:00"/>
        <d v="2020-01-10T13:05:00"/>
        <d v="2020-01-12T11:55:00"/>
        <d v="2020-01-13T01:20:00"/>
        <d v="2020-01-17T12:25:00"/>
        <d v="2020-01-19T23:00:00"/>
        <d v="2020-01-21T22:15:00"/>
        <d v="2020-01-22T22:30:00"/>
        <d v="2020-01-23T22:15:00"/>
        <d v="2020-01-24T10:45:00"/>
        <d v="2020-01-25T04:20:00"/>
        <d v="2020-01-27T09:20:00"/>
        <d v="2020-01-28T04:40:00"/>
        <d v="2020-01-28T14:30:00"/>
        <d v="2020-02-01T07:00:00"/>
        <d v="2020-02-11T19:50:00"/>
        <d v="2020-02-17T17:20:00"/>
        <d v="2020-02-26T07:00:00"/>
        <d v="2020-03-01T07:00:00"/>
        <d v="2020-03-05T07:00:00"/>
        <d v="2020-03-07T07:00:00"/>
        <d v="2020-03-10T07:00:00"/>
        <d v="2020-03-10T11:10:00"/>
        <d v="2020-03-11T07:00:00"/>
        <d v="2020-03-12T15:00:00"/>
        <d v="2020-03-13T01:10:00"/>
        <d v="2020-03-13T07:00:00"/>
        <d v="2020-03-15T01:15:00"/>
        <d v="2020-03-17T02:50:00"/>
        <d v="2020-03-19T03:40:00"/>
        <d v="2020-03-19T23:55:00"/>
        <d v="2020-03-20T14:40:00"/>
        <d v="2020-03-23T07:00:00"/>
        <d v="2020-03-25T07:00:00"/>
        <d v="2020-03-26T07:00:00"/>
        <d v="2020-03-28T07:00:00"/>
        <d v="2020-03-29T18:00:00"/>
        <d v="2020-04-01T07:00:00"/>
        <d v="2020-04-14T07:00:00"/>
        <d v="2020-05-01T07:00:00"/>
        <d v="2020-05-06T07:00:00"/>
        <d v="2020-05-08T07:00:00"/>
        <d v="2020-05-10T07:00:00"/>
        <d v="2020-05-11T20:40:00"/>
        <d v="2020-05-12T07:00:00"/>
        <d v="2020-05-13T02:05:00"/>
        <d v="2020-05-13T06:35:00"/>
        <d v="2020-05-12T12:45:00"/>
        <d v="2020-05-13T20:45:00"/>
        <d v="2020-05-15T22:15:00"/>
        <d v="2020-05-18T07:00:00"/>
        <d v="2020-05-20T22:20:00"/>
        <d v="2020-05-20T08:30:00"/>
        <d v="2020-05-21T08:20:00"/>
        <d v="2020-05-22T10:20:00"/>
        <d v="2020-05-23T16:30:00"/>
        <d v="2020-05-25T07:00:00"/>
        <d v="2020-05-26T13:45:00"/>
        <d v="2020-05-28T07:00:00"/>
        <d v="2020-05-29T05:05:00"/>
        <d v="2020-06-01T07:00:00"/>
        <d v="2020-06-01T20:00:00"/>
        <d v="2020-06-02T07:00:00"/>
        <d v="2020-06-03T07:00:00"/>
        <d v="2020-07-16T21:00:00"/>
        <d v="2020-07-18T17:15:00"/>
        <d v="2020-07-19T19:00:00"/>
        <d v="2020-07-20T16:45:00"/>
        <d v="2020-07-22T07:00:00"/>
        <d v="2020-07-23T15:00:00"/>
        <d v="2020-07-25T07:00:00"/>
        <d v="2020-07-25T19:30:00"/>
        <d v="2020-07-28T01:00:00"/>
        <d v="2020-07-27T17:00:00"/>
        <d v="2020-07-28T06:20:00"/>
        <d v="2020-07-28T19:15:00"/>
        <d v="2020-07-29T06:10:00"/>
        <d v="2020-08-02T03:45:00"/>
        <d v="2020-08-01T11:00:00"/>
        <d v="2020-08-02T09:30:00"/>
        <d v="2020-08-03T18:25:00"/>
        <d v="2020-08-04T22:15:00"/>
        <d v="2020-08-05T17:45:00"/>
        <d v="2020-08-06T09:30:00"/>
        <d v="2020-08-07T08:00:00"/>
        <d v="2020-08-09T18:15:00"/>
        <d v="2020-08-13T05:30:00"/>
        <d v="2020-08-12T10:00:00"/>
        <d v="2020-08-14T01:00:00"/>
        <d v="2020-08-14T16:10:00"/>
        <d v="2020-08-15T03:30:00"/>
        <d v="2020-08-17T16:15:00"/>
        <d v="2020-08-18T05:45:00"/>
        <d v="2020-08-19T21:30:00"/>
        <d v="2020-08-20T09:30:00"/>
        <d v="2020-08-21T09:10:00"/>
        <d v="2020-08-22T05:35:00"/>
        <d v="2020-08-23T03:50:00"/>
        <d v="2020-08-22T07:00:00"/>
        <d v="2020-08-26T07:00:00"/>
        <d v="2020-08-27T06:00:00"/>
        <d v="2020-08-27T19:00:00"/>
        <d v="2020-08-28T02:10:00"/>
        <d v="2020-08-28T11:00:00"/>
        <d v="2020-08-29T10:30:00"/>
        <d v="2020-08-29T17:50:00"/>
        <d v="2020-08-30T21:25:00"/>
        <d v="2020-08-31T12:00:00"/>
        <d v="2020-09-01T07:00:00"/>
        <d v="2020-09-01T23:00:00"/>
        <d v="2020-09-02T13:45:00"/>
        <d v="2020-09-02T22:00:00"/>
        <d v="2020-09-03T07:00:00"/>
        <d v="2020-09-04T03:50:00"/>
        <d v="2020-09-04T22:00:00"/>
        <d v="2020-09-05T10:25:00"/>
        <d v="2020-09-06T16:30:00"/>
        <d v="2020-09-08T07:00:00"/>
        <d v="2020-09-09T07:00:00"/>
        <d v="2020-09-15T07:00:00"/>
        <d v="2020-10-01T07:00:00"/>
        <d v="2020-09-25T21:00:00"/>
        <d v="2020-10-05T16:10:00"/>
        <d v="2020-12-01T07:00:00"/>
        <d v="2020-12-21T14:15:00"/>
        <d v="2020-12-22T02:30:00"/>
        <d v="2020-12-22T05:50:00"/>
        <d v="2020-12-23T05:30:00"/>
        <d v="2020-12-22T07:00:00"/>
        <d v="2020-12-26T03:00:00"/>
        <d v="2021-01-01T07:00:00"/>
        <d v="2021-01-03T18:50:00"/>
        <d v="2021-01-05T11:15:00"/>
        <d v="2021-01-06T11:05:00"/>
        <d v="2021-01-08T14:00:00"/>
        <d v="2021-01-10T00:00:00"/>
        <d v="2021-01-12T01:30:00"/>
        <d v="2021-01-13T06:30:00"/>
        <d v="2021-01-13T15:30:00"/>
        <d v="2021-01-14T22:30:00"/>
        <d v="2021-01-15T14:00:00"/>
        <d v="2021-01-16T13:50:00"/>
        <d v="2021-01-17T10:30:00"/>
        <d v="2021-01-20T14:15:00"/>
        <d v="2021-01-22T04:30:00"/>
        <d v="2021-01-24T18:40:00"/>
        <d v="2021-01-24T07:30:00"/>
        <d v="2021-02-01T07:00:00"/>
        <d v="2021-02-22T07:00:00"/>
        <d v="2021-02-24T07:00:00"/>
        <d v="2021-02-25T13:30:00"/>
        <d v="2021-03-01T07:00:00"/>
        <d v="2021-03-03T03:30:00"/>
        <d v="2021-03-02T13:30:00"/>
        <d v="2021-03-03T09:10:00"/>
        <d v="2021-03-08T19:00:00"/>
        <d v="2021-03-09T01:30:00"/>
        <d v="2021-03-10T05:00:00"/>
        <d v="2021-03-10T23:15:00"/>
        <d v="2021-03-13T11:20:00"/>
        <d v="2021-03-14T01:15:00"/>
        <d v="2021-03-15T23:25:00"/>
        <d v="2021-03-16T07:45:00"/>
        <d v="2021-03-19T22:20:00"/>
        <d v="2021-03-19T10:00:00"/>
        <d v="2021-03-20T07:00:00"/>
        <d v="2021-03-22T23:00:00"/>
        <d v="2021-03-23T21:00:00"/>
        <d v="2021-03-27T13:00:00"/>
        <d v="2021-03-29T05:00:00"/>
        <d v="2021-03-29T07:00:00"/>
        <d v="2021-03-29T07:30:00"/>
        <d v="2021-03-31T02:35:00"/>
        <d v="2021-03-30T21:50:00"/>
        <d v="2021-03-31T09:15:00"/>
        <d v="2021-04-01T17:10:00"/>
        <d v="2021-03-31T16:00:00"/>
        <d v="2021-04-01T14:00:00"/>
        <d v="2021-04-06T09:00:00"/>
        <d v="2021-04-09T11:35:00"/>
        <d v="2021-04-11T05:00:00"/>
        <d v="2021-04-16T02:25:00"/>
        <d v="2021-04-18T05:35:00"/>
        <d v="2021-04-20T05:05:00"/>
        <d v="2021-04-19T08:50:00"/>
        <d v="2021-04-21T05:35:00"/>
        <d v="2021-04-21T07:00:00"/>
        <d v="2021-04-23T21:25:00"/>
        <d v="2021-04-24T03:00:00"/>
        <d v="2021-04-24T14:20:00"/>
        <d v="2021-05-01T07:00:00"/>
        <d v="2021-05-07T07:00:00"/>
        <d v="2021-05-11T07:00:00"/>
        <d v="2021-05-12T07:00:00"/>
        <d v="2021-05-14T22:30:00"/>
        <d v="2021-05-22T07:00:00"/>
        <d v="2021-05-23T08:00:00"/>
        <d v="2021-05-29T02:00:00"/>
        <d v="2021-05-28T14:00:00"/>
        <d v="2021-05-29T07:00:00"/>
        <d v="2021-05-31T10:30:00"/>
        <d v="2021-06-01T07:00:00"/>
        <d v="2021-06-04T12:10:00"/>
        <d v="2021-06-11T14:00:00"/>
        <d v="2021-06-12T03:00:00"/>
        <d v="2021-06-12T21:50:00"/>
        <d v="2021-06-15T01:40:00"/>
        <d v="2021-06-15T16:30:00"/>
        <d v="2021-06-16T18:40:00"/>
        <d v="2021-06-18T02:00:00"/>
        <d v="2021-06-18T21:00:00"/>
        <d v="2021-06-21T20:30:00"/>
        <d v="2021-06-22T20:00:00"/>
        <d v="2021-06-23T04:30:00"/>
        <d v="2021-06-23T07:00:00"/>
        <d v="2021-06-23T23:45:00"/>
        <d v="2021-06-26T21:00:00"/>
        <d v="2021-06-26T07:30:00"/>
        <d v="2021-06-27T19:30:00"/>
        <d v="2021-06-28T16:00:00"/>
        <d v="2021-06-28T07:00:00"/>
        <d v="2021-06-29T20:00:00"/>
        <d v="2021-07-01T07:00:00"/>
        <d v="2021-06-29T13:40:00"/>
        <d v="2021-07-02T03:00:00"/>
        <d v="2021-07-05T15:30:00"/>
        <d v="2021-07-06T01:15:00"/>
        <d v="2021-07-06T19:10:00"/>
        <d v="2021-07-07T00:05:00"/>
        <d v="2021-07-07T07:00:00"/>
        <d v="2021-07-08T17:10:00"/>
        <d v="2021-07-09T21:45:00"/>
        <d v="2021-07-09T14:00:00"/>
        <d v="2021-07-10T05:50:00"/>
        <d v="2021-07-10T20:40:00"/>
        <d v="2021-07-11T05:15:00"/>
        <d v="2021-07-11T20:00:00"/>
        <d v="2021-07-12T00:25:00"/>
        <d v="2021-07-12T19:55:00"/>
        <d v="2021-07-14T11:00:00"/>
        <d v="2021-07-15T09:35:00"/>
        <d v="2021-07-17T05:30:00"/>
        <d v="2021-07-18T00:00:00"/>
        <d v="2021-07-18T21:00:00"/>
        <d v="2021-07-18T08:20:00"/>
        <d v="2021-07-19T05:45:00"/>
        <d v="2021-07-19T19:45:00"/>
        <d v="2021-07-21T09:30:00"/>
        <d v="2021-07-22T12:10:00"/>
        <d v="2021-07-24T04:00:00"/>
        <d v="2021-07-24T21:20:00"/>
        <d v="2021-07-25T17:30:00"/>
        <d v="2021-07-26T02:30:00"/>
        <d v="2021-08-01T07:00:00"/>
        <d v="2021-08-11T15:50:00"/>
        <d v="2021-08-21T07:00:00"/>
        <d v="2021-10-01T07:00:00"/>
        <d v="2021-10-11T17:50:00"/>
        <d v="2021-10-17T13:00:00"/>
        <d v="2021-10-20T10:30:00"/>
        <d v="2021-10-24T09:00:00"/>
        <d v="2021-10-28T07:00:00"/>
        <d v="2021-10-30T03:20:00"/>
        <d v="2021-11-01T07:00:00"/>
        <d v="2021-11-03T00:20:00"/>
        <d v="2021-11-03T07:00:00"/>
        <d v="2021-11-07T07:00:00"/>
        <d v="2021-11-09T07:00:00"/>
        <d v="2021-11-10T07:00:00"/>
        <d v="2021-11-29T07:00:00"/>
        <d v="2021-11-30T07:00:00"/>
        <d v="2022-01-02T01:00:00"/>
        <d v="2022-01-01T07:00:00"/>
        <d v="2022-01-02T06:00:00"/>
        <d v="2022-01-02T14:15:00"/>
        <d v="2022-01-04T11:50:00"/>
        <d v="2022-01-10T07:00:00"/>
        <d v="2022-01-11T07:00:00"/>
        <d v="2022-01-13T07:00:00"/>
        <d v="2022-02-01T07:00:00"/>
        <d v="2022-02-05T18:45:00"/>
        <d v="2022-02-07T07:00:00"/>
        <d v="2022-02-12T02:00:00"/>
        <d v="2022-02-14T07:00:00"/>
        <d v="2022-02-15T22:00:00"/>
        <d v="2022-02-15T12:50:00"/>
        <d v="2022-02-16T03:45:00"/>
        <d v="2022-02-15T07:00:00"/>
        <d v="2022-02-17T06:00:00"/>
        <d v="2022-02-17T07:00:00"/>
        <d v="2022-02-18T19:30:00"/>
        <d v="2022-02-19T16:35:00"/>
        <d v="2022-03-01T17:15:00"/>
        <d v="2022-02-20T22:00:00"/>
        <d v="2022-02-24T07:00:00"/>
        <d v="2022-03-01T07:00:00"/>
        <d v="2022-02-26T15:25:00"/>
        <d v="2022-03-03T03:45:00"/>
        <d v="2022-03-03T07:00:00"/>
        <d v="2022-03-05T05:15:00"/>
        <d v="2022-03-06T23:00:00"/>
        <d v="2022-03-09T03:28:00"/>
        <d v="2022-03-10T04:05:00"/>
        <d v="2022-03-16T06:00:00"/>
        <d v="2022-03-16T07:00:00"/>
        <d v="2022-03-17T21:05:00"/>
        <d v="2022-03-19T07:00:00"/>
        <d v="2022-03-20T17:00:00"/>
        <d v="2022-05-01T07:00:00"/>
        <d v="2022-05-04T07:00:00"/>
        <d v="2022-05-18T18:50:00"/>
        <d v="2022-05-19T15:55:00"/>
        <d v="2022-05-19T07:00:00"/>
        <d v="2022-05-25T15:15:00"/>
        <d v="2022-05-26T02:00:00"/>
        <d v="2022-05-26T07:00:00"/>
        <d v="2022-06-01T07:00:00"/>
        <d v="2022-06-02T13:15:00"/>
        <d v="2022-06-03T08:10:00"/>
        <d v="2022-06-05T03:50:00"/>
        <d v="2022-06-05T22:30:00"/>
        <d v="2022-06-07T01:00:00"/>
        <d v="2022-06-08T22:10:00"/>
        <d v="2022-06-13T06:00:00"/>
        <d v="2022-06-16T01:30:00"/>
        <d v="2022-06-17T04:30:00"/>
        <d v="2022-06-17T20:40:00"/>
        <d v="2022-06-22T06:05:00"/>
        <d v="2022-06-24T18:30:00"/>
        <d v="2022-06-26T04:00:00"/>
        <d v="2022-06-27T19:00:00"/>
        <d v="2022-06-27T22:00:00"/>
        <d v="2022-07-01T07:00:00"/>
        <d v="2022-07-03T17:20:00"/>
        <d v="2022-07-05T11:30:00"/>
        <d v="2022-07-10T07:00:00"/>
        <d v="2022-07-19T07:00:00"/>
        <d v="2022-07-21T19:15:00"/>
        <d v="2022-07-23T01:10:00"/>
        <d v="2022-07-24T04:30:00"/>
        <d v="2022-07-23T08:00:00"/>
        <d v="2022-07-23T16:50:00"/>
        <d v="2022-07-25T02:40:00"/>
        <d v="2022-07-25T10:40:00"/>
        <d v="2022-07-26T01:25:00"/>
        <d v="2022-07-28T07:40:00"/>
        <d v="2022-08-01T07:00:00"/>
        <d v="2022-07-30T06:20:00"/>
        <d v="2022-07-29T10:20:00"/>
        <d v="2022-08-01T12:50:00"/>
        <d v="2022-08-02T20:25:00"/>
        <d v="2022-08-05T17:50:00"/>
        <d v="2022-08-10T18:30:00"/>
        <d v="2022-08-11T07:00:00"/>
        <d v="2022-08-11T07:45:00"/>
        <d v="2022-08-12T21:00:00"/>
        <d v="2022-08-12T08:20:00"/>
        <d v="2022-08-14T09:30:00"/>
        <d v="2022-08-14T18:00:00"/>
        <d v="2022-08-14T07:00:00"/>
        <d v="2022-08-15T15:20:00"/>
        <d v="2022-08-17T12:25:00"/>
        <d v="2022-08-19T10:55:00"/>
        <d v="2022-08-24T05:10:00"/>
        <d v="2022-09-15T10:50:00"/>
        <d v="2022-09-18T00:30:00"/>
        <d v="2022-09-19T00:10:00"/>
        <d v="2022-09-22T21:30:00"/>
        <d v="2022-09-22T08:15:00"/>
        <d v="2022-09-24T16:50:00"/>
        <d v="2022-09-24T07:00:00"/>
        <d v="2022-09-26T15:20:00"/>
        <d v="2022-09-28T18:40:00"/>
        <d v="2022-10-01T07:00:00"/>
        <d v="2022-09-29T07:20:00"/>
        <d v="2022-10-01T19:45:00"/>
        <d v="2022-10-02T07:00:00"/>
        <d v="2022-10-04T23:50:00"/>
        <d v="2022-10-05T17:25:00"/>
        <d v="2022-10-06T13:00:00"/>
        <d v="2022-10-07T08:45:00"/>
        <d v="2022-10-11T09:20:00"/>
        <d v="2022-10-12T16:00:00"/>
        <d v="2022-10-13T23:00:00"/>
        <d v="2022-10-15T15:05:00"/>
        <d v="2022-10-16T09:00:00"/>
        <d v="2022-11-01T07:00:00"/>
        <d v="2022-11-04T10:45:00"/>
        <d v="2022-11-06T11:20:00"/>
        <d v="2022-11-17T11:00:00"/>
        <d v="2022-11-20T11:25:00"/>
        <d v="2022-11-21T15:30:00"/>
        <d v="2022-11-23T01:10:00"/>
        <d v="2022-11-23T17:15:00"/>
        <d v="2022-11-24T17:15:00"/>
        <d v="2022-11-24T21:30:00"/>
        <d v="2022-11-25T03:45:00"/>
        <d v="2022-12-01T07:00:00"/>
        <d v="2022-12-04T04:00:00"/>
        <d v="2022-12-04T07:00:00"/>
        <d v="2022-12-05T22:15:00"/>
        <d v="2022-12-05T11:55:00"/>
        <d v="2022-12-11T02:30:00"/>
        <d v="2022-12-11T22:30:00"/>
        <d v="2022-12-17T09:35:00"/>
        <d v="2022-12-21T22:45:00"/>
        <d v="2022-12-23T18:25:00"/>
        <d v="2022-12-25T03:55:00"/>
        <d v="2022-12-27T11:45:00"/>
        <d v="2022-12-28T07:05:00"/>
        <d v="2023-01-02T18:40:00"/>
        <d v="2022-12-29T09:15:00"/>
        <d v="2022-12-31T12:20:00"/>
        <d v="2023-01-01T07:00:00"/>
        <d v="2023-01-03T05:15:00"/>
        <d v="2023-01-02T07:00:00"/>
        <d v="2023-01-04T06:45:00"/>
        <d v="2023-01-05T16:10:00"/>
        <d v="2023-01-05T08:10:00"/>
        <d v="2023-01-06T12:40:00"/>
        <d v="2023-01-09T14:45:00"/>
        <d v="2023-01-09T15:10:00"/>
        <d v="2023-01-09T07:00:00"/>
        <d v="2023-03-01T07:00:00"/>
        <d v="2023-03-07T20:45:00"/>
        <d v="2023-03-09T19:40:00"/>
        <d v="2023-03-10T02:25:00"/>
        <d v="2023-03-13T08:10:00"/>
        <d v="2023-03-16T07:00:00"/>
        <d v="2023-03-16T22:30:00"/>
        <d v="2023-03-17T16:30:00"/>
        <d v="2023-03-23T21:20:00"/>
        <d v="2023-03-24T04:35:00"/>
        <d v="2023-03-24T20:00:00"/>
        <d v="2023-04-01T07:00:00"/>
        <d v="2023-04-02T01:00:00"/>
        <d v="2023-04-01T11:45:00"/>
        <d v="2023-04-02T12:55:00"/>
        <d v="2023-04-26T13:35:00"/>
        <d v="2023-05-03T15:00:00"/>
        <d v="2023-05-24T12:00:00"/>
        <d v="2023-06-02T07:00:00"/>
        <d v="2023-06-04T15:00:00"/>
        <d v="2023-06-08T17:30:00"/>
        <d v="2023-06-15T19:40:00"/>
        <d v="2023-06-22T15:30:00"/>
        <d v="2023-06-23T23:35:00"/>
        <d v="2023-06-27T04:15:00"/>
        <d v="2023-06-26T09:40:00"/>
        <d v="2023-06-26T19:45:00"/>
        <d v="2023-06-28T03:00:00"/>
        <d v="2023-07-01T07:00:00"/>
        <d v="2023-07-02T03:55:00"/>
        <d v="2023-07-03T14:00:00"/>
        <d v="2023-07-04T08:30:00"/>
        <d v="2023-07-05T19:15:00"/>
        <d v="2023-07-05T10:10:00"/>
        <d v="2023-07-05T07:45:00"/>
        <d v="2023-07-06T15:30:00"/>
        <d v="2023-07-07T10:20:00"/>
        <d v="2023-07-08T05:00:00"/>
        <d v="2023-07-09T05:10:00"/>
        <d v="2023-07-10T04:30:00"/>
        <d v="2023-07-12T06:05:00"/>
        <d v="2023-07-13T04:45:00"/>
        <d v="2023-07-14T01:25:00"/>
        <d v="2023-07-14T07:00:00"/>
        <d v="2023-07-16T03:50:00"/>
        <d v="2023-07-17T07:00:00"/>
        <d v="2023-07-18T00:00:00"/>
        <d v="2023-07-18T15:40:00"/>
        <d v="2023-07-18T21:30:00"/>
        <d v="2023-08-16T11:40:00"/>
        <d v="2023-08-16T17:10:00"/>
        <d v="2023-08-17T04:05:00"/>
        <d v="2023-08-17T07:00:00"/>
        <d v="2023-08-19T23:45:00"/>
        <d v="2023-08-19T07:00:00"/>
        <d v="2023-08-19T12:45:00"/>
        <d v="2023-08-24T12:45:00"/>
        <d v="2023-08-26T07:00:00"/>
        <d v="2023-09-01T07:00:00"/>
        <d v="2023-09-01T14:30:00"/>
        <d v="2023-09-01T20:00:00"/>
        <d v="2023-09-02T13:00:00"/>
        <d v="2023-09-03T01:00:00"/>
        <d v="2023-09-03T13:00:00"/>
        <d v="2023-09-06T07:00:00"/>
      </sharedItems>
      <fieldGroup par="38" base="15">
        <rangePr groupBy="months" startDate="2020-01-01T07:00:00" endDate="2023-09-06T07:00:00"/>
        <groupItems count="14">
          <s v="&lt;01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9/2023"/>
        </groupItems>
      </fieldGroup>
    </cacheField>
    <cacheField name="end" numFmtId="164">
      <sharedItems containsSemiMixedTypes="0" containsNonDate="0" containsDate="1" containsString="0" minDate="2020-01-02T10:10:00" maxDate="2023-09-15T06:45:00"/>
    </cacheField>
    <cacheField name="Sawdust check" numFmtId="0">
      <sharedItems containsSemiMixedTypes="0" containsString="0" containsNumber="1" minValue="0" maxValue="44778120.993008807"/>
    </cacheField>
    <cacheField name="Sawdust moisture" numFmtId="0">
      <sharedItems containsString="0" containsBlank="1" containsNumber="1" minValue="4.9658873427005217" maxValue="13.79148236840172"/>
    </cacheField>
    <cacheField name="Hours per MT" numFmtId="0">
      <sharedItems containsSemiMixedTypes="0" containsString="0" containsNumber="1" minValue="0.36808009422850418" maxValue="2.5688541264335214"/>
    </cacheField>
    <cacheField name="Sawdust per MT" numFmtId="0">
      <sharedItems containsSemiMixedTypes="0" containsString="0" containsNumber="1" minValue="0" maxValue="2564.0667679182911"/>
    </cacheField>
    <cacheField name="OSF per MT" numFmtId="0">
      <sharedItems containsSemiMixedTypes="0" containsString="0" containsNumber="1" minValue="0" maxValue="2274.0000000000005"/>
    </cacheField>
    <cacheField name="OSF External per MT" numFmtId="0">
      <sharedItems containsSemiMixedTypes="0" containsString="0" containsNumber="1" minValue="0" maxValue="2272.0000000000009"/>
    </cacheField>
    <cacheField name="OSF internal per MT" numFmtId="0">
      <sharedItems containsSemiMixedTypes="0" containsString="0" containsNumber="1" minValue="0" maxValue="2187.6181940486235"/>
    </cacheField>
    <cacheField name="WF per MT" numFmtId="0">
      <sharedItems containsSemiMixedTypes="0" containsString="0" containsNumber="1" minValue="0" maxValue="554.00000000000023"/>
    </cacheField>
    <cacheField name="Caustic per MT" numFmtId="0">
      <sharedItems containsSemiMixedTypes="0" containsString="0" containsNumber="1" minValue="-5371.3145394144103" maxValue="1920.9315680745062"/>
    </cacheField>
    <cacheField name="Caustic Flow per MT" numFmtId="0">
      <sharedItems containsSemiMixedTypes="0" containsString="0" containsNumber="1" minValue="110.19337869472815" maxValue="1856.4737527444033"/>
    </cacheField>
    <cacheField name="Fresh acid Flow per MT" numFmtId="0">
      <sharedItems containsSemiMixedTypes="0" containsString="0" containsNumber="1" minValue="0" maxValue="1943.7543854241869"/>
    </cacheField>
    <cacheField name="Fresh acid tank per MT" numFmtId="0">
      <sharedItems containsSemiMixedTypes="0" containsString="0" containsNumber="1" minValue="-3734.7943725579585" maxValue="4882.9109366323555"/>
    </cacheField>
    <cacheField name="Plant Acid per MT" numFmtId="0">
      <sharedItems containsSemiMixedTypes="0" containsString="0" containsNumber="1" minValue="-253" maxValue="1770.1218732231744"/>
    </cacheField>
    <cacheField name="Bled Acid per MT" numFmtId="0">
      <sharedItems containsSemiMixedTypes="0" containsString="0" containsNumber="1" minValue="-68.14424898091815" maxValue="2079.725056452492"/>
    </cacheField>
    <cacheField name="output per MT" numFmtId="0">
      <sharedItems containsSemiMixedTypes="0" containsString="0" containsNumber="1" minValue="999.99999999999989" maxValue="1000.0000000000001"/>
    </cacheField>
    <cacheField name="Saw dust check" numFmtId="0">
      <sharedItems containsSemiMixedTypes="0" containsString="0" containsNumber="1" minValue="-1353668.2290964902" maxValue="2272.7804287313215"/>
    </cacheField>
    <cacheField name="Sawdust check per MT" numFmtId="0">
      <sharedItems containsSemiMixedTypes="0" containsString="0" containsNumber="1" minValue="0" maxValue="1355920.4511448254"/>
    </cacheField>
    <cacheField name="Sawdust Yeild" numFmtId="10">
      <sharedItems containsSemiMixedTypes="0" containsString="0" containsNumber="1" minValue="0" maxValue="2.7332750634192098"/>
    </cacheField>
    <cacheField name="OSF Yeild" numFmtId="10">
      <sharedItems containsSemiMixedTypes="0" containsString="0" containsNumber="1" minValue="0" maxValue="0.47623110177766947"/>
    </cacheField>
    <cacheField name="Sawduct Check Yeild" numFmtId="10">
      <sharedItems containsSemiMixedTypes="0" containsString="0" containsNumber="1" minValue="0" maxValue="4554.3299267573602"/>
    </cacheField>
    <cacheField name="Quarters" numFmtId="0" databaseField="0">
      <fieldGroup base="15">
        <rangePr groupBy="quarters" startDate="2020-01-01T07:00:00" endDate="2023-09-06T07:00:00"/>
        <groupItems count="6">
          <s v="&lt;01/01/2020"/>
          <s v="Qtr1"/>
          <s v="Qtr2"/>
          <s v="Qtr3"/>
          <s v="Qtr4"/>
          <s v="&gt;06/09/2023"/>
        </groupItems>
      </fieldGroup>
    </cacheField>
    <cacheField name="Years" numFmtId="0" databaseField="0">
      <fieldGroup base="15">
        <rangePr groupBy="years" startDate="2020-01-01T07:00:00" endDate="2023-09-06T07:00:00"/>
        <groupItems count="6">
          <s v="&lt;01/01/2020"/>
          <s v="2020"/>
          <s v="2021"/>
          <s v="2022"/>
          <s v="2023"/>
          <s v="&gt;06/0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x v="0"/>
    <n v="27.166666666666671"/>
    <n v="0"/>
    <n v="44815.728333333369"/>
    <n v="7618.6738166666728"/>
    <n v="37197.054516666693"/>
    <n v="0"/>
    <n v="-14623.224363284309"/>
    <n v="12543"/>
    <n v="32402"/>
    <n v="-25061.469388384161"/>
    <n v="0"/>
    <n v="28345"/>
    <n v="21341.09523809524"/>
    <x v="0"/>
    <d v="2020-01-02T10:10:00"/>
    <n v="37.397790934802778"/>
    <n v="5.0041666030883789"/>
    <n v="1.2729743419247015"/>
    <n v="0"/>
    <n v="2099.9732128712112"/>
    <n v="356.99544618810592"/>
    <n v="1742.9777666831053"/>
    <n v="0"/>
    <n v="-685.21433413505895"/>
    <n v="587.7392823593201"/>
    <n v="1518.2913359648162"/>
    <n v="-1174.3291105157439"/>
    <n v="0"/>
    <n v="1328.1886277983679"/>
    <n v="999.99999999999989"/>
    <n v="-1.7523838639755138"/>
    <n v="1.7523838639755138"/>
    <n v="0"/>
    <n v="0.47619655044682169"/>
    <n v="570.65122577160014"/>
  </r>
  <r>
    <x v="1"/>
    <x v="1"/>
    <n v="5.333333333333333"/>
    <n v="10913"/>
    <m/>
    <m/>
    <m/>
    <m/>
    <n v="1570.978427785242"/>
    <n v="2254"/>
    <n v="2111"/>
    <n v="1313.7109992818951"/>
    <n v="0"/>
    <n v="618"/>
    <n v="5022.0892774965487"/>
    <x v="1"/>
    <d v="2020-01-02T12:20:00"/>
    <n v="10.041995444544909"/>
    <n v="5.0041666030883789"/>
    <n v="1.0619750145086899"/>
    <n v="2173"/>
    <n v="0"/>
    <n v="0"/>
    <n v="0"/>
    <n v="0"/>
    <n v="312.81371974501337"/>
    <n v="448.81719050673507"/>
    <n v="420.34298543022084"/>
    <n v="261.58654828549049"/>
    <n v="0"/>
    <n v="123.05635480619445"/>
    <n v="999.99999999999989"/>
    <n v="2171.0004347016406"/>
    <n v="1.9995652983593959"/>
    <n v="0.46019328117809483"/>
    <n v="0"/>
    <n v="500.10869903597563"/>
  </r>
  <r>
    <x v="2"/>
    <x v="2"/>
    <n v="10.5"/>
    <n v="22966.988540531231"/>
    <m/>
    <m/>
    <m/>
    <m/>
    <n v="4526.039134470615"/>
    <n v="3879"/>
    <n v="3780"/>
    <n v="4587.2792663980208"/>
    <n v="0"/>
    <n v="1407"/>
    <n v="10569.25381524677"/>
    <x v="1"/>
    <d v="2020-01-02T17:30:00"/>
    <n v="12824.285821677409"/>
    <n v="9.5535442821131458"/>
    <n v="0.99344761546488103"/>
    <n v="2173"/>
    <n v="0"/>
    <n v="0"/>
    <n v="0"/>
    <n v="0"/>
    <n v="428.22693196576824"/>
    <n v="367.00793337031178"/>
    <n v="357.64114156735718"/>
    <n v="434.02110939758126"/>
    <n v="0"/>
    <n v="133.12198047229407"/>
    <n v="1000"/>
    <n v="959.64226956328525"/>
    <n v="1213.3577304367147"/>
    <n v="0.46019328117809477"/>
    <n v="0"/>
    <n v="0.8241592523913599"/>
  </r>
  <r>
    <x v="3"/>
    <x v="3"/>
    <n v="43.333333333333329"/>
    <n v="93551"/>
    <m/>
    <m/>
    <m/>
    <m/>
    <n v="11802.558097208759"/>
    <n v="11803"/>
    <n v="15644"/>
    <n v="-13036.663284314211"/>
    <n v="0"/>
    <n v="6072"/>
    <n v="36486.349453978153"/>
    <x v="2"/>
    <d v="2020-01-05T02:20:00"/>
    <n v="78782.520735876373"/>
    <n v="9.2225960873963917"/>
    <n v="1.1876587814846091"/>
    <n v="2564.0000000000005"/>
    <n v="0"/>
    <n v="0"/>
    <n v="0"/>
    <n v="0"/>
    <n v="323.47873311074454"/>
    <n v="323.49084456606562"/>
    <n v="428.76309178950527"/>
    <n v="-357.3024837893945"/>
    <n v="0"/>
    <n v="166.41840279633573"/>
    <n v="999.99999999999989"/>
    <n v="404.76724816637989"/>
    <n v="2159.2327518336206"/>
    <n v="0.39001560062402491"/>
    <n v="0"/>
    <n v="0.46312746930630794"/>
  </r>
  <r>
    <x v="4"/>
    <x v="4"/>
    <n v="27"/>
    <n v="55767.436072439967"/>
    <m/>
    <m/>
    <m/>
    <m/>
    <n v="7410.2768496792924"/>
    <n v="7416"/>
    <n v="11295.585099206541"/>
    <n v="11225.328614286989"/>
    <n v="0"/>
    <n v="4310"/>
    <n v="21750.17007505459"/>
    <x v="3"/>
    <d v="2020-01-06T05:20:00"/>
    <n v="49262.362151788038"/>
    <n v="8.3914042967710394"/>
    <n v="1.241369603402158"/>
    <n v="2564"/>
    <n v="0"/>
    <n v="0"/>
    <n v="0"/>
    <n v="0"/>
    <n v="340.69971977728056"/>
    <n v="340.96285106779271"/>
    <n v="519.33318499249435"/>
    <n v="516.1030270361606"/>
    <n v="0"/>
    <n v="198.1593700245667"/>
    <n v="1000"/>
    <n v="299.08151974005204"/>
    <n v="2264.918480259948"/>
    <n v="0.39001560062402496"/>
    <n v="0"/>
    <n v="0.4415169944152818"/>
  </r>
  <r>
    <x v="5"/>
    <x v="5"/>
    <n v="8.9166666666666679"/>
    <n v="18225"/>
    <m/>
    <m/>
    <m/>
    <m/>
    <n v="-25057.487782943928"/>
    <n v="2780.4351226211752"/>
    <n v="2788.930017224196"/>
    <n v="-25942.206640168832"/>
    <n v="0"/>
    <n v="973.51915056434041"/>
    <n v="8885.9093125304717"/>
    <x v="4"/>
    <d v="2020-01-06T15:05:00"/>
    <n v="15528.50925953373"/>
    <n v="8.7289981000563674"/>
    <n v="1.0034613625971653"/>
    <n v="2051.0000000000005"/>
    <n v="0"/>
    <n v="0"/>
    <n v="0"/>
    <n v="0"/>
    <n v="-2819.9126168898765"/>
    <n v="312.90383739347226"/>
    <n v="313.85983348844042"/>
    <n v="-2919.4768624958178"/>
    <n v="0"/>
    <n v="109.5576284119321"/>
    <n v="999.99999999999989"/>
    <n v="303.45692777483259"/>
    <n v="1747.5430722251679"/>
    <n v="0.48756704046806426"/>
    <n v="0"/>
    <n v="0.57223196148561184"/>
  </r>
  <r>
    <x v="6"/>
    <x v="6"/>
    <n v="25.833333333333329"/>
    <n v="55121"/>
    <m/>
    <m/>
    <m/>
    <m/>
    <n v="7839.2311602020181"/>
    <n v="7882"/>
    <n v="2787.1083327493989"/>
    <n v="2828.2452678143668"/>
    <n v="7334.5440954994201"/>
    <n v="696.97241775837085"/>
    <n v="21498.049921996881"/>
    <x v="5"/>
    <d v="2020-01-07T21:10:00"/>
    <n v="47688.201595544917"/>
    <n v="8.3784713096421193"/>
    <n v="1.201659379667761"/>
    <n v="2564"/>
    <n v="0"/>
    <n v="0"/>
    <n v="0"/>
    <n v="0"/>
    <n v="364.6484768918919"/>
    <n v="366.63790569837266"/>
    <n v="129.64470465284481"/>
    <n v="131.55822402851973"/>
    <n v="341.17253063007769"/>
    <n v="32.420262316221816"/>
    <n v="1000"/>
    <n v="345.74291302811707"/>
    <n v="2218.2570869718829"/>
    <n v="0.39001560062402496"/>
    <n v="0"/>
    <n v="0.45080437514349991"/>
  </r>
  <r>
    <x v="7"/>
    <x v="7"/>
    <n v="19.74666666666667"/>
    <n v="58507"/>
    <n v="0"/>
    <m/>
    <m/>
    <m/>
    <n v="6440.219108647113"/>
    <n v="7348"/>
    <n v="0"/>
    <n v="4.3525070602186133"/>
    <n v="8280"/>
    <n v="7001"/>
    <n v="25530.42234931808"/>
    <x v="6"/>
    <d v="2020-01-09T14:09:48"/>
    <n v="88749.473595909163"/>
    <n v="8.9804902579355215"/>
    <n v="0.77345632580943602"/>
    <n v="2291.6581323834907"/>
    <n v="0"/>
    <n v="0"/>
    <n v="0"/>
    <n v="0"/>
    <n v="252.25666150482354"/>
    <n v="287.81349166345717"/>
    <n v="0"/>
    <n v="0.17048315929387159"/>
    <n v="324.31895903285596"/>
    <n v="274.22186379094495"/>
    <n v="1000"/>
    <n v="-1184.5661298555424"/>
    <n v="3476.2242622390331"/>
    <n v="0.43636526141005488"/>
    <n v="0"/>
    <n v="0.28766843694828276"/>
  </r>
  <r>
    <x v="8"/>
    <x v="4"/>
    <n v="6.416666666666667"/>
    <n v="13673"/>
    <n v="0"/>
    <m/>
    <m/>
    <m/>
    <n v="1829.7294701767009"/>
    <n v="1801"/>
    <n v="0"/>
    <n v="-11.344838671107031"/>
    <n v="1645"/>
    <n v="0"/>
    <n v="5332.6833073322932"/>
    <x v="7"/>
    <d v="2020-01-08T03:35:00"/>
    <n v="11841.65766915138"/>
    <n v="8.0946412591601771"/>
    <n v="1.2032716545990882"/>
    <n v="2564"/>
    <n v="0"/>
    <n v="0"/>
    <n v="0"/>
    <n v="0"/>
    <n v="343.11609460491928"/>
    <n v="337.72866232721424"/>
    <n v="0"/>
    <n v="-2.1274165400949627"/>
    <n v="308.47509690631171"/>
    <n v="0"/>
    <n v="1000"/>
    <n v="343.41854284325746"/>
    <n v="2220.5814571567425"/>
    <n v="0.39001560062402496"/>
    <n v="0"/>
    <n v="0.45033250042554679"/>
  </r>
  <r>
    <x v="9"/>
    <x v="8"/>
    <n v="3.416666666666667"/>
    <n v="8821.1760978788407"/>
    <m/>
    <m/>
    <m/>
    <m/>
    <n v="1331.6994700006151"/>
    <n v="839"/>
    <n v="0"/>
    <n v="1.6861329142301431"/>
    <n v="1489"/>
    <n v="1572"/>
    <n v="3880.8517808529868"/>
    <x v="8"/>
    <d v="2020-01-08T21:45:00"/>
    <n v="8821.1922644323386"/>
    <n v="10.047281057022341"/>
    <n v="0.8803909192109638"/>
    <n v="2273"/>
    <n v="0"/>
    <n v="0"/>
    <n v="0"/>
    <n v="0"/>
    <n v="343.14618161168625"/>
    <n v="216.18965303941422"/>
    <n v="0"/>
    <n v="0.4344749579329571"/>
    <n v="383.67865718198783"/>
    <n v="405.06571463403952"/>
    <n v="1000"/>
    <n v="-4.1657229940028628E-3"/>
    <n v="2273.004165722994"/>
    <n v="0.4399472063352397"/>
    <n v="0"/>
    <n v="0.43994640004626717"/>
  </r>
  <r>
    <x v="10"/>
    <x v="1"/>
    <n v="30.916666666666661"/>
    <n v="88828.804894480912"/>
    <m/>
    <m/>
    <m/>
    <m/>
    <n v="11095.319414333529"/>
    <n v="12212"/>
    <n v="703.10575773437495"/>
    <n v="656.94142175404124"/>
    <n v="22584"/>
    <n v="15494.21154522054"/>
    <n v="40877.238331560467"/>
    <x v="9"/>
    <d v="2020-01-17T09:50:00"/>
    <n v="516204.23155451479"/>
    <n v="9.4590861927912346"/>
    <n v="0.75632963303190037"/>
    <n v="2173.0627733209176"/>
    <n v="0"/>
    <n v="0"/>
    <n v="0"/>
    <n v="0"/>
    <n v="271.43025965545877"/>
    <n v="298.74816642325294"/>
    <n v="17.200422201504782"/>
    <n v="16.071081329553284"/>
    <n v="552.48350724719489"/>
    <n v="379.04252287165349"/>
    <n v="1000.0000000000001"/>
    <n v="-10455.095405260443"/>
    <n v="12628.15817858136"/>
    <n v="0.46017998756279838"/>
    <n v="0"/>
    <n v="7.9188111667471958E-2"/>
  </r>
  <r>
    <x v="11"/>
    <x v="9"/>
    <n v="10.16666666666667"/>
    <n v="26172.499856363938"/>
    <m/>
    <m/>
    <m/>
    <m/>
    <n v="-24038.383809685169"/>
    <n v="6181"/>
    <n v="0"/>
    <n v="-52.092710635250228"/>
    <n v="12062"/>
    <n v="4713.4304347497273"/>
    <n v="15058.975751647829"/>
    <x v="10"/>
    <d v="2020-01-10T10:20:00"/>
    <n v="26663.044791184158"/>
    <n v="9.073739556107185"/>
    <n v="0.67512338384329895"/>
    <n v="1738.0000000000007"/>
    <n v="0"/>
    <n v="0"/>
    <n v="0"/>
    <n v="0"/>
    <n v="-1596.2827888247821"/>
    <n v="410.45288218381279"/>
    <n v="0"/>
    <n v="-3.4592465978006492"/>
    <n v="800.98409074602"/>
    <n v="312.99807586408787"/>
    <n v="1000"/>
    <n v="-32.574920294067169"/>
    <n v="1770.5749202940679"/>
    <n v="0.57537399309551185"/>
    <n v="0"/>
    <n v="0.56478830042047234"/>
  </r>
  <r>
    <x v="12"/>
    <x v="2"/>
    <n v="67.083333333333329"/>
    <n v="188401.2564325837"/>
    <m/>
    <m/>
    <m/>
    <m/>
    <n v="23569.565210530931"/>
    <n v="21631"/>
    <n v="5468"/>
    <n v="6477.5618599424552"/>
    <n v="27000.03693745087"/>
    <n v="32153.673442971041"/>
    <n v="86700.992375786314"/>
    <x v="11"/>
    <d v="2020-01-16T16:15:00"/>
    <n v="404938.44170696451"/>
    <n v="9.4844972072682694"/>
    <n v="0.77373201269225877"/>
    <n v="2173.0000000000005"/>
    <n v="0"/>
    <n v="0"/>
    <n v="0"/>
    <n v="0"/>
    <n v="271.84885160684036"/>
    <n v="249.48964720317392"/>
    <n v="63.067328875546899"/>
    <n v="74.711507705320059"/>
    <n v="311.41554666900663"/>
    <n v="370.85704052391969"/>
    <n v="1000.0000000000001"/>
    <n v="-2497.5168027587065"/>
    <n v="4670.5168027587069"/>
    <n v="0.46019328117809472"/>
    <n v="0"/>
    <n v="0.21410906806059146"/>
  </r>
  <r>
    <x v="13"/>
    <x v="1"/>
    <n v="82.416666666666671"/>
    <n v="220273.5414100436"/>
    <m/>
    <m/>
    <m/>
    <m/>
    <n v="-52350.322050250033"/>
    <n v="28625"/>
    <n v="1680"/>
    <n v="440.32182356032479"/>
    <n v="59461.538595224061"/>
    <n v="47165"/>
    <n v="101368.7236125373"/>
    <x v="12"/>
    <d v="2020-01-21T08:55:00"/>
    <n v="583261.20010601485"/>
    <n v="9.7896761964657024"/>
    <n v="0.81303841786238451"/>
    <n v="2172.9931438418557"/>
    <n v="0"/>
    <n v="0"/>
    <n v="0"/>
    <n v="0"/>
    <n v="-516.43465740329532"/>
    <n v="282.38493077424579"/>
    <n v="16.5731592559208"/>
    <n v="4.3437641105492393"/>
    <n v="586.58663615519617"/>
    <n v="465.28158113422893"/>
    <n v="999.99999999999989"/>
    <n v="-3580.8644497036644"/>
    <n v="5753.8575935455201"/>
    <n v="0.46019473316514847"/>
    <n v="0"/>
    <n v="0.17379644590470325"/>
  </r>
  <r>
    <x v="14"/>
    <x v="9"/>
    <n v="8.1666666666666679"/>
    <n v="22074.25237484742"/>
    <m/>
    <m/>
    <m/>
    <m/>
    <n v="2191.602135611894"/>
    <n v="2476"/>
    <n v="200"/>
    <n v="126.8676390107686"/>
    <n v="5369.7383704248296"/>
    <n v="3472"/>
    <n v="12700.95073351405"/>
    <x v="13"/>
    <d v="2020-01-13T09:30:00"/>
    <n v="22073.795696554629"/>
    <n v="8.6980867507782857"/>
    <n v="0.64299648412281862"/>
    <n v="1738"/>
    <n v="0"/>
    <n v="0"/>
    <n v="0"/>
    <n v="0"/>
    <n v="172.55417972993979"/>
    <n v="194.94603608425697"/>
    <n v="15.746852672395555"/>
    <n v="9.9888301019861814"/>
    <n v="422.7823950419459"/>
    <n v="273.36536239278684"/>
    <n v="1000"/>
    <n v="3.5956228976374405E-2"/>
    <n v="1737.9640437710236"/>
    <n v="0.57537399309551207"/>
    <n v="0"/>
    <n v="0.57538589683950314"/>
  </r>
  <r>
    <x v="15"/>
    <x v="2"/>
    <n v="25.983333333333331"/>
    <n v="71370.247531949281"/>
    <m/>
    <m/>
    <m/>
    <m/>
    <n v="12945.7728717955"/>
    <n v="11929"/>
    <n v="100"/>
    <n v="506.04145442765969"/>
    <n v="12829"/>
    <n v="8896"/>
    <n v="32844.108390220557"/>
    <x v="14"/>
    <d v="2020-01-19T22:09:00"/>
    <n v="156187.999211519"/>
    <n v="9.6589527283028769"/>
    <n v="0.79111093608100369"/>
    <n v="2173.0000000000005"/>
    <n v="0"/>
    <n v="0"/>
    <n v="0"/>
    <n v="0"/>
    <n v="394.15814605124575"/>
    <n v="363.20060384260267"/>
    <n v="3.0446860913957807"/>
    <n v="15.407373779655874"/>
    <n v="390.60277866516475"/>
    <n v="270.85527469056865"/>
    <n v="1000"/>
    <n v="-2582.4342884224702"/>
    <n v="4755.4342884224707"/>
    <n v="0.46019328117809472"/>
    <n v="0"/>
    <n v="0.21028573613867177"/>
  </r>
  <r>
    <x v="16"/>
    <x v="10"/>
    <n v="45.19"/>
    <n v="125404.9208596227"/>
    <m/>
    <m/>
    <m/>
    <m/>
    <n v="10851.24279377273"/>
    <n v="18778"/>
    <n v="1254.23319008973"/>
    <n v="1259.703307161828"/>
    <n v="33068"/>
    <n v="26407"/>
    <n v="63726.390589715767"/>
    <x v="15"/>
    <d v="2020-01-23T19:00:00"/>
    <n v="255575.64793596079"/>
    <n v="9.8128300222753193"/>
    <n v="0.70912536520298086"/>
    <n v="1967.8647997970982"/>
    <n v="0"/>
    <n v="0"/>
    <n v="0"/>
    <n v="0"/>
    <n v="170.27863485373538"/>
    <n v="294.66599043552947"/>
    <n v="19.681535051384813"/>
    <n v="19.767372598772607"/>
    <n v="518.90589901598082"/>
    <n v="414.38091433757728"/>
    <n v="1000"/>
    <n v="-2042.6502406892193"/>
    <n v="4010.5150404863175"/>
    <n v="0.50816499187500463"/>
    <n v="0"/>
    <n v="0.24934453303502371"/>
  </r>
  <r>
    <x v="17"/>
    <x v="9"/>
    <n v="9.1666666666666679"/>
    <n v="24027.53267641077"/>
    <m/>
    <m/>
    <m/>
    <m/>
    <n v="3274.4866333389382"/>
    <n v="3300"/>
    <n v="0"/>
    <n v="-91.903419019715216"/>
    <n v="6621"/>
    <n v="7476"/>
    <n v="13824.81742025936"/>
    <x v="16"/>
    <d v="2020-01-22T08:15:00"/>
    <n v="27577.110039773372"/>
    <n v="10.19236616520997"/>
    <n v="0.66305878681866148"/>
    <n v="1738.0000000000002"/>
    <n v="0"/>
    <n v="0"/>
    <n v="0"/>
    <n v="0"/>
    <n v="236.85568740606971"/>
    <n v="238.7011632547181"/>
    <n v="0"/>
    <n v="-6.6477130385126681"/>
    <n v="478.9213339119662"/>
    <n v="540.76663530068856"/>
    <n v="1000"/>
    <n v="-256.75401384765701"/>
    <n v="1994.7540138476572"/>
    <n v="0.57537399309551207"/>
    <n v="0"/>
    <n v="0.50131494563137236"/>
  </r>
  <r>
    <x v="18"/>
    <x v="11"/>
    <n v="8.41"/>
    <n v="23289"/>
    <m/>
    <m/>
    <m/>
    <m/>
    <n v="9444.9628752023218"/>
    <n v="3470"/>
    <n v="0"/>
    <n v="48.171977224697571"/>
    <n v="6875"/>
    <n v="7087"/>
    <n v="10717.441325356651"/>
    <x v="17"/>
    <d v="2020-01-23T22:15:00"/>
    <n v="67047.399753941078"/>
    <n v="9.8517615547632094"/>
    <n v="0.78470221993215672"/>
    <n v="2173"/>
    <n v="0"/>
    <n v="0"/>
    <n v="0"/>
    <n v="0"/>
    <n v="881.27031335886659"/>
    <n v="323.77130834299453"/>
    <n v="0"/>
    <n v="4.4947274038931599"/>
    <n v="641.47773627034212"/>
    <n v="661.25857701060579"/>
    <n v="1000"/>
    <n v="-4082.9147951957548"/>
    <n v="6255.9147951957548"/>
    <n v="0.46019328117809483"/>
    <n v="0"/>
    <n v="0.15984872440525444"/>
  </r>
  <r>
    <x v="19"/>
    <x v="9"/>
    <n v="12.5"/>
    <n v="35310.521558429231"/>
    <m/>
    <m/>
    <m/>
    <m/>
    <n v="-23205.4615479397"/>
    <n v="4343.5947810834396"/>
    <n v="0"/>
    <n v="-7.1166429110576246"/>
    <n v="10530.157316693079"/>
    <n v="9749.6787635944165"/>
    <n v="20316.75578735859"/>
    <x v="18"/>
    <d v="2020-01-24T10:45:00"/>
    <n v="35310.443619031983"/>
    <n v="8.792026914903321"/>
    <n v="0.6152557096629423"/>
    <n v="1738.0000000000002"/>
    <n v="0"/>
    <n v="0"/>
    <n v="0"/>
    <n v="0"/>
    <n v="-1142.1834170187008"/>
    <n v="213.79371916189953"/>
    <n v="0"/>
    <n v="-0.3502844147728405"/>
    <n v="518.29915301955396"/>
    <n v="479.88364213448011"/>
    <n v="1000"/>
    <n v="3.8362127334039542E-3"/>
    <n v="1737.9961637872668"/>
    <n v="0.57537399309551207"/>
    <n v="0"/>
    <n v="0.57537526309661136"/>
  </r>
  <r>
    <x v="20"/>
    <x v="1"/>
    <n v="45.333333333333329"/>
    <n v="112119.3836853846"/>
    <m/>
    <m/>
    <m/>
    <m/>
    <n v="13557.017101750431"/>
    <n v="13252.540397229979"/>
    <n v="6688"/>
    <n v="6579.0501061692194"/>
    <n v="22778.22519724258"/>
    <n v="24738.595952875861"/>
    <n v="51596.587061842903"/>
    <x v="19"/>
    <d v="2020-01-28T07:00:00"/>
    <n v="244940.75453859131"/>
    <n v="9.7083716913107772"/>
    <n v="0.87861108485717221"/>
    <n v="2172.9999999999995"/>
    <n v="0"/>
    <n v="0"/>
    <n v="0"/>
    <n v="0"/>
    <n v="262.75026845285703"/>
    <n v="256.84916681302354"/>
    <n v="129.6209765189287"/>
    <n v="127.50940480391982"/>
    <n v="441.46767246331501"/>
    <n v="479.46186679410687"/>
    <n v="1000"/>
    <n v="-2574.227839798958"/>
    <n v="4747.2278397989576"/>
    <n v="0.46019328117809494"/>
    <n v="0"/>
    <n v="0.21064925336348497"/>
  </r>
  <r>
    <x v="21"/>
    <x v="7"/>
    <n v="31.916666666666671"/>
    <n v="82472.834760270882"/>
    <m/>
    <m/>
    <m/>
    <m/>
    <n v="10427.88664994554"/>
    <n v="10369.82568917513"/>
    <n v="4471.9523961591922"/>
    <n v="4567.1442034953316"/>
    <n v="9954.3354430240215"/>
    <n v="9505.8702323729067"/>
    <n v="36283.693251329023"/>
    <x v="20"/>
    <d v="2020-01-26T12:15:00"/>
    <n v="82473.037379778107"/>
    <n v="9.8994452393344243"/>
    <n v="0.87964216998493139"/>
    <n v="2273.0000000000005"/>
    <n v="0"/>
    <n v="0"/>
    <n v="0"/>
    <n v="0"/>
    <n v="287.39871042657933"/>
    <n v="285.79851608119566"/>
    <n v="123.24964730527786"/>
    <n v="125.8731896959812"/>
    <n v="274.34735968228392"/>
    <n v="261.98739380051171"/>
    <n v="999.99999999999989"/>
    <n v="-5.5843132013251306E-3"/>
    <n v="2273.0055843132018"/>
    <n v="0.4399472063352397"/>
    <n v="0"/>
    <n v="0.43994612547428219"/>
  </r>
  <r>
    <x v="22"/>
    <x v="2"/>
    <n v="12.75"/>
    <n v="36015.610244975593"/>
    <m/>
    <m/>
    <m/>
    <m/>
    <n v="-23356.584486199939"/>
    <n v="3749"/>
    <n v="8685"/>
    <n v="8752.1389162426567"/>
    <n v="3811"/>
    <n v="10076"/>
    <n v="16574.141852266719"/>
    <x v="21"/>
    <d v="2020-01-27T22:05:00"/>
    <n v="36037.263198559449"/>
    <n v="10.072493052633369"/>
    <n v="0.76927059715349788"/>
    <n v="2173.0000000000005"/>
    <n v="0"/>
    <n v="0"/>
    <n v="0"/>
    <n v="0"/>
    <n v="-1409.2183290325609"/>
    <n v="226.19572303752653"/>
    <n v="524.00903029632389"/>
    <n v="528.05985337006723"/>
    <n v="229.93648986290043"/>
    <n v="607.93494407205048"/>
    <n v="1000"/>
    <n v="-1.3064298457720724"/>
    <n v="2174.3064298457725"/>
    <n v="0.46019328117809466"/>
    <n v="0"/>
    <n v="0.45991677450493113"/>
  </r>
  <r>
    <x v="23"/>
    <x v="6"/>
    <n v="9.75"/>
    <n v="18031.83556105159"/>
    <m/>
    <m/>
    <m/>
    <m/>
    <n v="2413.1782913029128"/>
    <n v="2458.5992191461869"/>
    <n v="9814.304320318337"/>
    <n v="9661.8203541761868"/>
    <n v="0"/>
    <n v="8457.5149210275558"/>
    <n v="7032.6971766971874"/>
    <x v="22"/>
    <d v="2020-01-28T14:30:00"/>
    <n v="18185.956452075148"/>
    <n v="8.8511635701606082"/>
    <n v="1.3863813207124265"/>
    <n v="2564"/>
    <n v="0"/>
    <n v="0"/>
    <n v="0"/>
    <n v="0"/>
    <n v="343.13695452421427"/>
    <n v="349.59549051717244"/>
    <n v="1395.5249421001652"/>
    <n v="1373.8427962163062"/>
    <n v="0"/>
    <n v="1202.5990467855627"/>
    <n v="1000"/>
    <n v="-21.914905071448175"/>
    <n v="2585.9149050714482"/>
    <n v="0.39001560062402491"/>
    <n v="0"/>
    <n v="0.38671032756678059"/>
  </r>
  <r>
    <x v="24"/>
    <x v="12"/>
    <n v="12.33333333333333"/>
    <n v="21358.684869118792"/>
    <m/>
    <m/>
    <m/>
    <m/>
    <n v="3731.9318526903298"/>
    <n v="3684.7048156937208"/>
    <n v="8274.7889445696328"/>
    <n v="8488.0425858306808"/>
    <n v="0"/>
    <n v="5181.2706588162164"/>
    <n v="8330.220307768639"/>
    <x v="23"/>
    <d v="2020-01-29T02:50:00"/>
    <n v="22752.227005192151"/>
    <n v="10.93002587969589"/>
    <n v="1.4805530799505324"/>
    <n v="2564"/>
    <n v="0"/>
    <n v="0"/>
    <n v="0"/>
    <n v="0"/>
    <n v="447.99917827022966"/>
    <n v="442.329815966262"/>
    <n v="993.34575063431248"/>
    <n v="1018.945750800235"/>
    <n v="0"/>
    <n v="621.98482961900072"/>
    <n v="1000"/>
    <n v="-167.2875487787237"/>
    <n v="2731.2875487787237"/>
    <n v="0.39001560062402496"/>
    <n v="0"/>
    <n v="0.36612768964847481"/>
  </r>
  <r>
    <x v="25"/>
    <x v="0"/>
    <n v="217.25"/>
    <n v="0"/>
    <n v="366860.01083333319"/>
    <n v="73441.178048333299"/>
    <n v="293418.83278499998"/>
    <n v="0"/>
    <n v="30956.363467904961"/>
    <n v="115695.9413555689"/>
    <n v="246156.1788670973"/>
    <n v="-3089.0234705982061"/>
    <n v="0"/>
    <n v="181478.1256501578"/>
    <n v="174695.24325396819"/>
    <x v="24"/>
    <d v="2020-02-11T07:45:00"/>
    <n v="65.424077643171813"/>
    <n v="5.0041559468144952"/>
    <n v="1.243594249925664"/>
    <n v="0"/>
    <n v="2100"/>
    <n v="420.39598033912176"/>
    <n v="1679.6040196608787"/>
    <n v="0"/>
    <n v="177.20209715671118"/>
    <n v="662.27299152829607"/>
    <n v="1409.0605690347318"/>
    <n v="-17.682355930593083"/>
    <n v="0"/>
    <n v="1038.8269438242735"/>
    <n v="999.99999999999989"/>
    <n v="-0.3745040587513862"/>
    <n v="0.3745040587513862"/>
    <n v="0"/>
    <n v="0.47619047619047622"/>
    <n v="2670.1980302537868"/>
  </r>
  <r>
    <x v="26"/>
    <x v="13"/>
    <n v="105.5833333333333"/>
    <n v="0"/>
    <n v="106860.42200000001"/>
    <n v="39815.22263400002"/>
    <n v="67045.19936600003"/>
    <n v="35118.760666666662"/>
    <n v="-34437.750059308361"/>
    <n v="40232.619122869197"/>
    <n v="92284.022571179885"/>
    <n v="-7184.7786106809026"/>
    <n v="0"/>
    <n v="63332.335823422589"/>
    <n v="67609.134603174622"/>
    <x v="25"/>
    <d v="2020-02-17T17:00:00"/>
    <n v="39.597345800030162"/>
    <n v="5.0041450144713409"/>
    <n v="1.5616726046420297"/>
    <n v="0"/>
    <n v="1580.5618963651445"/>
    <n v="588.90300649005019"/>
    <n v="991.65888987509516"/>
    <n v="519.43810363485477"/>
    <n v="-509.36534332878909"/>
    <n v="595.07667653210945"/>
    <n v="1364.9638190583589"/>
    <n v="-106.26934737223419"/>
    <n v="0"/>
    <n v="936.74229370255523"/>
    <n v="1000.0000000000001"/>
    <n v="-0.58568041186213982"/>
    <n v="0.58568041186213982"/>
    <n v="0"/>
    <n v="0.47619047619047633"/>
    <n v="1707.4158188431691"/>
  </r>
  <r>
    <x v="27"/>
    <x v="14"/>
    <n v="180.25"/>
    <n v="0"/>
    <n v="298978.85608824028"/>
    <n v="138769.81629434551"/>
    <n v="160209.0397938948"/>
    <n v="0"/>
    <n v="-3278.857953641229"/>
    <n v="85373.170541284693"/>
    <n v="194120.24934362649"/>
    <n v="-11672.352185634571"/>
    <n v="0"/>
    <n v="156743.30899511941"/>
    <n v="142370.88385154301"/>
    <x v="26"/>
    <d v="2020-02-25T17:35:00"/>
    <n v="50.641599670670281"/>
    <n v="5.0041887658707642"/>
    <n v="1.2660594295948557"/>
    <n v="0"/>
    <n v="2099.9999999999995"/>
    <n v="974.70643252483762"/>
    <n v="1125.2935674751623"/>
    <n v="0"/>
    <n v="-23.030396840552399"/>
    <n v="599.65330151569071"/>
    <n v="1363.4827858907236"/>
    <n v="-81.985528711094432"/>
    <n v="0"/>
    <n v="1100.9505929496318"/>
    <n v="1000"/>
    <n v="-0.35570194059816834"/>
    <n v="0.35570194059816834"/>
    <n v="0"/>
    <n v="0.47619047619047628"/>
    <n v="2811.3425479724506"/>
  </r>
  <r>
    <x v="28"/>
    <x v="1"/>
    <n v="9.75"/>
    <n v="20097.454576711341"/>
    <m/>
    <m/>
    <m/>
    <m/>
    <n v="2517.362125246621"/>
    <n v="2627"/>
    <n v="3355"/>
    <n v="3360.0512697649592"/>
    <n v="0"/>
    <n v="509"/>
    <n v="9248.7135649845113"/>
    <x v="27"/>
    <d v="2020-02-26T16:45:00"/>
    <n v="17914.25995136327"/>
    <n v="11.552573386360621"/>
    <n v="1.0542006660162286"/>
    <n v="2173"/>
    <n v="0"/>
    <n v="0"/>
    <n v="0"/>
    <n v="0"/>
    <n v="272.18511067066834"/>
    <n v="284.03950252560333"/>
    <n v="362.75315225481506"/>
    <n v="363.29931142921998"/>
    <n v="0"/>
    <n v="55.034680923308755"/>
    <n v="1000"/>
    <n v="236.05386954717846"/>
    <n v="1936.9461304528215"/>
    <n v="0.46019328117809483"/>
    <n v="0"/>
    <n v="0.51627661930185886"/>
  </r>
  <r>
    <x v="29"/>
    <x v="7"/>
    <n v="2"/>
    <n v="5207.0929121349727"/>
    <m/>
    <m/>
    <m/>
    <m/>
    <n v="825.11541543077271"/>
    <n v="835"/>
    <n v="1086"/>
    <n v="1007.809342336841"/>
    <n v="0"/>
    <n v="0"/>
    <n v="2290.8459798218091"/>
    <x v="27"/>
    <d v="2020-02-26T09:00:00"/>
    <n v="0.52"/>
    <m/>
    <n v="0.87303992394790664"/>
    <n v="2273"/>
    <n v="0"/>
    <n v="0"/>
    <n v="0"/>
    <n v="0"/>
    <n v="360.17934976796363"/>
    <n v="364.49416824825101"/>
    <n v="474.06067870371334"/>
    <n v="439.92889579387275"/>
    <n v="0"/>
    <n v="0"/>
    <n v="1000"/>
    <n v="2272.7730096197733"/>
    <n v="0.22699038022645573"/>
    <n v="0.4399472063352397"/>
    <n v="0"/>
    <n v="4405.4730381188638"/>
  </r>
  <r>
    <x v="30"/>
    <x v="3"/>
    <n v="24.91333333333333"/>
    <n v="46083.211821358229"/>
    <m/>
    <m/>
    <m/>
    <m/>
    <n v="6747.3949315328591"/>
    <n v="6785"/>
    <n v="10104"/>
    <n v="10120.15896405586"/>
    <n v="0"/>
    <n v="3009"/>
    <n v="17972.703518470451"/>
    <x v="27"/>
    <d v="2020-02-28T03:50:00"/>
    <n v="90721.31365243005"/>
    <n v="10.709970553073839"/>
    <n v="1.3861761703090485"/>
    <n v="2564.0667679182911"/>
    <n v="0"/>
    <n v="0"/>
    <n v="0"/>
    <n v="0"/>
    <n v="375.42459455799718"/>
    <n v="377.5169380069666"/>
    <n v="562.18587201509069"/>
    <n v="563.08495567488933"/>
    <n v="0"/>
    <n v="167.42055511613302"/>
    <n v="1000"/>
    <n v="-2483.6609464568023"/>
    <n v="5047.7277143750935"/>
    <n v="0.39000544467563836"/>
    <n v="0"/>
    <n v="0.19810894259453921"/>
  </r>
  <r>
    <x v="31"/>
    <x v="4"/>
    <n v="1.5"/>
    <n v="2780.9586839344902"/>
    <m/>
    <m/>
    <m/>
    <m/>
    <n v="331.81283006309309"/>
    <n v="368"/>
    <n v="579"/>
    <n v="559.79133964188327"/>
    <n v="0"/>
    <n v="193"/>
    <n v="1084.617271425308"/>
    <x v="28"/>
    <d v="2020-03-01T08:30:00"/>
    <n v="2781.5077274931018"/>
    <n v="8.7014127490164217"/>
    <n v="1.3829763175620768"/>
    <n v="2564.0000000000005"/>
    <n v="0"/>
    <n v="0"/>
    <n v="0"/>
    <n v="0"/>
    <n v="305.92619056033845"/>
    <n v="339.29018990856287"/>
    <n v="533.82885857896167"/>
    <n v="516.11877700071568"/>
    <n v="0"/>
    <n v="177.94295285965387"/>
    <n v="1000"/>
    <n v="-0.50620949257972825"/>
    <n v="2564.5062094925802"/>
    <n v="0.39001560062402491"/>
    <n v="0"/>
    <n v="0.38993861519947831"/>
  </r>
  <r>
    <x v="32"/>
    <x v="1"/>
    <n v="54.083333333333343"/>
    <n v="146620.826993806"/>
    <m/>
    <m/>
    <m/>
    <m/>
    <n v="-9156.6693976320566"/>
    <n v="18575"/>
    <n v="0"/>
    <n v="-109.39277371804221"/>
    <n v="55862"/>
    <n v="35417"/>
    <n v="67473.919463325336"/>
    <x v="28"/>
    <d v="2020-03-04T12:55:00"/>
    <n v="214677.7494364208"/>
    <n v="9.0026608853424506"/>
    <n v="0.80154426722949912"/>
    <n v="2173.0000000000009"/>
    <n v="0"/>
    <n v="0"/>
    <n v="0"/>
    <n v="0"/>
    <n v="-135.70679561025142"/>
    <n v="275.29155187281253"/>
    <n v="0"/>
    <n v="-1.6212601044689776"/>
    <n v="827.90506975607275"/>
    <n v="524.8991059315963"/>
    <n v="1000"/>
    <n v="-1008.6404196454946"/>
    <n v="3181.6404196454955"/>
    <n v="0.46019328117809466"/>
    <n v="0"/>
    <n v="0.31430327381603412"/>
  </r>
  <r>
    <x v="33"/>
    <x v="9"/>
    <n v="8.6666666666666661"/>
    <n v="24477.978827701769"/>
    <m/>
    <m/>
    <m/>
    <m/>
    <n v="3090.4923432963469"/>
    <n v="3157"/>
    <n v="0"/>
    <n v="12.65928473095812"/>
    <n v="8464"/>
    <n v="4727"/>
    <n v="14083.992421002171"/>
    <x v="28"/>
    <d v="2020-03-02T07:00:00"/>
    <n v="64131.074095927113"/>
    <n v="9.1139801842366648"/>
    <n v="0.61535581727116373"/>
    <n v="1737.9999999999998"/>
    <n v="0"/>
    <n v="0"/>
    <n v="0"/>
    <n v="0"/>
    <n v="219.43297403993046"/>
    <n v="224.15519020673813"/>
    <n v="0"/>
    <n v="0.8988420578869728"/>
    <n v="600.96595815959188"/>
    <n v="335.62926325855278"/>
    <n v="999.99999999999989"/>
    <n v="-2815.4726360896293"/>
    <n v="4553.4726360896293"/>
    <n v="0.57537399309551218"/>
    <n v="0"/>
    <n v="0.2196126077653926"/>
  </r>
  <r>
    <x v="34"/>
    <x v="7"/>
    <n v="9.3333333333333339"/>
    <n v="24148.582038684159"/>
    <m/>
    <m/>
    <m/>
    <m/>
    <n v="2994.4692934601421"/>
    <n v="2810"/>
    <n v="0"/>
    <n v="58.624997278840851"/>
    <n v="6780"/>
    <n v="3865"/>
    <n v="10624.101204876441"/>
    <x v="28"/>
    <d v="2020-03-01T16:20:00"/>
    <n v="23023.27148631015"/>
    <n v="9.0868041186190371"/>
    <n v="0.87850568752576952"/>
    <n v="2273.0000000000009"/>
    <n v="0"/>
    <n v="0"/>
    <n v="0"/>
    <n v="0"/>
    <n v="281.8562470099294"/>
    <n v="264.49296235150848"/>
    <n v="0"/>
    <n v="5.5181135936404759"/>
    <n v="638.17163158121969"/>
    <n v="363.79548024504635"/>
    <n v="999.99999999999989"/>
    <n v="105.92054148142824"/>
    <n v="2167.0794585185727"/>
    <n v="0.43994720633523959"/>
    <n v="0"/>
    <n v="0.46145054629589149"/>
  </r>
  <r>
    <x v="35"/>
    <x v="1"/>
    <n v="85.75"/>
    <n v="230536.00036881489"/>
    <m/>
    <m/>
    <m/>
    <m/>
    <n v="-25289.67644991383"/>
    <n v="26897.697014834859"/>
    <n v="1998.1153125000001"/>
    <n v="1998.891877417037"/>
    <n v="84439.794003640811"/>
    <n v="46848.004555880223"/>
    <n v="106091.1184393994"/>
    <x v="29"/>
    <d v="2020-03-10T11:00:00"/>
    <n v="342612.67647796939"/>
    <n v="8.3601198251012825"/>
    <n v="0.80826747103228525"/>
    <n v="2173"/>
    <n v="0"/>
    <n v="0"/>
    <n v="0"/>
    <n v="0"/>
    <n v="-238.37694259354626"/>
    <n v="253.53391886615998"/>
    <n v="18.833954640994278"/>
    <n v="18.841274432966124"/>
    <n v="795.91765310565461"/>
    <n v="441.58271912874972"/>
    <n v="1000"/>
    <n v="-1056.4190269440332"/>
    <n v="3229.4190269440332"/>
    <n v="0.46019328117809483"/>
    <n v="0"/>
    <n v="0.30965321986917566"/>
  </r>
  <r>
    <x v="36"/>
    <x v="7"/>
    <n v="19"/>
    <n v="49012.682736489587"/>
    <m/>
    <m/>
    <m/>
    <m/>
    <n v="5811.3017067273486"/>
    <n v="5747.1430463932866"/>
    <n v="0"/>
    <n v="28.20058944706005"/>
    <n v="20411.851694460551"/>
    <n v="12320.297366364141"/>
    <n v="21562.992844914032"/>
    <x v="30"/>
    <d v="2020-03-08T22:45:00"/>
    <n v="106831.8521768855"/>
    <n v="8.0165998243656453"/>
    <n v="0.88113928046316847"/>
    <n v="2272.9999999999995"/>
    <n v="0"/>
    <n v="0"/>
    <n v="0"/>
    <n v="0"/>
    <n v="269.50348444316415"/>
    <n v="266.52807834830958"/>
    <n v="0"/>
    <n v="1.3078235312641955"/>
    <n v="946.61496394620406"/>
    <n v="571.3630503415983"/>
    <n v="999.99999999999989"/>
    <n v="-2681.4074398783409"/>
    <n v="4954.4074398783405"/>
    <n v="0.43994720633523982"/>
    <n v="0"/>
    <n v="0.20184048488845233"/>
  </r>
  <r>
    <x v="37"/>
    <x v="1"/>
    <n v="26"/>
    <n v="68317.276107039856"/>
    <m/>
    <m/>
    <m/>
    <m/>
    <n v="6265.2676223818562"/>
    <n v="8874"/>
    <n v="1713"/>
    <n v="1668.902089722799"/>
    <n v="22775"/>
    <n v="11858"/>
    <n v="31439.151452848531"/>
    <x v="31"/>
    <d v="2020-03-12T01:45:00"/>
    <n v="118638.04914089759"/>
    <n v="9.6739849748945055"/>
    <n v="0.82699433026982283"/>
    <n v="2173"/>
    <n v="0"/>
    <n v="0"/>
    <n v="0"/>
    <n v="0"/>
    <n v="199.28233851280342"/>
    <n v="282.25952641593875"/>
    <n v="54.48620337508487"/>
    <n v="53.083560229854385"/>
    <n v="724.41522584212373"/>
    <n v="377.17302955152155"/>
    <n v="1000"/>
    <n v="-1600.5766920690357"/>
    <n v="3773.5766920690357"/>
    <n v="0.46019328117809483"/>
    <n v="0"/>
    <n v="0.26500057680070738"/>
  </r>
  <r>
    <x v="38"/>
    <x v="11"/>
    <n v="12.58333333333333"/>
    <n v="35506.298057149252"/>
    <m/>
    <m/>
    <m/>
    <m/>
    <n v="4512.7247267532339"/>
    <n v="4463"/>
    <n v="713"/>
    <n v="787.0177908037092"/>
    <n v="8413"/>
    <n v="5491"/>
    <n v="16339.759805406929"/>
    <x v="32"/>
    <d v="2020-03-10T23:45:00"/>
    <n v="35506.386210956887"/>
    <n v="10.163153915113799"/>
    <n v="0.77010515963456372"/>
    <n v="2172.9999999999995"/>
    <n v="0"/>
    <n v="0"/>
    <n v="0"/>
    <n v="0"/>
    <n v="276.18060366223654"/>
    <n v="273.13742999595166"/>
    <n v="43.635892356512109"/>
    <n v="48.165811503745608"/>
    <n v="514.87904964282802"/>
    <n v="336.05145151417668"/>
    <n v="1000"/>
    <n v="-5.3950491737850825E-3"/>
    <n v="2173.0053950491733"/>
    <n v="0.46019328117809488"/>
    <n v="0"/>
    <n v="0.46019213862898434"/>
  </r>
  <r>
    <x v="39"/>
    <x v="9"/>
    <n v="9.5"/>
    <n v="25762.745875310011"/>
    <m/>
    <m/>
    <m/>
    <m/>
    <n v="3269.7746697757138"/>
    <n v="3260"/>
    <n v="3972"/>
    <n v="3929.6372765033211"/>
    <n v="1167"/>
    <n v="1739"/>
    <n v="14823.213967382049"/>
    <x v="33"/>
    <d v="2020-03-12T11:15:00"/>
    <n v="77057.28399672755"/>
    <n v="9.5051437673760191"/>
    <n v="0.64088665392703692"/>
    <n v="1738.0000000000007"/>
    <n v="0"/>
    <n v="0"/>
    <n v="0"/>
    <n v="0"/>
    <n v="220.58473128504625"/>
    <n v="219.92531492654109"/>
    <n v="267.9580830945464"/>
    <n v="265.10021950370191"/>
    <n v="78.727865803458116"/>
    <n v="117.31598854517024"/>
    <n v="1000"/>
    <n v="-3460.4194633019079"/>
    <n v="5198.4194633019088"/>
    <n v="0.57537399309551185"/>
    <n v="0"/>
    <n v="0.19236616188044672"/>
  </r>
  <r>
    <x v="40"/>
    <x v="1"/>
    <n v="10.08333333333333"/>
    <n v="28455.488432703849"/>
    <m/>
    <m/>
    <m/>
    <m/>
    <n v="3172.671706859504"/>
    <n v="3178"/>
    <n v="1879"/>
    <n v="1908.3703438587279"/>
    <n v="5814"/>
    <n v="4789"/>
    <n v="13095.024589371311"/>
    <x v="34"/>
    <d v="2020-03-13T01:05:00"/>
    <n v="28455.24451474235"/>
    <n v="9.9008329259957186"/>
    <n v="0.77001255434965388"/>
    <n v="2172.9999999999991"/>
    <n v="0"/>
    <n v="0"/>
    <n v="0"/>
    <n v="0"/>
    <n v="242.28069868876995"/>
    <n v="242.68759316263149"/>
    <n v="143.48961219401653"/>
    <n v="145.73247502014414"/>
    <n v="443.98542059393941"/>
    <n v="365.71141713525554"/>
    <n v="1000"/>
    <n v="1.8626766206580214E-2"/>
    <n v="2172.9813732337925"/>
    <n v="0.46019328117809494"/>
    <n v="0"/>
    <n v="0.46019722594852147"/>
  </r>
  <r>
    <x v="41"/>
    <x v="10"/>
    <n v="30.333333333333329"/>
    <n v="85052.40599645974"/>
    <m/>
    <m/>
    <m/>
    <m/>
    <n v="-17191.955104337281"/>
    <n v="10113.87739444645"/>
    <n v="9665.5580781141816"/>
    <n v="9739.5262138766939"/>
    <n v="13086.77068718376"/>
    <n v="8266.7614216321326"/>
    <n v="39140.54578760227"/>
    <x v="35"/>
    <d v="2020-03-14T20:00:00"/>
    <n v="119802.0383828862"/>
    <n v="9.1883474691907132"/>
    <n v="0.77498493500674137"/>
    <n v="2173"/>
    <n v="0"/>
    <n v="0"/>
    <n v="0"/>
    <n v="0"/>
    <n v="-439.236468434296"/>
    <n v="258.39898731432635"/>
    <n v="246.94489776828146"/>
    <n v="248.83470625904454"/>
    <n v="334.35330100401876"/>
    <n v="211.20710647449943"/>
    <n v="1000"/>
    <n v="-887.81675592866623"/>
    <n v="3060.8167559286662"/>
    <n v="0.46019328117809477"/>
    <n v="0"/>
    <n v="0.32671018219664555"/>
  </r>
  <r>
    <x v="42"/>
    <x v="1"/>
    <n v="12.16666666666667"/>
    <n v="33606.418449616584"/>
    <m/>
    <m/>
    <m/>
    <m/>
    <n v="3804.175059667919"/>
    <n v="3732.6962629140621"/>
    <n v="124.368167327622"/>
    <n v="-8.3546193103529731"/>
    <n v="12917.88465460806"/>
    <n v="6681.0121049789605"/>
    <n v="15465.447974973111"/>
    <x v="36"/>
    <d v="2020-03-15T01:15:00"/>
    <n v="118118.4233554133"/>
    <n v="9.3667740476791543"/>
    <n v="0.78669991883554369"/>
    <n v="2173.0000000000009"/>
    <n v="0"/>
    <n v="0"/>
    <n v="0"/>
    <n v="0"/>
    <n v="245.97897622002333"/>
    <n v="241.35713811552569"/>
    <n v="8.0416789432081259"/>
    <n v="-0.54021191781012723"/>
    <n v="835.27387473756767"/>
    <n v="431.99602855284093"/>
    <n v="1000"/>
    <n v="-5464.568827398848"/>
    <n v="7637.568827398849"/>
    <n v="0.4601932811780946"/>
    <n v="0"/>
    <n v="0.13093171696373088"/>
  </r>
  <r>
    <x v="43"/>
    <x v="7"/>
    <n v="49.5"/>
    <n v="107550.2433905686"/>
    <m/>
    <m/>
    <m/>
    <m/>
    <n v="14686.97952241458"/>
    <n v="14654"/>
    <n v="438"/>
    <n v="-27847.886162707829"/>
    <n v="43726"/>
    <n v="21967"/>
    <n v="47316.429120355722"/>
    <x v="37"/>
    <d v="2020-03-17T02:45:00"/>
    <n v="121062.85214424841"/>
    <n v="9.5691844604091347"/>
    <n v="1.0461482601337069"/>
    <n v="2273.0000000000009"/>
    <n v="0"/>
    <n v="0"/>
    <n v="0"/>
    <n v="0"/>
    <n v="310.39915300996756"/>
    <n v="309.70215361614828"/>
    <n v="9.2568270290618901"/>
    <n v="-588.54581126299649"/>
    <n v="924.11876409305989"/>
    <n v="464.25735010822501"/>
    <n v="1000.0000000000001"/>
    <n v="-285.57963914201264"/>
    <n v="2558.5796391420135"/>
    <n v="0.43994720633523959"/>
    <n v="0"/>
    <n v="0.39084185018189899"/>
  </r>
  <r>
    <x v="44"/>
    <x v="1"/>
    <n v="41"/>
    <n v="83059.814483473427"/>
    <m/>
    <m/>
    <m/>
    <m/>
    <n v="-16166.267262144211"/>
    <n v="11279"/>
    <n v="1721"/>
    <n v="1778.377242318001"/>
    <n v="39056"/>
    <n v="18746"/>
    <n v="38223.568561193482"/>
    <x v="38"/>
    <d v="2020-03-19T03:40:00"/>
    <n v="114584.8060772914"/>
    <n v="11.356479788698699"/>
    <n v="1.0726366360681794"/>
    <n v="2172.9999999999995"/>
    <n v="0"/>
    <n v="0"/>
    <n v="0"/>
    <n v="0"/>
    <n v="-422.93976911818299"/>
    <n v="295.07972239543892"/>
    <n v="45.024576845691143"/>
    <n v="46.52567275268747"/>
    <n v="1021.7779623970443"/>
    <n v="490.4303995057096"/>
    <n v="1000"/>
    <n v="-824.7527057383063"/>
    <n v="2997.7527057383058"/>
    <n v="0.46019328117809488"/>
    <n v="0"/>
    <n v="0.33358321988528189"/>
  </r>
  <r>
    <x v="45"/>
    <x v="9"/>
    <n v="20.166666666666661"/>
    <n v="57008.337295498597"/>
    <m/>
    <m/>
    <m/>
    <m/>
    <n v="6106.8275458989256"/>
    <n v="5691"/>
    <n v="2211"/>
    <n v="2714.7587265084921"/>
    <n v="13000"/>
    <n v="8445"/>
    <n v="32801.114669446833"/>
    <x v="39"/>
    <d v="2020-03-19T23:50:00"/>
    <n v="56893.940599160393"/>
    <n v="10.931100092538779"/>
    <n v="0.6148165045577324"/>
    <n v="1738"/>
    <n v="0"/>
    <n v="0"/>
    <n v="0"/>
    <n v="0"/>
    <n v="186.17743962180759"/>
    <n v="173.50020136056474"/>
    <n v="67.406245863329588"/>
    <n v="82.76422169997781"/>
    <n v="396.32799467357967"/>
    <n v="257.46076269372156"/>
    <n v="1000"/>
    <n v="3.4875856351538914"/>
    <n v="1734.5124143648461"/>
    <n v="0.57537399309551207"/>
    <n v="0"/>
    <n v="0.57653089808883606"/>
  </r>
  <r>
    <x v="46"/>
    <x v="1"/>
    <n v="14.66666666666667"/>
    <n v="41414.503011522233"/>
    <m/>
    <m/>
    <m/>
    <m/>
    <n v="4578.7023500741307"/>
    <n v="5138.304572251569"/>
    <n v="4426.7080352907651"/>
    <n v="3956.8392548353158"/>
    <n v="4878.0191644317219"/>
    <n v="3630.0015864160541"/>
    <n v="19058.676029232509"/>
    <x v="40"/>
    <d v="2020-03-20T14:35:00"/>
    <n v="41414.374880905729"/>
    <n v="10.28760396414379"/>
    <n v="0.76955328083496966"/>
    <n v="2172.9999999999995"/>
    <n v="0"/>
    <n v="0"/>
    <n v="0"/>
    <n v="0"/>
    <n v="240.24241469088631"/>
    <n v="269.60448692083088"/>
    <n v="232.26734262658158"/>
    <n v="207.61354297466681"/>
    <n v="255.94743081574691"/>
    <n v="190.46452024517853"/>
    <n v="1000"/>
    <n v="6.7229547480565088E-3"/>
    <n v="2172.9932770452515"/>
    <n v="0.46019328117809488"/>
    <n v="0"/>
    <n v="0.46019470495544268"/>
  </r>
  <r>
    <x v="47"/>
    <x v="11"/>
    <n v="33.416666666666671"/>
    <n v="87471.674379071279"/>
    <m/>
    <m/>
    <m/>
    <m/>
    <n v="15142.342835970439"/>
    <n v="15359.314681414529"/>
    <n v="3205.7610238726902"/>
    <n v="3213.3167056100192"/>
    <n v="30064.930936365519"/>
    <n v="16631.44307317803"/>
    <n v="40253.876842646692"/>
    <x v="41"/>
    <d v="2020-03-22T08:35:00"/>
    <n v="109913.3680316432"/>
    <n v="9.7993721628003545"/>
    <n v="0.83014778420705093"/>
    <n v="2173.0000000000005"/>
    <n v="0"/>
    <n v="0"/>
    <n v="0"/>
    <n v="0"/>
    <n v="376.1710429820759"/>
    <n v="381.56112866977844"/>
    <n v="79.638565905194227"/>
    <n v="79.826266626962322"/>
    <n v="746.88286680783585"/>
    <n v="413.16375906327517"/>
    <n v="1000.0000000000001"/>
    <n v="-557.50390801604044"/>
    <n v="2730.5039080160409"/>
    <n v="0.46019328117809472"/>
    <n v="0"/>
    <n v="0.36623276643708996"/>
  </r>
  <r>
    <x v="48"/>
    <x v="1"/>
    <n v="37.333333333333329"/>
    <n v="73339.292835559376"/>
    <m/>
    <m/>
    <m/>
    <m/>
    <n v="-16892.429396313699"/>
    <n v="10497"/>
    <n v="0"/>
    <n v="158.86225426934431"/>
    <n v="36232"/>
    <n v="17346"/>
    <n v="33750.2498092772"/>
    <x v="42"/>
    <d v="2020-03-26T01:50:00"/>
    <n v="183190.82833823521"/>
    <n v="9.1630580590951052"/>
    <n v="1.1061646519449233"/>
    <n v="2173.0000000000009"/>
    <n v="0"/>
    <n v="0"/>
    <n v="0"/>
    <n v="0"/>
    <n v="-500.51272188421967"/>
    <n v="311.01992012854987"/>
    <n v="0"/>
    <n v="4.7069949160991564"/>
    <n v="1073.5327947125481"/>
    <n v="513.95175140991"/>
    <n v="1000"/>
    <n v="-3254.8362196856997"/>
    <n v="5427.8362196857006"/>
    <n v="0.46019328117809466"/>
    <n v="0"/>
    <n v="0.184235477919027"/>
  </r>
  <r>
    <x v="49"/>
    <x v="9"/>
    <n v="18.833333333333339"/>
    <n v="51379.466903636298"/>
    <m/>
    <m/>
    <m/>
    <m/>
    <n v="6405.039143082412"/>
    <n v="6440"/>
    <n v="2471"/>
    <n v="2416.3112021838492"/>
    <n v="12642"/>
    <n v="12243"/>
    <n v="29562.409035463919"/>
    <x v="43"/>
    <d v="2020-03-26T21:50:00"/>
    <n v="107991.799757136"/>
    <n v="9.2230663278941201"/>
    <n v="0.63707031827955318"/>
    <n v="1738.0000000000002"/>
    <n v="0"/>
    <n v="0"/>
    <n v="0"/>
    <n v="0"/>
    <n v="216.66161020229245"/>
    <n v="217.84422210904361"/>
    <n v="83.585880874448264"/>
    <n v="81.735936989613137"/>
    <n v="427.63767948797039"/>
    <n v="414.14080920512748"/>
    <n v="1000"/>
    <n v="-1915.0108093554188"/>
    <n v="3653.010809355419"/>
    <n v="0.57537399309551207"/>
    <n v="0"/>
    <n v="0.27374679468206992"/>
  </r>
  <r>
    <x v="50"/>
    <x v="2"/>
    <n v="29.083333333333329"/>
    <n v="81870.741666358706"/>
    <m/>
    <m/>
    <m/>
    <m/>
    <n v="-17605.727088991011"/>
    <n v="9958.7907915303367"/>
    <n v="10221.771313285501"/>
    <n v="-16511.765219595589"/>
    <n v="16484.94971710036"/>
    <n v="11969.08457972078"/>
    <n v="37676.36523992577"/>
    <x v="44"/>
    <d v="2020-03-28T06:50:00"/>
    <n v="133719.96814471629"/>
    <n v="9.3669348395407859"/>
    <n v="0.77192513524403417"/>
    <n v="2173.0000000000005"/>
    <n v="0"/>
    <n v="0"/>
    <n v="0"/>
    <n v="0"/>
    <n v="-467.2883643864393"/>
    <n v="264.32461645681718"/>
    <n v="271.30460298366188"/>
    <n v="-438.25260516632892"/>
    <n v="437.540872430847"/>
    <n v="317.68150944234668"/>
    <n v="1000"/>
    <n v="-1376.1737935222259"/>
    <n v="3549.1737935222263"/>
    <n v="0.46019328117809477"/>
    <n v="0"/>
    <n v="0.28175571504138508"/>
  </r>
  <r>
    <x v="51"/>
    <x v="7"/>
    <n v="12.16666666666667"/>
    <n v="31102.76981997351"/>
    <m/>
    <m/>
    <m/>
    <m/>
    <n v="3584.0429858398579"/>
    <n v="3660.479572032461"/>
    <n v="1681.7420373688931"/>
    <n v="1756.2204538820511"/>
    <n v="11405.077700769511"/>
    <n v="7962.5017478253903"/>
    <n v="13683.576691585349"/>
    <x v="45"/>
    <d v="2020-03-28T19:10:00"/>
    <n v="31380.165488312228"/>
    <n v="9.5781613514044963"/>
    <n v="0.88914374807783292"/>
    <n v="2273.0000000000009"/>
    <n v="0"/>
    <n v="0"/>
    <n v="0"/>
    <n v="0"/>
    <n v="261.9229655097302"/>
    <n v="267.50897477583152"/>
    <n v="122.90222617037492"/>
    <n v="128.34513179306626"/>
    <n v="833.48659183406403"/>
    <n v="581.90208066885714"/>
    <n v="1000"/>
    <n v="-20.2721608970337"/>
    <n v="2293.2721608970346"/>
    <n v="0.43994720633523959"/>
    <n v="0"/>
    <n v="0.43605814305478718"/>
  </r>
  <r>
    <x v="52"/>
    <x v="4"/>
    <n v="21.833333333333339"/>
    <n v="40388.538015036829"/>
    <m/>
    <m/>
    <m/>
    <m/>
    <n v="-45397.534502455739"/>
    <n v="5824.5943194676756"/>
    <n v="25412.348589356749"/>
    <n v="-35093.203218561823"/>
    <n v="0"/>
    <n v="20525.274516507001"/>
    <n v="15752.15991226085"/>
    <x v="45"/>
    <d v="2020-03-29T18:00:00"/>
    <n v="73876.264575704481"/>
    <n v="9.5314130253216636"/>
    <n v="1.3860533066541019"/>
    <n v="2564.0000000000005"/>
    <n v="0"/>
    <n v="0"/>
    <n v="0"/>
    <n v="0"/>
    <n v="-2881.9879150109518"/>
    <n v="369.76480380535276"/>
    <n v="1613.261211853036"/>
    <n v="-2227.8343677330672"/>
    <n v="0"/>
    <n v="1303.0133410803523"/>
    <n v="1000"/>
    <n v="-2125.9133190110747"/>
    <n v="4689.9133190110751"/>
    <n v="0.39001560062402485"/>
    <n v="0"/>
    <n v="0.21322355702106285"/>
  </r>
  <r>
    <x v="53"/>
    <x v="3"/>
    <n v="9.0833333333333339"/>
    <n v="14696.438917246511"/>
    <m/>
    <m/>
    <m/>
    <m/>
    <n v="3535.2990010833591"/>
    <n v="3518"/>
    <n v="7293"/>
    <n v="7345.0288047500944"/>
    <n v="0"/>
    <n v="7710"/>
    <n v="5731.840451344191"/>
    <x v="46"/>
    <d v="2020-03-30T03:05:00"/>
    <n v="16624.46731268298"/>
    <n v="8.7387408494949348"/>
    <n v="1.5847149637954725"/>
    <n v="2564.0000000000009"/>
    <n v="0"/>
    <n v="0"/>
    <n v="0"/>
    <n v="0"/>
    <n v="616.78252056968643"/>
    <n v="613.76446707880416"/>
    <n v="1272.3661905644456"/>
    <n v="1281.4433456583024"/>
    <n v="0"/>
    <n v="1345.1176922051111"/>
    <n v="1000"/>
    <n v="-336.37160904999064"/>
    <n v="2900.3716090499915"/>
    <n v="0.39001560062402485"/>
    <n v="0"/>
    <n v="0.34478340529872559"/>
  </r>
  <r>
    <x v="54"/>
    <x v="0"/>
    <n v="279.41666666666657"/>
    <n v="0"/>
    <n v="487063.88475358038"/>
    <n v="59556.926644373707"/>
    <n v="427506.95810920658"/>
    <n v="0"/>
    <n v="-7423.739605355715"/>
    <n v="129599.5924759442"/>
    <n v="321712.62710314931"/>
    <n v="21497.863096272671"/>
    <n v="0"/>
    <n v="262755"/>
    <n v="231935.04035884779"/>
    <x v="47"/>
    <d v="2020-04-14T10:30:00"/>
    <n v="151728.25411292669"/>
    <n v="5.0041666030883789"/>
    <n v="1.204719503505618"/>
    <n v="0"/>
    <n v="2100.001293465617"/>
    <n v="256.78278949238444"/>
    <n v="1843.2185039732317"/>
    <n v="0"/>
    <n v="-32.007839754914876"/>
    <n v="558.77538933068877"/>
    <n v="1387.0807386645779"/>
    <n v="92.689155821437637"/>
    <n v="0"/>
    <n v="1132.8818603410155"/>
    <n v="1000"/>
    <n v="-654.18426589692581"/>
    <n v="654.18426589692581"/>
    <n v="0"/>
    <n v="0.47619018288779591"/>
    <n v="1.528621295452498"/>
  </r>
  <r>
    <x v="55"/>
    <x v="0"/>
    <n v="88.583333333333329"/>
    <n v="0"/>
    <n v="134656.15350144441"/>
    <n v="18064.109923819211"/>
    <n v="116592.0435776252"/>
    <n v="15724.759166666679"/>
    <n v="-13624.142712582599"/>
    <n v="43928.780612846189"/>
    <n v="95771.6640841646"/>
    <n v="-17983.975997216919"/>
    <n v="0"/>
    <n v="76691.316835398713"/>
    <n v="71610.291746719566"/>
    <x v="48"/>
    <d v="2020-04-18T17:00:00"/>
    <n v="98369.208462091206"/>
    <n v="5.0042372234797066"/>
    <n v="1.237019584372679"/>
    <n v="0"/>
    <n v="1880.4022468964865"/>
    <n v="252.2557789278483"/>
    <n v="1628.1464679686385"/>
    <n v="219.58797797227271"/>
    <n v="-190.25397579401309"/>
    <n v="613.44227961281206"/>
    <n v="1337.400836501296"/>
    <n v="-251.13675085733411"/>
    <n v="0"/>
    <n v="1070.9538386835563"/>
    <n v="1000"/>
    <n v="-1373.674175354794"/>
    <n v="1373.674175354794"/>
    <n v="0"/>
    <n v="0.4761926927838418"/>
    <n v="0.72797466673035405"/>
  </r>
  <r>
    <x v="56"/>
    <x v="0"/>
    <n v="106.1666666666667"/>
    <n v="0"/>
    <n v="185685.57333333269"/>
    <n v="138973.20629333291"/>
    <n v="46712.367039999859"/>
    <n v="0"/>
    <n v="-1750.251632254771"/>
    <n v="53760"/>
    <n v="120758"/>
    <n v="-14790.03741404514"/>
    <n v="0"/>
    <n v="98944"/>
    <n v="88421.701587301301"/>
    <x v="49"/>
    <d v="2020-05-05T17:10:00"/>
    <n v="2523.8319292669439"/>
    <n v="5.0038888295491537"/>
    <n v="1.2006856321560979"/>
    <n v="0"/>
    <n v="2099.9999999999995"/>
    <n v="1571.7092500885728"/>
    <n v="528.29074991142738"/>
    <n v="0"/>
    <n v="-19.794367229256462"/>
    <n v="607.99553768959311"/>
    <n v="1365.7054527589264"/>
    <n v="-167.26705264139832"/>
    <n v="0"/>
    <n v="1119.0013110334653"/>
    <n v="1000"/>
    <n v="-28.543127806414038"/>
    <n v="28.543127806414038"/>
    <n v="0"/>
    <n v="0.47619047619047628"/>
    <n v="35.034702811206493"/>
  </r>
  <r>
    <x v="57"/>
    <x v="1"/>
    <n v="9.5"/>
    <n v="16891.890805555639"/>
    <m/>
    <m/>
    <m/>
    <m/>
    <n v="2922.0848888079299"/>
    <n v="2971"/>
    <n v="1122"/>
    <n v="2248.1224259030341"/>
    <n v="0"/>
    <n v="726"/>
    <n v="7773.5346551107414"/>
    <x v="50"/>
    <d v="2020-05-06T16:30:00"/>
    <n v="17662.51363797356"/>
    <n v="9.0021550333985711"/>
    <n v="1.2220952785942991"/>
    <n v="2172.9999999999995"/>
    <n v="0"/>
    <n v="0"/>
    <n v="0"/>
    <n v="0"/>
    <n v="375.9016996067283"/>
    <n v="382.19421817933289"/>
    <n v="144.33588448240039"/>
    <n v="289.20208446295368"/>
    <n v="0"/>
    <n v="93.39380760625906"/>
    <n v="1000"/>
    <n v="-99.134160534200873"/>
    <n v="2272.1341605342004"/>
    <n v="0.46019328117809488"/>
    <n v="0"/>
    <n v="0.44011485649460524"/>
  </r>
  <r>
    <x v="58"/>
    <x v="7"/>
    <n v="2.083333333333333"/>
    <n v="5391.6624601663962"/>
    <m/>
    <m/>
    <m/>
    <m/>
    <n v="786.69974081039129"/>
    <n v="749"/>
    <n v="672"/>
    <n v="688.1723012415506"/>
    <n v="0"/>
    <n v="752"/>
    <n v="2372.0468368527918"/>
    <x v="50"/>
    <d v="2020-05-06T09:05:00"/>
    <n v="0.52083333333333337"/>
    <m/>
    <n v="0.87828507471525263"/>
    <n v="2273.0000000000005"/>
    <n v="0"/>
    <n v="0"/>
    <n v="0"/>
    <n v="0"/>
    <n v="331.65438750533974"/>
    <n v="315.76105006162771"/>
    <n v="283.29963370015196"/>
    <n v="290.11750128619332"/>
    <n v="0"/>
    <n v="317.02578056921766"/>
    <n v="1000"/>
    <n v="2272.7804287313215"/>
    <n v="0.21957126867881321"/>
    <n v="0.43994720633523976"/>
    <n v="0"/>
    <n v="4554.3299267573602"/>
  </r>
  <r>
    <x v="59"/>
    <x v="6"/>
    <n v="38.5"/>
    <n v="70745.507668544669"/>
    <m/>
    <m/>
    <m/>
    <m/>
    <n v="-11874.28012681747"/>
    <n v="16088"/>
    <n v="17350"/>
    <n v="17392.83007904371"/>
    <n v="0"/>
    <n v="-1880.226009690625"/>
    <n v="27591.851664799011"/>
    <x v="50"/>
    <d v="2020-05-08T17:00:00"/>
    <n v="111558.8442667327"/>
    <n v="8.020948655880785"/>
    <n v="1.3953394816599907"/>
    <n v="2564"/>
    <n v="0"/>
    <n v="0"/>
    <n v="0"/>
    <n v="0"/>
    <n v="-430.35459421400043"/>
    <n v="583.07069041417992"/>
    <n v="628.80883134547628"/>
    <n v="630.36110408034131"/>
    <n v="0"/>
    <n v="-68.14424898091815"/>
    <n v="1000"/>
    <n v="-1479.1807774994918"/>
    <n v="4043.1807774994918"/>
    <n v="0.39001560062402491"/>
    <n v="0"/>
    <n v="0.24733002431280127"/>
  </r>
  <r>
    <x v="60"/>
    <x v="7"/>
    <n v="41.166666666666657"/>
    <n v="77759.439538079154"/>
    <m/>
    <m/>
    <m/>
    <m/>
    <n v="10887.25501186926"/>
    <n v="12298"/>
    <n v="5740"/>
    <n v="5620.0379553494804"/>
    <n v="23063"/>
    <n v="13930"/>
    <n v="34210.394869370502"/>
    <x v="51"/>
    <d v="2020-05-10T10:10:00"/>
    <n v="100275.54720389241"/>
    <n v="7.1800445581667498"/>
    <n v="1.2033379568946247"/>
    <n v="2272.9769660653433"/>
    <n v="0"/>
    <n v="0"/>
    <n v="0"/>
    <n v="0"/>
    <n v="318.24406159125965"/>
    <n v="359.48138122809962"/>
    <n v="167.78526006255422"/>
    <n v="164.27866374559898"/>
    <n v="674.15182104924872"/>
    <n v="407.18617990790597"/>
    <n v="1000.0000000000001"/>
    <n v="-658.1656760113151"/>
    <n v="2931.1426420766584"/>
    <n v="0.43995166468011276"/>
    <n v="0"/>
    <n v="0.34116388115848201"/>
  </r>
  <r>
    <x v="61"/>
    <x v="9"/>
    <n v="21"/>
    <n v="52364.807765384357"/>
    <m/>
    <m/>
    <m/>
    <m/>
    <n v="8728.8832624629194"/>
    <n v="8751"/>
    <n v="0"/>
    <n v="31.938379031721809"/>
    <n v="25639"/>
    <n v="13472"/>
    <n v="30129.34854164808"/>
    <x v="52"/>
    <d v="2020-05-11T20:15:00"/>
    <n v="94169.852437956826"/>
    <n v="6.7871650507412733"/>
    <n v="0.69699482453035799"/>
    <n v="1738"/>
    <n v="0"/>
    <n v="0"/>
    <n v="0"/>
    <n v="0"/>
    <n v="289.71364085077721"/>
    <n v="290.44770045072204"/>
    <n v="0"/>
    <n v="1.0600421375713813"/>
    <n v="850.96430029208796"/>
    <n v="447.1387750510944"/>
    <n v="1000"/>
    <n v="-1387.5190369544484"/>
    <n v="3125.5190369544484"/>
    <n v="0.57537399309551218"/>
    <n v="0"/>
    <n v="0.31994685944207674"/>
  </r>
  <r>
    <x v="62"/>
    <x v="2"/>
    <n v="13.08333333333333"/>
    <n v="34582.911473367378"/>
    <m/>
    <m/>
    <m/>
    <m/>
    <n v="5358.2445988463051"/>
    <n v="5322"/>
    <n v="1205"/>
    <n v="1239.9998865699761"/>
    <n v="10567"/>
    <n v="6308"/>
    <n v="15914.82350362051"/>
    <x v="52"/>
    <d v="2020-05-10T20:05:00"/>
    <n v="33468.01385908341"/>
    <n v="7.4820431591298062"/>
    <n v="0.82208472688100909"/>
    <n v="2173.0000000000005"/>
    <n v="0"/>
    <n v="0"/>
    <n v="0"/>
    <n v="0"/>
    <n v="336.68262784235981"/>
    <n v="334.40521654476925"/>
    <n v="75.715574208276394"/>
    <n v="77.91477463057538"/>
    <n v="663.97217648037895"/>
    <n v="396.36003494257881"/>
    <n v="1000"/>
    <n v="70.054035725268022"/>
    <n v="2102.9459642747324"/>
    <n v="0.46019328117809466"/>
    <n v="0"/>
    <n v="0.47552339289178153"/>
  </r>
  <r>
    <x v="63"/>
    <x v="11"/>
    <n v="10.33333333333333"/>
    <n v="23966.31564797747"/>
    <m/>
    <m/>
    <m/>
    <m/>
    <n v="4958.5516933600111"/>
    <n v="4952"/>
    <n v="0"/>
    <n v="17.044383616543261"/>
    <n v="9605"/>
    <n v="4031"/>
    <n v="11029.137435792671"/>
    <x v="53"/>
    <d v="2020-05-12T07:00:00"/>
    <n v="24004.4979532447"/>
    <n v="7.5206892317286691"/>
    <n v="0.93691219222626976"/>
    <n v="2173"/>
    <n v="0"/>
    <n v="0"/>
    <n v="0"/>
    <n v="0"/>
    <n v="449.58653586708499"/>
    <n v="448.99250089398282"/>
    <n v="0"/>
    <n v="1.5453958857407486"/>
    <n v="870.87499416128935"/>
    <n v="365.48642389007364"/>
    <n v="1000.0000000000001"/>
    <n v="-3.4619484515005752"/>
    <n v="2176.4619484515006"/>
    <n v="0.46019328117809488"/>
    <n v="0"/>
    <n v="0.45946128335093367"/>
  </r>
  <r>
    <x v="64"/>
    <x v="1"/>
    <n v="5.75"/>
    <n v="13894.686124572971"/>
    <m/>
    <m/>
    <m/>
    <m/>
    <n v="-24130.21796260319"/>
    <n v="2218"/>
    <n v="0"/>
    <n v="12.91627146986229"/>
    <n v="5225"/>
    <n v="1704"/>
    <n v="6394.2411986069801"/>
    <x v="54"/>
    <d v="2020-05-12T12:45:00"/>
    <n v="13691.88573123001"/>
    <n v="9.922944843019895"/>
    <n v="0.89924665357519962"/>
    <n v="2173.0000000000005"/>
    <n v="0"/>
    <n v="0"/>
    <n v="0"/>
    <n v="0"/>
    <n v="-3773.7422178975808"/>
    <n v="346.87462219648569"/>
    <n v="0"/>
    <n v="2.0199850253813021"/>
    <n v="817.14152433572485"/>
    <n v="266.48979090298087"/>
    <n v="1000"/>
    <n v="31.716100009981346"/>
    <n v="2141.2838999900191"/>
    <n v="0.46019328117809472"/>
    <n v="0"/>
    <n v="0.46700953572978393"/>
  </r>
  <r>
    <x v="65"/>
    <x v="1"/>
    <n v="51.833333333333343"/>
    <n v="121478.0673508293"/>
    <m/>
    <m/>
    <m/>
    <m/>
    <n v="-11552.526337241359"/>
    <n v="18048.726285973949"/>
    <n v="0"/>
    <n v="116.53172615503139"/>
    <n v="51509.387431093914"/>
    <n v="27837.672146342538"/>
    <n v="55903.39040535174"/>
    <x v="55"/>
    <d v="2020-05-17T08:55:00"/>
    <n v="255031.35149342529"/>
    <n v="6.7129833390665867"/>
    <n v="0.92719480799810738"/>
    <n v="2172.9999999999995"/>
    <n v="0"/>
    <n v="0"/>
    <n v="0"/>
    <n v="0"/>
    <n v="-206.6516226202877"/>
    <n v="322.8556650160902"/>
    <n v="0"/>
    <n v="2.0845198352026175"/>
    <n v="921.40006281556089"/>
    <n v="497.9603552574082"/>
    <n v="1000.0000000000001"/>
    <n v="-2389.001510896031"/>
    <n v="4562.0015108960306"/>
    <n v="0.46019328117809494"/>
    <n v="0"/>
    <n v="0.21920203174233238"/>
  </r>
  <r>
    <x v="66"/>
    <x v="11"/>
    <n v="14.16666666666667"/>
    <n v="37397.712912081122"/>
    <m/>
    <m/>
    <m/>
    <m/>
    <n v="6495.5189047641861"/>
    <n v="6521"/>
    <n v="0"/>
    <n v="69.555674025224334"/>
    <n v="14805"/>
    <n v="6680.0905031069769"/>
    <n v="17210.176213567011"/>
    <x v="56"/>
    <d v="2020-05-13T20:45:00"/>
    <n v="37400.808947705576"/>
    <n v="7.8200159171910633"/>
    <n v="0.82315639833477694"/>
    <n v="2173.0000000000005"/>
    <n v="0"/>
    <n v="0"/>
    <n v="0"/>
    <n v="0"/>
    <n v="377.42314919725703"/>
    <n v="378.90373224995852"/>
    <n v="0"/>
    <n v="4.0415433963071612"/>
    <n v="860.24685722444963"/>
    <n v="388.14771099443902"/>
    <n v="1000"/>
    <n v="-0.17989563767559957"/>
    <n v="2173.1798956376761"/>
    <n v="0.46019328117809472"/>
    <n v="0"/>
    <n v="0.46015518641937825"/>
  </r>
  <r>
    <x v="67"/>
    <x v="7"/>
    <n v="13.25"/>
    <n v="30648.650972770229"/>
    <m/>
    <m/>
    <m/>
    <m/>
    <n v="5761.6176413974854"/>
    <n v="5680"/>
    <n v="0"/>
    <n v="-44.066538892849387"/>
    <n v="11492"/>
    <n v="7161"/>
    <n v="13483.788373414091"/>
    <x v="57"/>
    <d v="2020-05-13T02:00:00"/>
    <n v="32289.21739772545"/>
    <n v="8.6115896141043855"/>
    <n v="0.98266152160359843"/>
    <n v="2273"/>
    <n v="0"/>
    <n v="0"/>
    <n v="0"/>
    <n v="0"/>
    <n v="427.29961950141808"/>
    <n v="421.24659944969352"/>
    <n v="0"/>
    <n v="-3.2681126158680396"/>
    <n v="852.28273254857004"/>
    <n v="531.08220046817871"/>
    <n v="1000"/>
    <n v="-121.66954712741699"/>
    <n v="2394.669547127417"/>
    <n v="0.43994720633523976"/>
    <n v="0"/>
    <n v="0.41759415247902321"/>
  </r>
  <r>
    <x v="68"/>
    <x v="9"/>
    <n v="10.25"/>
    <n v="25646.743527047111"/>
    <m/>
    <m/>
    <m/>
    <m/>
    <n v="3802.3481020609611"/>
    <n v="3797"/>
    <n v="0"/>
    <n v="-40.333129102663179"/>
    <n v="11399"/>
    <n v="4890"/>
    <n v="14756.469233053571"/>
    <x v="58"/>
    <d v="2020-05-14T07:00:00"/>
    <n v="25646.811662901589"/>
    <n v="5.26205390589831"/>
    <n v="0.69461060353384796"/>
    <n v="1738.0000000000002"/>
    <n v="0"/>
    <n v="0"/>
    <n v="0"/>
    <n v="0"/>
    <n v="257.67329853837521"/>
    <n v="257.31087430419717"/>
    <n v="0"/>
    <n v="-2.7332506486253152"/>
    <n v="772.47475801778864"/>
    <n v="331.38008305175771"/>
    <n v="1000"/>
    <n v="-4.6173548294063949E-3"/>
    <n v="1738.0046173548296"/>
    <n v="0.57537399309551196"/>
    <n v="0"/>
    <n v="0.57537246450009905"/>
  </r>
  <r>
    <x v="69"/>
    <x v="11"/>
    <n v="46.999999999999993"/>
    <n v="116819.5366885847"/>
    <m/>
    <m/>
    <m/>
    <m/>
    <n v="-8726.2414266409251"/>
    <n v="18744.745587017678"/>
    <n v="0"/>
    <n v="131.33124704049951"/>
    <n v="54806.676030777628"/>
    <n v="27163.60850303121"/>
    <n v="53759.565894424602"/>
    <x v="59"/>
    <d v="2020-05-19T07:05:00"/>
    <n v="198315.47334797159"/>
    <n v="6.1769599868672591"/>
    <n v="0.87426301195029477"/>
    <n v="2173.0000000000009"/>
    <n v="0"/>
    <n v="0"/>
    <n v="0"/>
    <n v="0"/>
    <n v="-162.3197896310752"/>
    <n v="348.67739862017174"/>
    <n v="0"/>
    <n v="2.4429372681024542"/>
    <n v="1019.4776523755676"/>
    <n v="505.27953585741926"/>
    <n v="1000"/>
    <n v="-1515.9336818201282"/>
    <n v="3688.9336818201291"/>
    <n v="0.46019328117809466"/>
    <n v="0"/>
    <n v="0.27108104570386243"/>
  </r>
  <r>
    <x v="70"/>
    <x v="1"/>
    <n v="91.083333333333329"/>
    <n v="213968.94531509359"/>
    <m/>
    <m/>
    <m/>
    <m/>
    <n v="-9139.423533227804"/>
    <n v="30896.98686285242"/>
    <n v="2231.5386075304841"/>
    <n v="2334.6076476891112"/>
    <n v="92447.244889491893"/>
    <n v="52428.074701037767"/>
    <n v="98467.071014769259"/>
    <x v="60"/>
    <d v="2020-05-29T08:00:00"/>
    <n v="642521.27333846421"/>
    <n v="6.6363074060163703"/>
    <n v="0.92501312768480304"/>
    <n v="2172.9999999999995"/>
    <n v="0"/>
    <n v="0"/>
    <n v="0"/>
    <n v="0"/>
    <n v="-92.817054869611837"/>
    <n v="313.77989153570053"/>
    <n v="22.66279056067151"/>
    <n v="23.709526683686356"/>
    <n v="938.86457611423771"/>
    <n v="532.44271572954551"/>
    <n v="1000"/>
    <n v="-4352.2400291473205"/>
    <n v="6525.2400291473205"/>
    <n v="0.46019328117809483"/>
    <n v="0"/>
    <n v="0.15325106747539433"/>
  </r>
  <r>
    <x v="71"/>
    <x v="9"/>
    <n v="11"/>
    <n v="27051.225890529091"/>
    <m/>
    <m/>
    <m/>
    <m/>
    <n v="3994.9402064450442"/>
    <n v="4023.454631620602"/>
    <n v="100.1593990384615"/>
    <n v="56.525232505805427"/>
    <n v="11339.62161839613"/>
    <n v="5714.5620026634479"/>
    <n v="15564.57185876242"/>
    <x v="60"/>
    <d v="2020-05-18T18:00:00"/>
    <n v="26466.339962360089"/>
    <n v="5.5384171016060586"/>
    <n v="0.70673322079253387"/>
    <n v="1738.0000000000005"/>
    <n v="0"/>
    <n v="0"/>
    <n v="0"/>
    <n v="0"/>
    <n v="256.66881445222691"/>
    <n v="258.50082277435143"/>
    <n v="6.4350886068269562"/>
    <n v="3.6316599658976996"/>
    <n v="728.55339172161291"/>
    <n v="367.15189177827006"/>
    <n v="1000"/>
    <n v="37.57802871010108"/>
    <n v="1700.4219712898994"/>
    <n v="0.57537399309551196"/>
    <n v="0"/>
    <n v="0.58808931952427312"/>
  </r>
  <r>
    <x v="72"/>
    <x v="9"/>
    <n v="9.8333333333333321"/>
    <n v="25343.052650241749"/>
    <m/>
    <m/>
    <m/>
    <m/>
    <n v="2870.193985385441"/>
    <n v="4787.478301360451"/>
    <n v="0"/>
    <n v="4.3884449655848812"/>
    <n v="8917.8921462651924"/>
    <n v="5209.058263384064"/>
    <n v="14581.733400599391"/>
    <x v="61"/>
    <d v="2020-05-21T08:10:00"/>
    <n v="25345.455796422579"/>
    <n v="7.3404709073654857"/>
    <n v="0.67435969806779816"/>
    <n v="1738.0000000000005"/>
    <n v="0"/>
    <n v="0"/>
    <n v="0"/>
    <n v="0"/>
    <n v="196.8348965471732"/>
    <n v="328.32024628592228"/>
    <n v="0"/>
    <n v="0.30095495816735285"/>
    <n v="611.57970052439839"/>
    <n v="357.23175841151658"/>
    <n v="1000"/>
    <n v="-0.16480524741541558"/>
    <n v="1738.1648052474159"/>
    <n v="0.57537399309551196"/>
    <n v="0"/>
    <n v="0.57531943862921375"/>
  </r>
  <r>
    <x v="73"/>
    <x v="7"/>
    <n v="12.75"/>
    <n v="32735.580201018831"/>
    <m/>
    <m/>
    <m/>
    <m/>
    <n v="-11243.679499099269"/>
    <n v="2372.7370596146579"/>
    <n v="0"/>
    <n v="12.37417315244471"/>
    <n v="10318.92296416"/>
    <n v="5356.4100957265191"/>
    <n v="14401.927057201419"/>
    <x v="62"/>
    <d v="2020-05-20T21:15:00"/>
    <n v="32158.584475360021"/>
    <n v="7.9184945869304064"/>
    <n v="0.88529819303761825"/>
    <n v="2273.0000000000005"/>
    <n v="0"/>
    <n v="0"/>
    <n v="0"/>
    <n v="0"/>
    <n v="-780.7065995017017"/>
    <n v="164.75135932786262"/>
    <n v="0"/>
    <n v="0.85920259860344395"/>
    <n v="716.49598856982209"/>
    <n v="371.92315128746219"/>
    <n v="1000"/>
    <n v="40.063786142445224"/>
    <n v="2232.9362138575552"/>
    <n v="0.4399472063352397"/>
    <n v="0"/>
    <n v="0.44784082670791087"/>
  </r>
  <r>
    <x v="74"/>
    <x v="7"/>
    <n v="17.25"/>
    <n v="43837.151674041052"/>
    <m/>
    <m/>
    <m/>
    <m/>
    <n v="5219.1892192951809"/>
    <n v="5336"/>
    <n v="0"/>
    <n v="-26.37607274319009"/>
    <n v="14762.87858585719"/>
    <n v="7234.207034207192"/>
    <n v="19286.032412688539"/>
    <x v="63"/>
    <d v="2020-05-22T01:35:00"/>
    <n v="43791.713816957337"/>
    <n v="7.1784559421626524"/>
    <n v="0.89442969040386944"/>
    <n v="2273.0000000000005"/>
    <n v="0"/>
    <n v="0"/>
    <n v="0"/>
    <n v="0"/>
    <n v="270.62016217816824"/>
    <n v="276.67691756493025"/>
    <n v="0"/>
    <n v="-1.3676256566818232"/>
    <n v="765.46996655177736"/>
    <n v="375.1008439375903"/>
    <n v="1000"/>
    <n v="2.3559981706671351"/>
    <n v="2270.6440018293333"/>
    <n v="0.43994720633523976"/>
    <n v="0"/>
    <n v="0.44040369128509571"/>
  </r>
  <r>
    <x v="75"/>
    <x v="9"/>
    <n v="30.333333333333329"/>
    <n v="75584.563835573063"/>
    <m/>
    <m/>
    <m/>
    <m/>
    <n v="10237.76956738413"/>
    <n v="10485"/>
    <n v="5777.0176316189209"/>
    <n v="5755.0646988931712"/>
    <n v="20969.866025487001"/>
    <n v="13568.2818657634"/>
    <n v="43489.3923104563"/>
    <x v="64"/>
    <d v="2020-05-23T16:30:00"/>
    <n v="75206.431599030926"/>
    <n v="6.2059982393343738"/>
    <n v="0.69748809357449182"/>
    <n v="1738.0000000000002"/>
    <n v="0"/>
    <n v="0"/>
    <n v="0"/>
    <n v="0"/>
    <n v="235.40843004427606"/>
    <n v="241.09327454269939"/>
    <n v="132.83739607991564"/>
    <n v="132.33260786468753"/>
    <n v="482.18346846031113"/>
    <n v="311.99060609778013"/>
    <n v="1000"/>
    <n v="8.6948153665327936"/>
    <n v="1729.3051846334674"/>
    <n v="0.57537399309551196"/>
    <n v="0"/>
    <n v="0.5782669299126364"/>
  </r>
  <r>
    <x v="76"/>
    <x v="11"/>
    <n v="33.5"/>
    <n v="82154.173989910167"/>
    <m/>
    <m/>
    <m/>
    <m/>
    <n v="-13683.805214272281"/>
    <n v="13421"/>
    <n v="0"/>
    <n v="-2.8863366835381039"/>
    <n v="30382.881625661579"/>
    <n v="13351.313633833761"/>
    <n v="37806.798890892853"/>
    <x v="65"/>
    <d v="2020-05-25T02:00:00"/>
    <n v="82158.05925409394"/>
    <n v="6.2280248422898294"/>
    <n v="0.88608401088592814"/>
    <n v="2173"/>
    <n v="0"/>
    <n v="0"/>
    <n v="0"/>
    <n v="0"/>
    <n v="-361.94032861027347"/>
    <n v="354.98906000298632"/>
    <n v="0"/>
    <n v="-7.6344381651242715E-2"/>
    <n v="803.63539143697255"/>
    <n v="353.14583687353417"/>
    <n v="1000.0000000000001"/>
    <n v="-0.10276628272549715"/>
    <n v="2173.1027662827255"/>
    <n v="0.46019328117809483"/>
    <n v="0"/>
    <n v="0.46017151858427008"/>
  </r>
  <r>
    <x v="77"/>
    <x v="7"/>
    <n v="14.08333333333333"/>
    <n v="33988.922962032077"/>
    <m/>
    <m/>
    <m/>
    <m/>
    <n v="4633.8459298392891"/>
    <n v="4745"/>
    <n v="0"/>
    <n v="-54.329996276756283"/>
    <n v="10803.518185494549"/>
    <n v="4944.8756839004072"/>
    <n v="14953.33170348969"/>
    <x v="66"/>
    <d v="2020-05-25T21:05:00"/>
    <n v="34612.472916829749"/>
    <n v="6.238486179495502"/>
    <n v="0.9418190950747567"/>
    <n v="2273.0000000000009"/>
    <n v="0"/>
    <n v="0"/>
    <n v="0"/>
    <n v="0"/>
    <n v="309.88718913778115"/>
    <n v="317.32058741749501"/>
    <n v="0"/>
    <n v="-3.6333037582572438"/>
    <n v="722.48234705937205"/>
    <n v="330.68721954094093"/>
    <n v="1000"/>
    <n v="-41.699734023297879"/>
    <n v="2314.6997340232988"/>
    <n v="0.43994720633523965"/>
    <n v="0"/>
    <n v="0.43202147790540785"/>
  </r>
  <r>
    <x v="78"/>
    <x v="10"/>
    <n v="16.166666666666671"/>
    <n v="37609.198677115521"/>
    <m/>
    <m/>
    <m/>
    <m/>
    <n v="6476.1715704428261"/>
    <n v="6144"/>
    <n v="981.2398394764075"/>
    <n v="985.70477829654374"/>
    <n v="14167.77066534362"/>
    <n v="8959.7662071922605"/>
    <n v="17307.500541700651"/>
    <x v="67"/>
    <d v="2020-05-27T05:55:00"/>
    <n v="37635.542952184267"/>
    <n v="6.93416804164056"/>
    <n v="0.93408442355467469"/>
    <n v="2173.0000000000005"/>
    <n v="0"/>
    <n v="0"/>
    <n v="0"/>
    <n v="0"/>
    <n v="374.18294772484069"/>
    <n v="354.99059989607747"/>
    <n v="56.694485556259878"/>
    <n v="56.95246265753908"/>
    <n v="818.59137494797858"/>
    <n v="517.68111666988659"/>
    <n v="1000"/>
    <n v="-1.5221305355603363"/>
    <n v="2174.5221305355608"/>
    <n v="0.46019328117809472"/>
    <n v="0"/>
    <n v="0.45987115327895567"/>
  </r>
  <r>
    <x v="79"/>
    <x v="10"/>
    <n v="14.08333333333333"/>
    <n v="33426.691894681811"/>
    <m/>
    <m/>
    <m/>
    <m/>
    <n v="5173.1485374173399"/>
    <n v="5047"/>
    <n v="0"/>
    <n v="43.073274901630043"/>
    <n v="13813.24397496689"/>
    <n v="7635.6932219063656"/>
    <n v="15382.739021942851"/>
    <x v="68"/>
    <d v="2020-05-28T21:05:00"/>
    <n v="33426.729680156008"/>
    <n v="6.3996914165136776"/>
    <n v="0.9155283277733588"/>
    <n v="2173"/>
    <n v="0"/>
    <n v="0"/>
    <n v="0"/>
    <n v="0"/>
    <n v="336.29567075395704"/>
    <n v="328.09501564062549"/>
    <n v="0"/>
    <n v="2.8001043793428315"/>
    <n v="897.97037804924457"/>
    <n v="496.38059977578507"/>
    <n v="1000"/>
    <n v="-2.4563554084124917E-3"/>
    <n v="2173.0024563554084"/>
    <n v="0.46019328117809483"/>
    <n v="0"/>
    <n v="0.46019276097700074"/>
  </r>
  <r>
    <x v="80"/>
    <x v="15"/>
    <n v="33.586666666666673"/>
    <n v="58402.509141392358"/>
    <m/>
    <m/>
    <m/>
    <m/>
    <n v="11727.707879985701"/>
    <n v="7805"/>
    <n v="26377.550716705449"/>
    <n v="-17659.34856962561"/>
    <n v="3628.0706889207931"/>
    <n v="34008.113980945011"/>
    <n v="22777.889680730252"/>
    <x v="69"/>
    <d v="2020-05-30T14:40:12"/>
    <n v="60165.760438582103"/>
    <n v="6.4926760493386606"/>
    <n v="1.4745293412796041"/>
    <n v="2563.9999999999995"/>
    <n v="0"/>
    <n v="0"/>
    <n v="0"/>
    <n v="0"/>
    <n v="514.87245062509737"/>
    <n v="342.65685317647802"/>
    <n v="1158.0331227532661"/>
    <n v="-775.28466496021133"/>
    <n v="159.28036968192387"/>
    <n v="1493.0318153975152"/>
    <n v="1000.0000000000001"/>
    <n v="-77.410652255526202"/>
    <n v="2641.4106522555257"/>
    <n v="0.39001560062402502"/>
    <n v="0"/>
    <n v="0.37858558613220195"/>
  </r>
  <r>
    <x v="81"/>
    <x v="3"/>
    <n v="9.5"/>
    <n v="17258.491680848689"/>
    <m/>
    <m/>
    <m/>
    <m/>
    <n v="2715.0195571233198"/>
    <n v="3057"/>
    <n v="3983.615313604068"/>
    <n v="3953.631793329208"/>
    <n v="0"/>
    <n v="2249.564666395408"/>
    <n v="6731.0809987709408"/>
    <x v="70"/>
    <d v="2020-06-01T16:30:00"/>
    <n v="16795.941405396559"/>
    <n v="7.1833781637780429"/>
    <n v="1.4113631973429899"/>
    <n v="2563.9999999999995"/>
    <n v="0"/>
    <n v="0"/>
    <n v="0"/>
    <n v="0"/>
    <n v="403.35565084108595"/>
    <n v="454.16182045026522"/>
    <n v="591.82400484134041"/>
    <n v="587.36951673158001"/>
    <n v="0"/>
    <n v="334.20555580985678"/>
    <n v="1000"/>
    <n v="68.718572178315753"/>
    <n v="2495.2814278216838"/>
    <n v="0.39001560062402502"/>
    <n v="0"/>
    <n v="0.40075639919821554"/>
  </r>
  <r>
    <x v="82"/>
    <x v="12"/>
    <n v="3.583333333333333"/>
    <n v="3576.5622392200221"/>
    <m/>
    <m/>
    <m/>
    <m/>
    <n v="1516.5085035425041"/>
    <n v="1152"/>
    <n v="1439.3726706326429"/>
    <n v="1502.7122082289779"/>
    <n v="0"/>
    <n v="529.36026623673922"/>
    <n v="1394.9150698986041"/>
    <x v="71"/>
    <d v="2020-06-01T23:35:00"/>
    <n v="5856.3411997260564"/>
    <n v="7.4719023398685733"/>
    <n v="2.5688541264335214"/>
    <n v="2564.0000000000009"/>
    <n v="0"/>
    <n v="0"/>
    <n v="0"/>
    <n v="0"/>
    <n v="1087.1690587246567"/>
    <n v="825.85673125155824"/>
    <n v="1031.8711882131079"/>
    <n v="1077.2786391491272"/>
    <n v="0"/>
    <n v="379.49282910479866"/>
    <n v="1000.0000000000001"/>
    <n v="-1634.349653037837"/>
    <n v="4198.3496530378379"/>
    <n v="0.39001560062402485"/>
    <n v="0"/>
    <n v="0.2381888319560094"/>
  </r>
  <r>
    <x v="83"/>
    <x v="0"/>
    <n v="10.16666666666667"/>
    <n v="0"/>
    <n v="17106"/>
    <n v="0"/>
    <n v="17106"/>
    <n v="0"/>
    <n v="3007.122342852299"/>
    <n v="3960"/>
    <n v="9364.6441588528651"/>
    <n v="8273.9408555221562"/>
    <n v="0"/>
    <n v="7325.6029680895153"/>
    <n v="8145.7142857142853"/>
    <x v="72"/>
    <d v="2020-06-03T09:30:00"/>
    <n v="13205.9471460601"/>
    <n v="5.2157257756879254"/>
    <n v="1.2481000818426287"/>
    <n v="0"/>
    <n v="2100"/>
    <n v="0"/>
    <n v="2100"/>
    <n v="0"/>
    <n v="369.16619431718863"/>
    <n v="486.14521220624346"/>
    <n v="1149.6406368286578"/>
    <n v="1015.7415992398297"/>
    <n v="0"/>
    <n v="899.31990137893035"/>
    <n v="1000"/>
    <n v="-1621.2141357842986"/>
    <n v="1621.2141357842986"/>
    <n v="0"/>
    <n v="0.47619047619047616"/>
    <n v="0.61682166342339939"/>
  </r>
  <r>
    <x v="84"/>
    <x v="16"/>
    <n v="198.9133333333333"/>
    <n v="0"/>
    <n v="204487.2885"/>
    <n v="7319.6230800000012"/>
    <n v="197167.66542"/>
    <n v="68167.33600000001"/>
    <n v="11372.997054283451"/>
    <n v="65849"/>
    <n v="155153.55041855859"/>
    <n v="22002.209064522831"/>
    <n v="0"/>
    <n v="112296.9146466462"/>
    <n v="129835.5354761905"/>
    <x v="73"/>
    <d v="2020-06-12T06:20:00"/>
    <n v="65.947721870614856"/>
    <n v="5.0041666030883789"/>
    <n v="1.5320407668346729"/>
    <n v="0"/>
    <n v="1574.971657412691"/>
    <n v="56.376115006991192"/>
    <n v="1518.5955424056999"/>
    <n v="525.02834258730866"/>
    <n v="87.595410706100978"/>
    <n v="507.17239897759362"/>
    <n v="1195.0006587142004"/>
    <n v="169.46215058786922"/>
    <n v="0"/>
    <n v="864.91663653391277"/>
    <n v="1000"/>
    <n v="-0.5079327599238691"/>
    <n v="0.5079327599238691"/>
    <n v="0"/>
    <n v="0.47619047619047622"/>
    <n v="1968.7645273163398"/>
  </r>
  <r>
    <x v="85"/>
    <x v="1"/>
    <n v="27.25"/>
    <n v="48440.352857614002"/>
    <m/>
    <m/>
    <m/>
    <m/>
    <n v="-21188.898717985179"/>
    <n v="6247"/>
    <n v="14702.988953208411"/>
    <n v="14711.617043999209"/>
    <n v="0"/>
    <n v="2774.5591739631891"/>
    <n v="21633.30763579005"/>
    <x v="74"/>
    <d v="2020-07-18T11:35:00"/>
    <n v="103446.859845071"/>
    <n v="6.9227598140766098"/>
    <n v="1.2596316965842855"/>
    <n v="2239.1561047037712"/>
    <n v="0"/>
    <n v="0"/>
    <n v="0"/>
    <n v="0"/>
    <n v="-979.45719049131242"/>
    <n v="288.76767737842317"/>
    <n v="679.645905320731"/>
    <n v="680.04473895893636"/>
    <n v="0"/>
    <n v="128.25404328707324"/>
    <n v="1000"/>
    <n v="-2542.6766869646171"/>
    <n v="4781.8327916683884"/>
    <n v="0.44659682185592631"/>
    <n v="0"/>
    <n v="0.20912483634775916"/>
  </r>
  <r>
    <x v="86"/>
    <x v="3"/>
    <n v="25.833333333333339"/>
    <n v="46148.039238660152"/>
    <m/>
    <m/>
    <m/>
    <m/>
    <n v="9487.1124016158174"/>
    <n v="8677"/>
    <n v="12754.554076434721"/>
    <n v="12697.06394741369"/>
    <n v="0"/>
    <n v="4223.1955216434653"/>
    <n v="17998.455241287109"/>
    <x v="75"/>
    <d v="2020-07-19T19:00:00"/>
    <n v="47289.872910608901"/>
    <n v="6.2934405277672276"/>
    <n v="1.4353083632462862"/>
    <n v="2564"/>
    <n v="0"/>
    <n v="0"/>
    <n v="0"/>
    <n v="0"/>
    <n v="527.10703637793824"/>
    <n v="482.09692907953632"/>
    <n v="708.64715362775848"/>
    <n v="705.45298344757816"/>
    <n v="0"/>
    <n v="234.64211039377264"/>
    <n v="1000"/>
    <n v="-63.440648469068492"/>
    <n v="2627.4406484690685"/>
    <n v="0.39001560062402491"/>
    <n v="0"/>
    <n v="0.38059851155255225"/>
  </r>
  <r>
    <x v="87"/>
    <x v="12"/>
    <n v="21"/>
    <n v="38531.607829825167"/>
    <m/>
    <m/>
    <m/>
    <m/>
    <n v="5136.2767560012308"/>
    <n v="6300"/>
    <n v="7056.0847607517098"/>
    <n v="-20813.15270320428"/>
    <n v="0"/>
    <n v="3388.3014316659451"/>
    <n v="15027.928170758651"/>
    <x v="76"/>
    <d v="2020-07-20T16:00:00"/>
    <n v="38576.815747031484"/>
    <n v="6.3573902768734794"/>
    <n v="1.397398214935696"/>
    <n v="2563.9999999999995"/>
    <n v="0"/>
    <n v="0"/>
    <n v="0"/>
    <n v="0"/>
    <n v="341.78209382151562"/>
    <n v="419.21946448070884"/>
    <n v="469.53144043378137"/>
    <n v="-1384.9648778400817"/>
    <n v="0"/>
    <n v="225.46697010828834"/>
    <n v="999.99999999999989"/>
    <n v="-3.0082601335739128"/>
    <n v="2567.0082601335735"/>
    <n v="0.39001560062402507"/>
    <n v="0"/>
    <n v="0.38955854390120476"/>
  </r>
  <r>
    <x v="88"/>
    <x v="6"/>
    <n v="48.416666666666657"/>
    <n v="89553.943127535793"/>
    <m/>
    <m/>
    <m/>
    <m/>
    <n v="-16307.309477694011"/>
    <n v="11317"/>
    <n v="16738.992367294009"/>
    <n v="17552.898866612421"/>
    <n v="0"/>
    <n v="8229.4715496198205"/>
    <n v="34927.434917135637"/>
    <x v="77"/>
    <d v="2020-07-23T00:05:00"/>
    <n v="102277.6846433429"/>
    <n v="6.4752842170893947"/>
    <n v="1.3862073404913313"/>
    <n v="2564.0000000000005"/>
    <n v="0"/>
    <n v="0"/>
    <n v="0"/>
    <n v="0"/>
    <n v="-466.89112774478417"/>
    <n v="324.01463281942307"/>
    <n v="479.25054923176583"/>
    <n v="502.55333402685255"/>
    <n v="0"/>
    <n v="235.61625894211849"/>
    <n v="999.99999999999989"/>
    <n v="-364.29075155372357"/>
    <n v="2928.290751553724"/>
    <n v="0.39001560062402485"/>
    <n v="0"/>
    <n v="0.34149614394315497"/>
  </r>
  <r>
    <x v="89"/>
    <x v="12"/>
    <n v="14"/>
    <n v="25513.932045055419"/>
    <m/>
    <m/>
    <m/>
    <m/>
    <n v="3373.4267149352349"/>
    <n v="3301"/>
    <n v="5057.3703771193086"/>
    <n v="-23234.6676086716"/>
    <n v="0"/>
    <n v="2444.6453506782082"/>
    <n v="9950.8315308328438"/>
    <x v="78"/>
    <d v="2020-07-23T07:10:00"/>
    <n v="44563.218930932017"/>
    <n v="6.132441682048654"/>
    <n v="1.4069175984560416"/>
    <n v="2564.0000000000009"/>
    <n v="0"/>
    <n v="0"/>
    <n v="0"/>
    <n v="0"/>
    <n v="339.00952945315242"/>
    <n v="331.73107089309951"/>
    <n v="508.23595610567304"/>
    <n v="-2334.9473394940446"/>
    <n v="0"/>
    <n v="245.67246898949372"/>
    <n v="1000"/>
    <n v="-1914.3412112698334"/>
    <n v="4478.3412112698343"/>
    <n v="0.39001560062402485"/>
    <n v="0"/>
    <n v="0.22329696484124081"/>
  </r>
  <r>
    <x v="90"/>
    <x v="15"/>
    <n v="20.75"/>
    <n v="30101.862138591339"/>
    <m/>
    <m/>
    <m/>
    <m/>
    <n v="5183.8444135205746"/>
    <n v="5246"/>
    <n v="0.82406250000000014"/>
    <n v="106.0080961551009"/>
    <n v="9458.3858023176454"/>
    <n v="0.69780423713346529"/>
    <n v="12128.61689360172"/>
    <x v="79"/>
    <d v="2020-07-24T13:30:00"/>
    <n v="32966.423146907728"/>
    <n v="5.736250276311905"/>
    <n v="1.7108298647759554"/>
    <n v="2481.8874569672612"/>
    <n v="0"/>
    <n v="0"/>
    <n v="0"/>
    <n v="0"/>
    <n v="427.40606443387935"/>
    <n v="432.5307696681765"/>
    <n v="6.7943649900816194E-2"/>
    <n v="8.7403285209729038"/>
    <n v="779.84042906881518"/>
    <n v="5.7533702585789652E-2"/>
    <n v="999.99999999999989"/>
    <n v="-236.18200108435713"/>
    <n v="2718.0694580516183"/>
    <n v="0.40291915622231655"/>
    <n v="0"/>
    <n v="0.36790818462631403"/>
  </r>
  <r>
    <x v="91"/>
    <x v="1"/>
    <n v="44.833333333333343"/>
    <n v="122857.3369573457"/>
    <m/>
    <m/>
    <m/>
    <m/>
    <n v="-15129.147724261131"/>
    <n v="12602"/>
    <n v="2787.0204571201848"/>
    <n v="2781.5384188225139"/>
    <n v="37745.801663188679"/>
    <n v="24199.879853650538"/>
    <n v="56538.121011203722"/>
    <x v="80"/>
    <d v="2020-07-27T15:20:00"/>
    <n v="158845.32256712869"/>
    <n v="6.9935358192474499"/>
    <n v="0.79297529757752416"/>
    <n v="2173.0000000000005"/>
    <n v="0"/>
    <n v="0"/>
    <n v="0"/>
    <n v="0"/>
    <n v="-267.59197960015518"/>
    <n v="222.8938594811589"/>
    <n v="49.294536275231053"/>
    <n v="49.197574469645318"/>
    <n v="667.61683954280841"/>
    <n v="428.02766382800439"/>
    <n v="1000"/>
    <n v="-636.5260282111517"/>
    <n v="2809.5260282111522"/>
    <n v="0.46019328117809477"/>
    <n v="0"/>
    <n v="0.35593192230958187"/>
  </r>
  <r>
    <x v="92"/>
    <x v="9"/>
    <n v="11.5"/>
    <n v="32528.706155709318"/>
    <m/>
    <m/>
    <m/>
    <m/>
    <n v="3186.6452497322439"/>
    <n v="4211"/>
    <n v="0"/>
    <n v="-24.569289629944539"/>
    <n v="10902.47173798565"/>
    <n v="7252.9160955819016"/>
    <n v="18716.171551041039"/>
    <x v="81"/>
    <d v="2020-07-26T07:00:00"/>
    <n v="32528.6504232648"/>
    <n v="6.9429078355212708"/>
    <n v="0.61444189954330386"/>
    <n v="1737.9999999999995"/>
    <n v="0"/>
    <n v="0"/>
    <n v="0"/>
    <n v="0"/>
    <n v="170.26159655792398"/>
    <n v="224.99259469363935"/>
    <n v="0"/>
    <n v="-1.3127305209263234"/>
    <n v="582.51612560044248"/>
    <n v="387.52135156500401"/>
    <n v="1000.0000000000001"/>
    <n v="2.9777694846870872E-3"/>
    <n v="1737.9970222305149"/>
    <n v="0.57537399309551218"/>
    <n v="0"/>
    <n v="0.57537497890336864"/>
  </r>
  <r>
    <x v="93"/>
    <x v="7"/>
    <n v="8.3333333333333321"/>
    <n v="21571.283645582411"/>
    <m/>
    <m/>
    <m/>
    <m/>
    <n v="1611.009298178011"/>
    <n v="2231"/>
    <n v="0"/>
    <n v="-19.016349697679399"/>
    <n v="4878.625027918968"/>
    <n v="3297.1704950492231"/>
    <n v="9490.2259769390275"/>
    <x v="82"/>
    <d v="2020-07-28T19:00:00"/>
    <n v="41351.500537584383"/>
    <n v="8.1763827918232348"/>
    <n v="0.87809640714384352"/>
    <n v="2273"/>
    <n v="0"/>
    <n v="0"/>
    <n v="0"/>
    <n v="0"/>
    <n v="169.75457719265239"/>
    <n v="235.08397012054982"/>
    <n v="0"/>
    <n v="-2.0037826015827833"/>
    <n v="514.06837305812155"/>
    <n v="347.4280278532093"/>
    <n v="1000.0000000000001"/>
    <n v="-2084.2724862471478"/>
    <n v="4357.2724862471478"/>
    <n v="0.43994720633523976"/>
    <n v="0"/>
    <n v="0.22950136883940547"/>
  </r>
  <r>
    <x v="94"/>
    <x v="8"/>
    <n v="9.5833333333333339"/>
    <n v="23864.113950229472"/>
    <m/>
    <m/>
    <m/>
    <m/>
    <n v="2778.4099347608021"/>
    <n v="2200"/>
    <n v="777.14298580395337"/>
    <n v="801.55035831533178"/>
    <n v="6685.8464415053886"/>
    <n v="3854.3861046278821"/>
    <n v="10498.950264069281"/>
    <x v="83"/>
    <d v="2020-07-28T02:35:00"/>
    <n v="24796.79213300582"/>
    <n v="8.3402106976028474"/>
    <n v="0.91278966870912071"/>
    <n v="2273"/>
    <n v="0"/>
    <n v="0"/>
    <n v="0"/>
    <n v="0"/>
    <n v="264.63692701444609"/>
    <n v="209.54475872974595"/>
    <n v="74.021017935819913"/>
    <n v="76.345762019512549"/>
    <n v="636.81094522244416"/>
    <n v="367.12109379342496"/>
    <n v="1000.0000000000001"/>
    <n v="-88.835374901075738"/>
    <n v="2361.8353749010757"/>
    <n v="0.43994720633523982"/>
    <n v="0"/>
    <n v="0.4233995352203091"/>
  </r>
  <r>
    <x v="95"/>
    <x v="15"/>
    <n v="7.25"/>
    <n v="15292.84542389134"/>
    <m/>
    <m/>
    <m/>
    <m/>
    <n v="1612.080940610412"/>
    <n v="1604"/>
    <n v="0"/>
    <n v="11.99075648412418"/>
    <n v="3355.9265096650279"/>
    <n v="2548.1048860359551"/>
    <n v="6287.5502146687822"/>
    <x v="84"/>
    <d v="2020-07-28T10:55:00"/>
    <n v="8514.587447373533"/>
    <n v="7.5759584767736863"/>
    <n v="1.1530723020049738"/>
    <n v="2432.242272707947"/>
    <n v="0"/>
    <n v="0"/>
    <n v="0"/>
    <n v="0"/>
    <n v="256.39253533903326"/>
    <n v="255.10730654013489"/>
    <n v="0"/>
    <n v="1.9070633354386393"/>
    <n v="533.74150425640971"/>
    <n v="405.26195402642759"/>
    <n v="1000"/>
    <n v="1078.0443487678567"/>
    <n v="1354.1979239400903"/>
    <n v="0.41114325296494653"/>
    <n v="0"/>
    <n v="0.73844449346847474"/>
  </r>
  <r>
    <x v="96"/>
    <x v="1"/>
    <n v="15.58333333333333"/>
    <n v="43955.983971001173"/>
    <m/>
    <m/>
    <m/>
    <m/>
    <n v="3527.645400700862"/>
    <n v="3508"/>
    <n v="0"/>
    <n v="-3.6157231043674192"/>
    <n v="13137.52504242752"/>
    <n v="9686.151752304615"/>
    <n v="20228.24849102677"/>
    <x v="85"/>
    <d v="2020-07-30T01:35:00"/>
    <n v="85905.756908702853"/>
    <n v="9.0793497240594583"/>
    <n v="0.77037482213282482"/>
    <n v="2173"/>
    <n v="0"/>
    <n v="0"/>
    <n v="0"/>
    <n v="0"/>
    <n v="174.39203410348264"/>
    <n v="173.42084766044599"/>
    <n v="0"/>
    <n v="-0.17874622738450885"/>
    <n v="649.46428991394441"/>
    <n v="478.84282994651676"/>
    <n v="1000"/>
    <n v="-2073.8213175654109"/>
    <n v="4246.8213175654109"/>
    <n v="0.46019328117809477"/>
    <n v="0"/>
    <n v="0.23547023178579907"/>
  </r>
  <r>
    <x v="97"/>
    <x v="11"/>
    <n v="44.999999999999993"/>
    <n v="107920.4578693903"/>
    <m/>
    <m/>
    <m/>
    <m/>
    <n v="-16953.786206559649"/>
    <n v="9456"/>
    <n v="0"/>
    <n v="18.561917078997681"/>
    <n v="35971.09578077295"/>
    <n v="22808.650495364858"/>
    <n v="49664.26961315707"/>
    <x v="86"/>
    <d v="2020-08-01T03:20:00"/>
    <n v="175034.47350922701"/>
    <n v="7.8593137229849281"/>
    <n v="0.90608399862742739"/>
    <n v="2173"/>
    <n v="0"/>
    <n v="0"/>
    <n v="0"/>
    <n v="0"/>
    <n v="-341.36787550920207"/>
    <n v="190.39845091157676"/>
    <n v="0"/>
    <n v="0.37374791220286574"/>
    <n v="724.28520666784311"/>
    <n v="459.25673875856995"/>
    <n v="1000"/>
    <n v="-1351.3541256641543"/>
    <n v="3524.3541256641543"/>
    <n v="0.46019328117809483"/>
    <n v="0"/>
    <n v="0.28373993201138747"/>
  </r>
  <r>
    <x v="98"/>
    <x v="1"/>
    <n v="105.5833333333333"/>
    <n v="236486.06432447769"/>
    <m/>
    <m/>
    <m/>
    <m/>
    <n v="-799.77807037661478"/>
    <n v="28773"/>
    <n v="2136.5874048283258"/>
    <n v="2758.9956174141512"/>
    <n v="84991.629503737291"/>
    <n v="49530.397034066591"/>
    <n v="108829.2978943754"/>
    <x v="87"/>
    <d v="2020-08-11T19:40:00"/>
    <n v="602155.3809871407"/>
    <n v="7.0722503049227026"/>
    <n v="0.97017379856486363"/>
    <n v="2172.9999999999995"/>
    <n v="0"/>
    <n v="0"/>
    <n v="0"/>
    <n v="0"/>
    <n v="-7.3489224487402449"/>
    <n v="264.38652602468977"/>
    <n v="19.63246521081113"/>
    <n v="25.351588871701651"/>
    <n v="780.96276598445183"/>
    <n v="455.12006410386351"/>
    <n v="1000"/>
    <n v="-3360.0264242958215"/>
    <n v="5533.026424295821"/>
    <n v="0.46019328117809488"/>
    <n v="0"/>
    <n v="0.18073291600577676"/>
  </r>
  <r>
    <x v="99"/>
    <x v="10"/>
    <n v="15.91666666666667"/>
    <n v="32906.75827453762"/>
    <m/>
    <m/>
    <m/>
    <m/>
    <n v="3132.0484910481741"/>
    <n v="2929"/>
    <n v="0"/>
    <n v="-11.783792775460711"/>
    <n v="11071.538345098001"/>
    <n v="7327.1702261211894"/>
    <n v="15143.469063293889"/>
    <x v="88"/>
    <d v="2020-08-02T02:55:00"/>
    <n v="32909.176371772781"/>
    <n v="8.4290210858863936"/>
    <n v="1.0510581558387389"/>
    <n v="2173"/>
    <n v="0"/>
    <n v="0"/>
    <n v="0"/>
    <n v="0"/>
    <n v="206.82503315174438"/>
    <n v="193.41671236345542"/>
    <n v="0"/>
    <n v="-0.77814354994941914"/>
    <n v="731.10978064690585"/>
    <n v="483.850179605243"/>
    <n v="1000"/>
    <n v="-0.15967921386118178"/>
    <n v="2173.1596792138612"/>
    <n v="0.46019328117809483"/>
    <n v="0"/>
    <n v="0.46015946714129591"/>
  </r>
  <r>
    <x v="100"/>
    <x v="11"/>
    <n v="13.66666666666667"/>
    <n v="28259.247405499791"/>
    <m/>
    <m/>
    <m/>
    <m/>
    <n v="2924.435219955697"/>
    <n v="2860"/>
    <n v="201"/>
    <n v="197.97737287598241"/>
    <n v="8711.6852941136149"/>
    <n v="5744.4516061098093"/>
    <n v="13004.71578716051"/>
    <x v="89"/>
    <d v="2020-08-02T23:10:00"/>
    <n v="28262.688678770519"/>
    <n v="6.402914410666801"/>
    <n v="1.050900834000517"/>
    <n v="2173"/>
    <n v="0"/>
    <n v="0"/>
    <n v="0"/>
    <n v="0"/>
    <n v="224.87498133892146"/>
    <n v="219.92022331035204"/>
    <n v="15.45593177810516"/>
    <n v="15.223506312336673"/>
    <n v="669.88663471712448"/>
    <n v="441.72065734656633"/>
    <n v="1000"/>
    <n v="-0.26461733782207375"/>
    <n v="2173.2646173378221"/>
    <n v="0.46019328117809477"/>
    <n v="0"/>
    <n v="0.46013724790907756"/>
  </r>
  <r>
    <x v="101"/>
    <x v="9"/>
    <n v="10.25"/>
    <n v="28859.674836637041"/>
    <m/>
    <m/>
    <m/>
    <m/>
    <n v="2694.9158102477918"/>
    <n v="3471"/>
    <n v="800"/>
    <n v="43.565782129505237"/>
    <n v="10187.15668624584"/>
    <n v="6189.7788949815531"/>
    <n v="16605.106350193932"/>
    <x v="90"/>
    <d v="2020-08-04T04:40:00"/>
    <n v="28907.32767537146"/>
    <n v="9.2536275748301442"/>
    <n v="0.61727999711849424"/>
    <n v="1737.9999999999993"/>
    <n v="0"/>
    <n v="0"/>
    <n v="0"/>
    <n v="0"/>
    <n v="162.29440230091137"/>
    <n v="209.03208487788228"/>
    <n v="48.177950994614186"/>
    <n v="2.623637645596677"/>
    <n v="613.49541950551031"/>
    <n v="372.76358033739797"/>
    <n v="1000"/>
    <n v="-2.8697701616263203"/>
    <n v="1740.8697701616256"/>
    <n v="0.57537399309551229"/>
    <n v="0"/>
    <n v="0.57442550680121129"/>
  </r>
  <r>
    <x v="102"/>
    <x v="10"/>
    <n v="13.25"/>
    <n v="37459.58550009341"/>
    <m/>
    <m/>
    <m/>
    <m/>
    <n v="4117.5036091129086"/>
    <n v="3587"/>
    <n v="0"/>
    <n v="51.520175907427301"/>
    <n v="13252.115736332869"/>
    <n v="8139.9471822539363"/>
    <n v="17238.649562859369"/>
    <x v="91"/>
    <d v="2020-08-05T11:45:00"/>
    <n v="38165.966476294903"/>
    <n v="7.1751850901827323"/>
    <n v="0.76862169230164612"/>
    <n v="2173"/>
    <n v="0"/>
    <n v="0"/>
    <n v="0"/>
    <n v="0"/>
    <n v="238.85302581845278"/>
    <n v="208.07894417252865"/>
    <n v="0"/>
    <n v="2.9886433806524728"/>
    <n v="768.74442444056183"/>
    <n v="472.19169648830461"/>
    <n v="999.99999999999989"/>
    <n v="-40.976584251900476"/>
    <n v="2213.9765842519005"/>
    <n v="0.46019328117809477"/>
    <n v="0"/>
    <n v="0.45167596040221836"/>
  </r>
  <r>
    <x v="103"/>
    <x v="9"/>
    <n v="8.75"/>
    <n v="24738.111612366029"/>
    <m/>
    <m/>
    <m/>
    <m/>
    <n v="2414.1091674262539"/>
    <n v="2582"/>
    <n v="0"/>
    <n v="-5.0385540208637281"/>
    <n v="8732.147981477754"/>
    <n v="5501.6668656617721"/>
    <n v="14233.6660600495"/>
    <x v="92"/>
    <d v="2020-08-06T02:30:00"/>
    <n v="24738.070898563721"/>
    <n v="7.1105134866068784"/>
    <n v="0.61473972784560116"/>
    <n v="1737.9999999999998"/>
    <n v="0"/>
    <n v="0"/>
    <n v="0"/>
    <n v="0"/>
    <n v="169.60557857979271"/>
    <n v="181.40091169112483"/>
    <n v="0"/>
    <n v="-0.35398849457384318"/>
    <n v="613.48551698756"/>
    <n v="386.52493619360905"/>
    <n v="1000"/>
    <n v="2.8603876285160368E-3"/>
    <n v="1737.9971396123713"/>
    <n v="0.57537399309551218"/>
    <n v="0"/>
    <n v="0.57537494004336043"/>
  </r>
  <r>
    <x v="104"/>
    <x v="7"/>
    <n v="11.33333333333333"/>
    <n v="28747.507526175112"/>
    <m/>
    <m/>
    <m/>
    <m/>
    <n v="4002.4309151574121"/>
    <n v="3524"/>
    <n v="57"/>
    <n v="16.35886118653929"/>
    <n v="9171.5371846743037"/>
    <n v="5155.3260150891783"/>
    <n v="12647.385625242019"/>
    <x v="93"/>
    <d v="2020-08-06T20:50:00"/>
    <n v="27937.666658180409"/>
    <n v="7.5733703584930616"/>
    <n v="0.89610087563977925"/>
    <n v="2273"/>
    <n v="0"/>
    <n v="0"/>
    <n v="0"/>
    <n v="0"/>
    <n v="316.46310421414245"/>
    <n v="278.6346605077573"/>
    <n v="4.5068602863059501"/>
    <n v="1.2934579265053641"/>
    <n v="725.1725737190684"/>
    <n v="407.61989614676008"/>
    <n v="1000"/>
    <n v="64.032274494611556"/>
    <n v="2208.9677255053884"/>
    <n v="0.43994720633523976"/>
    <n v="0"/>
    <n v="0.45270014063750547"/>
  </r>
  <r>
    <x v="105"/>
    <x v="11"/>
    <n v="35.416666666666657"/>
    <n v="89790.998082652397"/>
    <m/>
    <m/>
    <m/>
    <m/>
    <n v="11434.43713777763"/>
    <n v="11056"/>
    <n v="0"/>
    <n v="-5.5452520148691056"/>
    <n v="28676.319996899911"/>
    <n v="16172.570502280791"/>
    <n v="41321.214027911818"/>
    <x v="94"/>
    <d v="2020-08-08T19:05:00"/>
    <n v="93376.385338378182"/>
    <n v="6.7282905402976434"/>
    <n v="0.85710614994862611"/>
    <n v="2173.0000000000005"/>
    <n v="0"/>
    <n v="0"/>
    <n v="0"/>
    <n v="0"/>
    <n v="276.72074518560493"/>
    <n v="267.56232264937449"/>
    <n v="0"/>
    <n v="-0.13419867119885143"/>
    <n v="693.98541818082879"/>
    <n v="391.38662507245016"/>
    <n v="1000"/>
    <n v="-86.768681416376239"/>
    <n v="2259.7686814163767"/>
    <n v="0.46019328117809472"/>
    <n v="0"/>
    <n v="0.44252316983755186"/>
  </r>
  <r>
    <x v="106"/>
    <x v="11"/>
    <n v="17.833333333333339"/>
    <n v="33560.482493885989"/>
    <m/>
    <m/>
    <m/>
    <m/>
    <n v="-21352.05530315619"/>
    <n v="4953"/>
    <n v="0"/>
    <n v="8.8073473865435403"/>
    <n v="16131.99928577538"/>
    <n v="8303.5391084848306"/>
    <n v="15444.3085567814"/>
    <x v="95"/>
    <d v="2020-08-10T11:45:00"/>
    <n v="32936.292699039928"/>
    <n v="6.564829351807048"/>
    <n v="1.1546864184802206"/>
    <n v="2173.0000000000005"/>
    <n v="0"/>
    <n v="0"/>
    <n v="0"/>
    <n v="0"/>
    <n v="-1382.5193419734401"/>
    <n v="320.70066340556247"/>
    <n v="0"/>
    <n v="0.57026492019135078"/>
    <n v="1044.5271296196697"/>
    <n v="537.64395330206298"/>
    <n v="1000"/>
    <n v="40.415522168002099"/>
    <n v="2132.5844778319984"/>
    <n v="0.46019328117809472"/>
    <n v="0"/>
    <n v="0.46891460122442957"/>
  </r>
  <r>
    <x v="107"/>
    <x v="1"/>
    <n v="122.3333333333333"/>
    <n v="281707.9484280725"/>
    <n v="0"/>
    <m/>
    <m/>
    <m/>
    <n v="4759.4765776853556"/>
    <n v="33134"/>
    <n v="4698.3018335211073"/>
    <n v="4811.540944401223"/>
    <n v="87129.980626510893"/>
    <n v="51591.199872101657"/>
    <n v="129640.1051210642"/>
    <x v="96"/>
    <d v="2020-08-27T01:20:00"/>
    <n v="808226.07323313202"/>
    <n v="8.0515028670053805"/>
    <n v="0.94363802944384001"/>
    <n v="2173"/>
    <n v="0"/>
    <n v="0"/>
    <n v="0"/>
    <n v="0"/>
    <n v="36.712995359273471"/>
    <n v="255.58448883590358"/>
    <n v="36.241114037462445"/>
    <n v="37.11460230542064"/>
    <n v="672.09125251128648"/>
    <n v="397.95709687155295"/>
    <n v="1000"/>
    <n v="-4061.3830443393381"/>
    <n v="6234.3830443393381"/>
    <n v="0.46019328117809483"/>
    <n v="0"/>
    <n v="0.16040079553789605"/>
  </r>
  <r>
    <x v="108"/>
    <x v="11"/>
    <n v="18.5"/>
    <n v="34743"/>
    <n v="0"/>
    <m/>
    <m/>
    <m/>
    <n v="5887.8536669888244"/>
    <n v="5420"/>
    <n v="0"/>
    <n v="61.633396816084478"/>
    <n v="17342.071820572921"/>
    <n v="10762.763205199621"/>
    <n v="15988.49516797055"/>
    <x v="97"/>
    <d v="2020-08-13T04:30:00"/>
    <n v="34781.962191626051"/>
    <n v="9.1744583026081532"/>
    <n v="1.1570820021299253"/>
    <n v="2172.9999999999995"/>
    <n v="0"/>
    <n v="0"/>
    <n v="0"/>
    <n v="0"/>
    <n v="368.25564914851088"/>
    <n v="338.99375413752404"/>
    <n v="0"/>
    <n v="3.8548591451904426"/>
    <n v="1084.6594153097012"/>
    <n v="673.15673502284687"/>
    <n v="1000"/>
    <n v="-2.4368892267048068"/>
    <n v="2175.4368892267044"/>
    <n v="0.46019328117809488"/>
    <n v="0"/>
    <n v="0.45967778010580057"/>
  </r>
  <r>
    <x v="109"/>
    <x v="9"/>
    <n v="15.16666666666667"/>
    <n v="33629.478837057977"/>
    <m/>
    <m/>
    <m/>
    <m/>
    <n v="-24014.099962553679"/>
    <n v="3963"/>
    <n v="0.88031250000000005"/>
    <n v="39.228250517496122"/>
    <n v="15556.31283189997"/>
    <n v="10898.29681179605"/>
    <n v="19349.527524199071"/>
    <x v="98"/>
    <d v="2020-08-14T16:10:00"/>
    <n v="35510.379133712042"/>
    <n v="8.4087802161165772"/>
    <n v="0.78382620183871687"/>
    <n v="1737.9999999999995"/>
    <n v="0"/>
    <n v="0"/>
    <n v="0"/>
    <n v="0"/>
    <n v="-1241.0690613773882"/>
    <n v="204.81120249803305"/>
    <n v="4.549529692128431E-2"/>
    <n v="2.0273492708509884"/>
    <n v="803.96344626217876"/>
    <n v="563.23322614292931"/>
    <n v="1000"/>
    <n v="-97.206523223978138"/>
    <n v="1835.2065232239777"/>
    <n v="0.57537399309551218"/>
    <n v="0"/>
    <n v="0.54489780160723356"/>
  </r>
  <r>
    <x v="110"/>
    <x v="7"/>
    <n v="8.0833333333333339"/>
    <n v="20875.715127458479"/>
    <m/>
    <m/>
    <m/>
    <m/>
    <n v="2359.100175209051"/>
    <n v="2193"/>
    <n v="1.0518749999999999"/>
    <n v="-34.974424961376371"/>
    <n v="5985.823535179773"/>
    <n v="3599.9699712449992"/>
    <n v="9184.2125505756612"/>
    <x v="99"/>
    <d v="2020-08-15T00:15:00"/>
    <n v="20875.905258770868"/>
    <n v="9.004414564947373"/>
    <n v="0.88013352139010281"/>
    <n v="2273"/>
    <n v="0"/>
    <n v="0"/>
    <n v="0"/>
    <n v="0"/>
    <n v="256.86471890953612"/>
    <n v="238.77931699898909"/>
    <n v="0.11453077704893372"/>
    <n v="-3.8081027381257844"/>
    <n v="651.75141605412705"/>
    <n v="391.97372136377169"/>
    <n v="999.99999999999989"/>
    <n v="-2.0701972144252068E-2"/>
    <n v="2273.0207019721443"/>
    <n v="0.43994720633523976"/>
    <n v="0"/>
    <n v="0.43994319943164989"/>
  </r>
  <r>
    <x v="111"/>
    <x v="15"/>
    <n v="41.833333333333343"/>
    <n v="73493.782633336305"/>
    <m/>
    <m/>
    <m/>
    <m/>
    <n v="11040.436361909629"/>
    <n v="10837"/>
    <n v="1745.4889730342329"/>
    <n v="1689.5349111311191"/>
    <n v="23547.724701669998"/>
    <n v="14201.2388749028"/>
    <n v="28663.721775872189"/>
    <x v="100"/>
    <d v="2020-08-16T19:50:00"/>
    <n v="72351.624853373462"/>
    <n v="8.1426272562966027"/>
    <n v="1.4594522532850822"/>
    <n v="2564.0000000000005"/>
    <n v="0"/>
    <n v="0"/>
    <n v="0"/>
    <n v="0"/>
    <n v="385.17106913879428"/>
    <n v="378.07372276136488"/>
    <n v="60.895405930973894"/>
    <n v="58.943319515237981"/>
    <n v="821.51665041248748"/>
    <n v="495.44295000995834"/>
    <n v="1000"/>
    <n v="39.84680666710392"/>
    <n v="2524.1531933328965"/>
    <n v="0.39001560062402491"/>
    <n v="0"/>
    <n v="0.39617246791570454"/>
  </r>
  <r>
    <x v="112"/>
    <x v="7"/>
    <n v="20.083333333333329"/>
    <n v="46642.44428694361"/>
    <m/>
    <m/>
    <m/>
    <m/>
    <n v="5993.0963297920171"/>
    <n v="5754"/>
    <n v="0"/>
    <n v="56.740825691242947"/>
    <n v="18595.69417908453"/>
    <n v="10142.905758194"/>
    <n v="20520.213060687911"/>
    <x v="101"/>
    <d v="2020-08-19T10:50:00"/>
    <n v="90026.296583680829"/>
    <n v="7.8560285223353929"/>
    <n v="0.97870978600161096"/>
    <n v="2272.9999999999991"/>
    <n v="0"/>
    <n v="0"/>
    <n v="0"/>
    <n v="0"/>
    <n v="292.05819218677777"/>
    <n v="280.40644524414625"/>
    <n v="0"/>
    <n v="2.7651187404065283"/>
    <n v="906.21350392845955"/>
    <n v="494.28852069891582"/>
    <n v="1000"/>
    <n v="-2114.2008695733712"/>
    <n v="4387.2008695733703"/>
    <n v="0.43994720633523987"/>
    <n v="0"/>
    <n v="0.22793576809653673"/>
  </r>
  <r>
    <x v="113"/>
    <x v="15"/>
    <n v="15.66666666666667"/>
    <n v="27583.07330914709"/>
    <m/>
    <m/>
    <m/>
    <m/>
    <n v="5795.3019674974794"/>
    <n v="5851"/>
    <n v="48"/>
    <n v="9.9070765564306384"/>
    <n v="19042.66825087347"/>
    <n v="6073.6807780398194"/>
    <n v="10757.82890372351"/>
    <x v="102"/>
    <d v="2020-08-18T21:25:00"/>
    <n v="27881.878619432649"/>
    <n v="8.4152865586722108"/>
    <n v="1.4563037585812606"/>
    <n v="2564.0000000000009"/>
    <n v="0"/>
    <n v="0"/>
    <n v="0"/>
    <n v="0"/>
    <n v="538.70553430084794"/>
    <n v="543.88297605057153"/>
    <n v="4.4618668348021595"/>
    <n v="0.92091783993716347"/>
    <n v="1770.1218732231744"/>
    <n v="564.5823922648176"/>
    <n v="1000"/>
    <n v="-27.775614667206355"/>
    <n v="2591.7756146672073"/>
    <n v="0.39001560062402479"/>
    <n v="0"/>
    <n v="0.3858358703357132"/>
  </r>
  <r>
    <x v="114"/>
    <x v="10"/>
    <n v="11.776666666666671"/>
    <n v="33245.11210929713"/>
    <m/>
    <m/>
    <m/>
    <m/>
    <n v="3775.2647230688622"/>
    <n v="4721"/>
    <n v="268"/>
    <n v="13.10633009919826"/>
    <n v="11867.523893574389"/>
    <n v="7399.951604479922"/>
    <n v="15299.511325033191"/>
    <x v="103"/>
    <d v="2020-08-20T09:21:36"/>
    <n v="33492.659270281787"/>
    <n v="9.2514394351414264"/>
    <n v="0.76974136078435329"/>
    <n v="2172.9525475039973"/>
    <n v="0"/>
    <n v="0"/>
    <n v="0"/>
    <n v="0"/>
    <n v="246.75720961699881"/>
    <n v="308.5719471494138"/>
    <n v="17.516899350994048"/>
    <n v="0.85665024331552153"/>
    <n v="775.67993130320735"/>
    <n v="483.67241588769298"/>
    <n v="1000"/>
    <n v="-16.180069789524623"/>
    <n v="2189.1326172935219"/>
    <n v="0.46020333078541853"/>
    <n v="0"/>
    <n v="0.45680192789613833"/>
  </r>
  <r>
    <x v="115"/>
    <x v="11"/>
    <n v="12.31"/>
    <n v="34769"/>
    <m/>
    <m/>
    <m/>
    <m/>
    <n v="-22340.927189788508"/>
    <n v="4019"/>
    <n v="874"/>
    <n v="1001.793069579364"/>
    <n v="8774"/>
    <n v="5738"/>
    <n v="16000"/>
    <x v="104"/>
    <d v="2020-08-20T21:48:36"/>
    <n v="34767.360735661583"/>
    <n v="8.345159296190932"/>
    <n v="0.76937500000000003"/>
    <n v="2173.0625"/>
    <n v="0"/>
    <n v="0"/>
    <n v="0"/>
    <n v="0"/>
    <n v="-1396.3079493617818"/>
    <n v="251.1875"/>
    <n v="54.625"/>
    <n v="62.612066848710249"/>
    <n v="548.375"/>
    <n v="358.625"/>
    <n v="1000"/>
    <n v="0.10245402115106117"/>
    <n v="2172.9600459788489"/>
    <n v="0.46018004544277946"/>
    <n v="0"/>
    <n v="0.46020174271061298"/>
  </r>
  <r>
    <x v="116"/>
    <x v="11"/>
    <n v="11.5"/>
    <n v="31322.622064386149"/>
    <n v="0"/>
    <n v="0"/>
    <n v="0"/>
    <n v="0"/>
    <n v="3958.008147477427"/>
    <n v="3699"/>
    <n v="22"/>
    <n v="54.473875921487448"/>
    <n v="11238.00448261792"/>
    <n v="5691.3070487677905"/>
    <n v="14414.46022291125"/>
    <x v="105"/>
    <d v="2020-08-21T20:40:00"/>
    <n v="31590.755829557609"/>
    <n v="8.8571994521511286"/>
    <n v="0.79780996458828035"/>
    <n v="2173"/>
    <n v="0"/>
    <n v="0"/>
    <n v="0"/>
    <n v="0"/>
    <n v="274.5859426068775"/>
    <n v="256.61730947930863"/>
    <n v="1.526245149647145"/>
    <n v="3.779113132165937"/>
    <n v="779.63408333220343"/>
    <n v="394.83317174247486"/>
    <n v="1000"/>
    <n v="-18.601720843162184"/>
    <n v="2191.6017208431622"/>
    <n v="0.46019328117809477"/>
    <n v="0"/>
    <n v="0.45628728545407227"/>
  </r>
  <r>
    <x v="117"/>
    <x v="10"/>
    <n v="1.5"/>
    <n v="4085.5593997025421"/>
    <n v="0"/>
    <n v="0"/>
    <n v="0"/>
    <n v="0"/>
    <n v="516.26193227966428"/>
    <n v="482.53846153846149"/>
    <n v="0"/>
    <n v="7.1052881636722756"/>
    <n v="1465.8266716458149"/>
    <n v="742.34439766536389"/>
    <n v="1880.14698559712"/>
    <x v="106"/>
    <d v="2020-08-22T07:05:00"/>
    <n v="3818.6284016628429"/>
    <n v="8.0324807157847875"/>
    <n v="0.79780996458828013"/>
    <n v="2173"/>
    <n v="0"/>
    <n v="0"/>
    <n v="0"/>
    <n v="0"/>
    <n v="274.58594260687738"/>
    <n v="256.64932860832209"/>
    <n v="0"/>
    <n v="3.7791131321659366"/>
    <n v="779.63408333220286"/>
    <n v="394.83317174247475"/>
    <n v="1000"/>
    <n v="141.97347339571093"/>
    <n v="2031.0265266042891"/>
    <n v="0.46019328117809477"/>
    <n v="0"/>
    <n v="0.49236186081326988"/>
  </r>
  <r>
    <x v="118"/>
    <x v="9"/>
    <n v="32.583333333333343"/>
    <n v="82438.140535672967"/>
    <m/>
    <m/>
    <m/>
    <m/>
    <n v="7562.0892627284529"/>
    <n v="8144"/>
    <n v="3081.0325123028579"/>
    <n v="2919.2534747755089"/>
    <n v="20718.11750487989"/>
    <n v="12636.518027489081"/>
    <n v="47432.762103379151"/>
    <x v="107"/>
    <d v="2020-08-25T11:50:00"/>
    <n v="156049.3364799548"/>
    <n v="7.5156438511584076"/>
    <n v="0.68693729583612162"/>
    <n v="1738"/>
    <n v="0"/>
    <n v="0"/>
    <n v="0"/>
    <n v="0"/>
    <n v="159.42755444532131"/>
    <n v="171.69567275568409"/>
    <n v="64.955789536097086"/>
    <n v="61.545087094296349"/>
    <n v="436.78918507265075"/>
    <n v="266.4090697469386"/>
    <n v="1000"/>
    <n v="-1551.9061652755349"/>
    <n v="3289.9061652755349"/>
    <n v="0.57537399309551207"/>
    <n v="0"/>
    <n v="0.30396003708399039"/>
  </r>
  <r>
    <x v="119"/>
    <x v="10"/>
    <n v="11.66666666666667"/>
    <n v="27029.789553548559"/>
    <m/>
    <m/>
    <m/>
    <m/>
    <n v="3478.501209223964"/>
    <n v="3040"/>
    <n v="1148.8418047683999"/>
    <n v="1222.1999141051469"/>
    <n v="4702.3132047860618"/>
    <n v="4688.8819977244202"/>
    <n v="12438.9275442009"/>
    <x v="108"/>
    <d v="2020-08-22T18:40:00"/>
    <n v="28442.547313328811"/>
    <n v="7.5016043996822841"/>
    <n v="0.93791579902768518"/>
    <n v="2173.0000000000005"/>
    <n v="0"/>
    <n v="0"/>
    <n v="0"/>
    <n v="0"/>
    <n v="279.64639209154819"/>
    <n v="244.39405963235677"/>
    <n v="92.358589652208138"/>
    <n v="98.256052200814011"/>
    <n v="378.03204400674451"/>
    <n v="376.95227189504806"/>
    <n v="1000.0000000000001"/>
    <n v="-113.57552769401582"/>
    <n v="2286.5755276940163"/>
    <n v="0.46019328117809477"/>
    <n v="0"/>
    <n v="0.43733521499221489"/>
  </r>
  <r>
    <x v="120"/>
    <x v="9"/>
    <n v="13.25"/>
    <n v="37214.273353129"/>
    <m/>
    <m/>
    <m/>
    <m/>
    <n v="3562.9624113630598"/>
    <n v="3612"/>
    <n v="494.24151486328128"/>
    <n v="485.08259585763369"/>
    <n v="10576.71985428778"/>
    <n v="5931.5775993987472"/>
    <n v="21412.125059337741"/>
    <x v="109"/>
    <d v="2020-08-26T20:15:00"/>
    <n v="34728.383927812203"/>
    <n v="8.398027822694841"/>
    <n v="0.61880826696469016"/>
    <n v="1738.0000000000002"/>
    <n v="0"/>
    <n v="0"/>
    <n v="0"/>
    <n v="0"/>
    <n v="166.3992901913893"/>
    <n v="168.68946870011024"/>
    <n v="23.082319643362283"/>
    <n v="22.654575130369469"/>
    <n v="493.95937231719626"/>
    <n v="277.01956638871815"/>
    <n v="1000.0000000000001"/>
    <n v="116.09727752046297"/>
    <n v="1621.9027224795373"/>
    <n v="0.57537399309551196"/>
    <n v="0"/>
    <n v="0.61655978878389028"/>
  </r>
  <r>
    <x v="121"/>
    <x v="11"/>
    <n v="12.83333333333333"/>
    <n v="32660.43017699588"/>
    <m/>
    <m/>
    <m/>
    <m/>
    <n v="-23777.187229864641"/>
    <n v="3454"/>
    <n v="0"/>
    <n v="-14.13472583254816"/>
    <n v="9946.4502564763643"/>
    <n v="7038.8461249921802"/>
    <n v="15030.110527839801"/>
    <x v="110"/>
    <d v="2020-08-27T18:35:00"/>
    <n v="32015.936691212821"/>
    <n v="8.984283829979951"/>
    <n v="0.85384158084283879"/>
    <n v="2172.9999999999995"/>
    <n v="0"/>
    <n v="0"/>
    <n v="0"/>
    <n v="0"/>
    <n v="-1581.970218104711"/>
    <n v="229.80536261541553"/>
    <n v="0"/>
    <n v="-0.94042727140075599"/>
    <n v="661.7682709686577"/>
    <n v="468.316324883596"/>
    <n v="1000"/>
    <n v="42.880156109915788"/>
    <n v="2130.1198438900838"/>
    <n v="0.46019328117809488"/>
    <n v="0"/>
    <n v="0.46945715419174366"/>
  </r>
  <r>
    <x v="122"/>
    <x v="1"/>
    <n v="7.583333333333333"/>
    <n v="19304.770234736719"/>
    <m/>
    <m/>
    <m/>
    <m/>
    <n v="2015.610895043231"/>
    <n v="2038"/>
    <n v="0"/>
    <n v="0.83920885180077676"/>
    <n v="7008.5694120172166"/>
    <n v="4071.7617018917031"/>
    <n v="8883.9255567127111"/>
    <x v="111"/>
    <d v="2020-08-28T02:35:00"/>
    <n v="19425.263731345251"/>
    <n v="8.0087349816050644"/>
    <n v="0.85360162969886122"/>
    <n v="2172.9999999999995"/>
    <n v="0"/>
    <n v="0"/>
    <n v="0"/>
    <n v="0"/>
    <n v="226.8829114084856"/>
    <n v="229.4030929221467"/>
    <n v="0"/>
    <n v="9.4463742007233384E-2"/>
    <n v="788.90456333478937"/>
    <n v="458.32911092046152"/>
    <n v="1000"/>
    <n v="-13.563091657998939"/>
    <n v="2186.5630916579985"/>
    <n v="0.46019328117809483"/>
    <n v="0"/>
    <n v="0.45733873576075645"/>
  </r>
  <r>
    <x v="123"/>
    <x v="9"/>
    <n v="8.8333333333333321"/>
    <n v="25037.346755520881"/>
    <m/>
    <m/>
    <m/>
    <m/>
    <n v="2171.221981276432"/>
    <n v="2274"/>
    <n v="0"/>
    <n v="29.81170974950231"/>
    <n v="8979.1026300024259"/>
    <n v="5357.0469017662244"/>
    <n v="14405.838179241009"/>
    <x v="112"/>
    <d v="2020-08-28T11:00:00"/>
    <n v="25037.479854259858"/>
    <n v="8.6449965909695976"/>
    <n v="0.61317732598595165"/>
    <n v="1738.0000000000005"/>
    <n v="0"/>
    <n v="0"/>
    <n v="0"/>
    <n v="0"/>
    <n v="150.71819870954747"/>
    <n v="157.85266859910047"/>
    <n v="0"/>
    <n v="2.0694186189361305"/>
    <n v="623.29609136811098"/>
    <n v="371.86638049883106"/>
    <n v="1000"/>
    <n v="-9.2392221349655301E-3"/>
    <n v="1738.0092392221354"/>
    <n v="0.57537399309551196"/>
    <n v="0"/>
    <n v="0.57537093441894516"/>
  </r>
  <r>
    <x v="124"/>
    <x v="1"/>
    <n v="23.5"/>
    <n v="66144.261051010239"/>
    <m/>
    <m/>
    <m/>
    <m/>
    <n v="5780.507394052137"/>
    <n v="6224"/>
    <n v="0"/>
    <n v="17.032998566044451"/>
    <n v="25313.588130872031"/>
    <n v="15822.00271436808"/>
    <n v="30439.144524164862"/>
    <x v="113"/>
    <d v="2020-08-29T10:30:00"/>
    <n v="66143.068924971085"/>
    <n v="7.6396402233392342"/>
    <n v="0.77203220942506934"/>
    <n v="2172.9999999999995"/>
    <n v="0"/>
    <n v="0"/>
    <n v="0"/>
    <n v="0"/>
    <n v="189.90374021395834"/>
    <n v="204.47355197709072"/>
    <n v="0"/>
    <n v="0.55957546876924835"/>
    <n v="831.61299460226996"/>
    <n v="519.79130694055459"/>
    <n v="1000"/>
    <n v="3.9164242549759365E-2"/>
    <n v="2172.9608357574498"/>
    <n v="0.46019328117809483"/>
    <n v="0"/>
    <n v="0.46020157544690415"/>
  </r>
  <r>
    <x v="125"/>
    <x v="7"/>
    <n v="5.083333333333333"/>
    <n v="13173.600812646069"/>
    <m/>
    <m/>
    <m/>
    <m/>
    <n v="1297.8084257597261"/>
    <n v="1956"/>
    <n v="50"/>
    <n v="1.7498661282218111"/>
    <n v="4020.6551360787448"/>
    <n v="2371.8704370912619"/>
    <n v="5795.6888748992842"/>
    <x v="114"/>
    <d v="2020-08-29T15:35:00"/>
    <n v="13173.55123356797"/>
    <n v="7.3821276118215664"/>
    <n v="0.8770887194012239"/>
    <n v="2272.9999999999991"/>
    <n v="0"/>
    <n v="0"/>
    <n v="0"/>
    <n v="0"/>
    <n v="223.92651741200982"/>
    <n v="337.49223642271357"/>
    <n v="8.6271021580448259"/>
    <n v="0.30192547702143857"/>
    <n v="693.73205202437896"/>
    <n v="409.24737132865499"/>
    <n v="1000"/>
    <n v="8.5544754329021089E-3"/>
    <n v="2272.9914455245662"/>
    <n v="0.43994720633523987"/>
    <n v="0"/>
    <n v="0.43994886209051159"/>
  </r>
  <r>
    <x v="126"/>
    <x v="15"/>
    <n v="25"/>
    <n v="45737.434215091627"/>
    <m/>
    <m/>
    <m/>
    <m/>
    <n v="10241.23615400726"/>
    <n v="8690"/>
    <n v="20"/>
    <n v="1.909829871713953"/>
    <n v="23380.20144013963"/>
    <n v="8157.1545354733062"/>
    <n v="17838.312876400789"/>
    <x v="115"/>
    <d v="2020-08-30T18:40:00"/>
    <n v="45631.837091000772"/>
    <n v="7.662126933572325"/>
    <n v="1.4014778288295286"/>
    <n v="2564.0000000000005"/>
    <n v="0"/>
    <n v="0"/>
    <n v="0"/>
    <n v="0"/>
    <n v="574.11461638594267"/>
    <n v="487.15369330114413"/>
    <n v="1.1211822630636228"/>
    <n v="0.10706336888173792"/>
    <n v="1310.6733580769562"/>
    <n v="457.28284911208283"/>
    <n v="999.99999999999989"/>
    <n v="5.9196811280598922"/>
    <n v="2558.0803188719406"/>
    <n v="0.39001560062402491"/>
    <n v="0"/>
    <n v="0.39091813991242419"/>
  </r>
  <r>
    <x v="127"/>
    <x v="4"/>
    <n v="15.75"/>
    <n v="31337.613269187172"/>
    <m/>
    <m/>
    <m/>
    <m/>
    <n v="4284.3666805820822"/>
    <n v="4955"/>
    <n v="1121.882250652834"/>
    <n v="769.68226855480998"/>
    <n v="8920.0685647188257"/>
    <n v="5159.8605702367668"/>
    <n v="12604.328478356771"/>
    <x v="116"/>
    <d v="2020-08-31T09:05:00"/>
    <n v="21677.039770817781"/>
    <n v="8.8110758088714451"/>
    <n v="1.2495707349300478"/>
    <n v="2486.2580599194812"/>
    <n v="0"/>
    <n v="0"/>
    <n v="0"/>
    <n v="0"/>
    <n v="339.91233154061973"/>
    <n v="393.11892010021501"/>
    <n v="89.00769704465003"/>
    <n v="61.064916697184778"/>
    <n v="707.69883378045199"/>
    <n v="409.37211205633855"/>
    <n v="1000"/>
    <n v="766.44888420337679"/>
    <n v="1719.8091757161044"/>
    <n v="0.40221086303180675"/>
    <n v="0"/>
    <n v="0.58145985852390503"/>
  </r>
  <r>
    <x v="128"/>
    <x v="1"/>
    <n v="10.83333333333333"/>
    <n v="30247.801583200111"/>
    <m/>
    <m/>
    <m/>
    <m/>
    <n v="3225.6374942988159"/>
    <n v="3629"/>
    <n v="636.14098546305672"/>
    <n v="567.37950484689031"/>
    <n v="9201.4101995531582"/>
    <n v="5774.0973846711859"/>
    <n v="13919.83505899683"/>
    <x v="117"/>
    <d v="2020-08-31T22:50:00"/>
    <n v="30225.071577956271"/>
    <n v="7.8150020637594864"/>
    <n v="0.77826592681724371"/>
    <n v="2173"/>
    <n v="0"/>
    <n v="0"/>
    <n v="0"/>
    <n v="0"/>
    <n v="231.72957729940802"/>
    <n v="260.70711216182565"/>
    <n v="45.700324951185294"/>
    <n v="40.760504879702218"/>
    <n v="661.02868033669665"/>
    <n v="414.81076177976723"/>
    <n v="1000"/>
    <n v="1.6329220243992495"/>
    <n v="2171.3670779756008"/>
    <n v="0.46019328117809483"/>
    <n v="0"/>
    <n v="0.46053935796627976"/>
  </r>
  <r>
    <x v="129"/>
    <x v="11"/>
    <n v="15.91666666666667"/>
    <n v="42252.654901075563"/>
    <m/>
    <m/>
    <m/>
    <m/>
    <n v="-21597.45678702684"/>
    <n v="5303"/>
    <n v="0"/>
    <n v="36.730702718095642"/>
    <n v="14796.598494458751"/>
    <n v="8324.7430203215754"/>
    <n v="19444.387897411671"/>
    <x v="118"/>
    <d v="2020-09-01T22:55:00"/>
    <n v="42281.377497487279"/>
    <n v="8.100329572083508"/>
    <n v="0.81857380909302924"/>
    <n v="2173"/>
    <n v="0"/>
    <n v="0"/>
    <n v="0"/>
    <n v="0"/>
    <n v="-1110.7295791965648"/>
    <n v="272.72650741070157"/>
    <n v="0"/>
    <n v="1.8890130618606427"/>
    <n v="760.97013557461435"/>
    <n v="428.13088610671662"/>
    <n v="1000"/>
    <n v="-1.4771663969704605"/>
    <n v="2174.4771663969705"/>
    <n v="0.46019328117809477"/>
    <n v="0"/>
    <n v="0.4598806625580546"/>
  </r>
  <r>
    <x v="130"/>
    <x v="1"/>
    <n v="5.916666666666667"/>
    <n v="14928.57231920728"/>
    <m/>
    <m/>
    <m/>
    <m/>
    <n v="1857.885789191045"/>
    <n v="1972"/>
    <n v="84"/>
    <n v="18.912014546764059"/>
    <n v="5170.3062750903764"/>
    <n v="2817.6486883362008"/>
    <n v="6870.0286788804797"/>
    <x v="119"/>
    <d v="2020-09-02T04:55:00"/>
    <n v="15011.146406062921"/>
    <n v="7.8243502916675984"/>
    <n v="0.86122881624285008"/>
    <n v="2173"/>
    <n v="0"/>
    <n v="0"/>
    <n v="0"/>
    <n v="0"/>
    <n v="270.43348376440849"/>
    <n v="287.04392545874373"/>
    <n v="12.227023193982998"/>
    <n v="2.7528290536693807"/>
    <n v="752.58874697054614"/>
    <n v="410.13637934264881"/>
    <n v="1000.0000000000001"/>
    <n v="-12.019467561974125"/>
    <n v="2185.0194675619741"/>
    <n v="0.46019328117809488"/>
    <n v="0"/>
    <n v="0.45766182628834479"/>
  </r>
  <r>
    <x v="131"/>
    <x v="1"/>
    <n v="8.0833333333333339"/>
    <n v="16163.57866716265"/>
    <m/>
    <m/>
    <m/>
    <m/>
    <n v="3184.0235749244812"/>
    <n v="2988"/>
    <n v="1.6312500000000001"/>
    <n v="-27780.78354648731"/>
    <n v="5584.2878182591267"/>
    <n v="3510.7740610934939"/>
    <n v="7438.3703024218348"/>
    <x v="120"/>
    <d v="2020-09-02T21:50:00"/>
    <n v="19529.15085092661"/>
    <n v="8.3605187025937173"/>
    <n v="1.0867075723161439"/>
    <n v="2173.0000000000005"/>
    <n v="0"/>
    <n v="0"/>
    <n v="0"/>
    <n v="0"/>
    <n v="428.05392115095498"/>
    <n v="401.70089394812015"/>
    <n v="0.2193020693617373"/>
    <n v="-3734.7943725579585"/>
    <n v="750.74076594989583"/>
    <n v="471.98161940800827"/>
    <n v="1000.0000000000001"/>
    <n v="-452.46096213685041"/>
    <n v="2625.4609621368509"/>
    <n v="0.46019328117809472"/>
    <n v="0"/>
    <n v="0.3808854956982885"/>
  </r>
  <r>
    <x v="132"/>
    <x v="7"/>
    <n v="12.91666666666667"/>
    <n v="27477.0830621036"/>
    <m/>
    <m/>
    <m/>
    <m/>
    <n v="3490.2806551707931"/>
    <n v="3613"/>
    <n v="11080.956715898419"/>
    <n v="11868.75102382936"/>
    <n v="2634.368005762311"/>
    <n v="10219.07399611618"/>
    <n v="12088.46593141381"/>
    <x v="121"/>
    <d v="2020-09-03T16:50:00"/>
    <n v="42322.95889936501"/>
    <n v="8.3928949938044504"/>
    <n v="1.0685116490340307"/>
    <n v="2273.0000000000009"/>
    <n v="0"/>
    <n v="0"/>
    <n v="0"/>
    <n v="0"/>
    <n v="288.72817071856417"/>
    <n v="298.87994229367371"/>
    <n v="916.65532903581936"/>
    <n v="981.82441768616104"/>
    <n v="217.92409563867696"/>
    <n v="845.35738894380995"/>
    <n v="1000.0000000000001"/>
    <n v="-1228.1025501078698"/>
    <n v="3501.1025501078707"/>
    <n v="0.43994720633523959"/>
    <n v="0"/>
    <n v="0.28562430996749566"/>
  </r>
  <r>
    <x v="133"/>
    <x v="1"/>
    <n v="6.75"/>
    <n v="17548.515722035809"/>
    <m/>
    <m/>
    <m/>
    <m/>
    <n v="1832.6061705347529"/>
    <n v="1695"/>
    <n v="6091.8313619079854"/>
    <n v="6144.9407700359297"/>
    <n v="0"/>
    <n v="7968.0384963170018"/>
    <n v="7755.2607145507864"/>
    <x v="122"/>
    <d v="2020-09-04T01:35:00"/>
    <n v="47813.647524470143"/>
    <n v="8.5453679922541141"/>
    <n v="0.87037692844230641"/>
    <n v="2262.7886241284523"/>
    <n v="0"/>
    <n v="0"/>
    <n v="0"/>
    <n v="0"/>
    <n v="236.30490811177123"/>
    <n v="218.5613175866236"/>
    <n v="785.50955101718284"/>
    <n v="792.35772931611461"/>
    <n v="0"/>
    <n v="1027.4365736495477"/>
    <n v="1000"/>
    <n v="-3902.5292529043491"/>
    <n v="6165.3178770328013"/>
    <n v="0.44193257352315241"/>
    <n v="0"/>
    <n v="0.16219763845838758"/>
  </r>
  <r>
    <x v="134"/>
    <x v="15"/>
    <n v="18.333333333333339"/>
    <n v="33911.229634536707"/>
    <m/>
    <m/>
    <m/>
    <m/>
    <n v="-21664.648735250179"/>
    <n v="4246"/>
    <n v="16275.50461038918"/>
    <n v="-4672.0545945256563"/>
    <n v="0"/>
    <n v="16190.588222034139"/>
    <n v="13225.90859381307"/>
    <x v="123"/>
    <d v="2020-09-04T22:05:00"/>
    <n v="33778.802650788653"/>
    <n v="7.8672910496407669"/>
    <n v="1.3861681564856319"/>
    <n v="2563.9999999999995"/>
    <n v="0"/>
    <n v="0"/>
    <n v="0"/>
    <n v="0"/>
    <n v="-1638.0461562682094"/>
    <n v="321.03654504207225"/>
    <n v="1230.5774302721763"/>
    <n v="-353.25018023421018"/>
    <n v="0"/>
    <n v="1224.1569724448204"/>
    <n v="1000.0000000000001"/>
    <n v="10.012694614417796"/>
    <n v="2553.9873053855817"/>
    <n v="0.39001560062402502"/>
    <n v="0"/>
    <n v="0.39154462431794568"/>
  </r>
  <r>
    <x v="135"/>
    <x v="3"/>
    <n v="12.33666666666667"/>
    <n v="22852.610425604391"/>
    <m/>
    <m/>
    <m/>
    <m/>
    <n v="845.90114919567577"/>
    <n v="2840"/>
    <n v="7224.7187721559449"/>
    <n v="1719.872822837317"/>
    <n v="0"/>
    <n v="1976.87540407546"/>
    <n v="8912.8745809689499"/>
    <x v="124"/>
    <d v="2020-09-05T10:25:00"/>
    <n v="23006.228113624751"/>
    <n v="7.8770407730485639"/>
    <n v="1.3841400498340131"/>
    <n v="2564.0000000000005"/>
    <n v="0"/>
    <n v="0"/>
    <n v="0"/>
    <n v="0"/>
    <n v="94.907781043151942"/>
    <n v="318.6401843984271"/>
    <n v="810.59356400934803"/>
    <n v="192.96499767983315"/>
    <n v="0"/>
    <n v="221.79998003074638"/>
    <n v="1000"/>
    <n v="-17.23548184424908"/>
    <n v="2581.2354818442495"/>
    <n v="0.39001560062402491"/>
    <n v="0"/>
    <n v="0.38741137995109098"/>
  </r>
  <r>
    <x v="136"/>
    <x v="12"/>
    <n v="30.416666666666661"/>
    <n v="55890.88955467206"/>
    <m/>
    <m/>
    <m/>
    <m/>
    <n v="7139.5945366373753"/>
    <n v="7567"/>
    <n v="12252.88342734005"/>
    <n v="12337.66301451539"/>
    <n v="0"/>
    <n v="6490.8529318754354"/>
    <n v="21798.318859076469"/>
    <x v="125"/>
    <d v="2020-09-06T16:50:00"/>
    <n v="56280.586831539287"/>
    <n v="7.9911043112542073"/>
    <n v="1.3953675447775025"/>
    <n v="2563.9999999999995"/>
    <n v="0"/>
    <n v="0"/>
    <n v="0"/>
    <n v="0"/>
    <n v="327.52959449735562"/>
    <n v="347.13686174240098"/>
    <n v="562.10222020117601"/>
    <n v="565.99149201720138"/>
    <n v="0"/>
    <n v="297.76851021576596"/>
    <n v="1000"/>
    <n v="-17.877400518204013"/>
    <n v="2581.8774005182036"/>
    <n v="0.39001560062402502"/>
    <n v="0"/>
    <n v="0.38731505988599302"/>
  </r>
  <r>
    <x v="137"/>
    <x v="3"/>
    <n v="45.083333333333329"/>
    <n v="82404.363191554497"/>
    <m/>
    <m/>
    <m/>
    <m/>
    <n v="-16348.34959423635"/>
    <n v="11389"/>
    <n v="17531.3958412967"/>
    <n v="-9339.4141599217728"/>
    <n v="0"/>
    <n v="8670.6245040392423"/>
    <n v="32138.987204194422"/>
    <x v="126"/>
    <d v="2020-09-08T23:25:00"/>
    <n v="100799.76205534951"/>
    <n v="7.206232956668881"/>
    <n v="1.4027614823982242"/>
    <n v="2564"/>
    <n v="0"/>
    <n v="0"/>
    <n v="0"/>
    <n v="0"/>
    <n v="-508.67656439723606"/>
    <n v="354.36710956820804"/>
    <n v="545.48687953081162"/>
    <n v="-290.59453866993346"/>
    <n v="0"/>
    <n v="269.78524397643901"/>
    <n v="1000"/>
    <n v="-572.3702102658126"/>
    <n v="3136.3702102658126"/>
    <n v="0.39001560062402496"/>
    <n v="0"/>
    <n v="0.31883991141315182"/>
  </r>
  <r>
    <x v="138"/>
    <x v="12"/>
    <n v="1.833333333333333"/>
    <n v="3303.7377452303608"/>
    <m/>
    <m/>
    <m/>
    <m/>
    <n v="1099.2385063258821"/>
    <n v="465"/>
    <n v="1000.487243030406"/>
    <n v="1086.1464621700629"/>
    <n v="0"/>
    <n v="422.1993749656794"/>
    <n v="1288.5092610102811"/>
    <x v="127"/>
    <d v="2020-09-08T08:50:00"/>
    <n v="3400.3853992460772"/>
    <n v="6.823693385491004"/>
    <n v="1.4228328726918671"/>
    <n v="2564"/>
    <n v="0"/>
    <n v="0"/>
    <n v="0"/>
    <n v="0"/>
    <n v="853.10873548863947"/>
    <n v="360.88215589184637"/>
    <n v="776.46880259591956"/>
    <n v="842.94812232738502"/>
    <n v="0"/>
    <n v="327.66499065334284"/>
    <n v="1000"/>
    <n v="-75.007341382970026"/>
    <n v="2639.00734138297"/>
    <n v="0.39001560062402496"/>
    <n v="0"/>
    <n v="0.37893035927514723"/>
  </r>
  <r>
    <x v="139"/>
    <x v="0"/>
    <n v="59.583333333333343"/>
    <n v="0"/>
    <n v="83466.705249999955"/>
    <n v="0"/>
    <n v="83466.705249999955"/>
    <n v="8996.3005833333282"/>
    <n v="24977.59249823081"/>
    <n v="21418"/>
    <n v="58903.686285482399"/>
    <n v="15560.856208720659"/>
    <n v="0"/>
    <n v="47249.480986015202"/>
    <n v="44030.002777777758"/>
    <x v="128"/>
    <d v="2020-09-15T10:35:00"/>
    <n v="39.536708860759497"/>
    <n v="5.0035713740757526"/>
    <n v="1.3532439149289688"/>
    <n v="0"/>
    <n v="1895.6779464962053"/>
    <n v="0"/>
    <n v="1895.6779464962053"/>
    <n v="204.32205350379451"/>
    <n v="567.2857352359099"/>
    <n v="486.44103222291437"/>
    <n v="1337.8079166329621"/>
    <n v="353.41483595304993"/>
    <n v="0"/>
    <n v="1073.1201000482865"/>
    <n v="1000.0000000000001"/>
    <n v="-0.89794927018977944"/>
    <n v="0.89794927018977944"/>
    <n v="0"/>
    <n v="0.47619047619047622"/>
    <n v="1113.6486583352894"/>
  </r>
  <r>
    <x v="140"/>
    <x v="0"/>
    <n v="164.5"/>
    <n v="0"/>
    <n v="293036.0575"/>
    <n v="1440"/>
    <n v="291596.0575"/>
    <n v="0"/>
    <n v="2291.7355416006708"/>
    <n v="68957"/>
    <n v="172629.00742173789"/>
    <n v="9296.4742230519387"/>
    <n v="0"/>
    <n v="151132.6592026107"/>
    <n v="139552.88452380951"/>
    <x v="129"/>
    <d v="2020-09-23T13:50:00"/>
    <n v="53.293068910256409"/>
    <n v="5.0037161595112556"/>
    <n v="1.1787645992507894"/>
    <n v="0"/>
    <n v="2099.8208564438833"/>
    <n v="10.318668832347335"/>
    <n v="2089.5021876115356"/>
    <n v="0"/>
    <n v="16.421986184095474"/>
    <n v="494.12808796678831"/>
    <n v="1237.0149711400998"/>
    <n v="66.616138066754488"/>
    <n v="0"/>
    <n v="1082.977680599827"/>
    <n v="1000.0000000000001"/>
    <n v="-0.38188439523916773"/>
    <n v="0.38188439523916773"/>
    <n v="0"/>
    <n v="0.47623110177766947"/>
    <n v="2618.5935127663879"/>
  </r>
  <r>
    <x v="141"/>
    <x v="0"/>
    <n v="102.1666666666667"/>
    <n v="0"/>
    <n v="155671.10725"/>
    <n v="57149.746906250002"/>
    <n v="98521.360343750042"/>
    <n v="17106.7605"/>
    <n v="6589.3488527669006"/>
    <n v="38059"/>
    <n v="116958.8574477434"/>
    <n v="-1017.333908935356"/>
    <n v="0"/>
    <n v="110290.3220527168"/>
    <n v="75713.351336546897"/>
    <x v="130"/>
    <d v="2020-10-05T16:15:00"/>
    <n v="31.233992997863758"/>
    <n v="5.0041303717571752"/>
    <n v="1.3493877217577446"/>
    <n v="0"/>
    <n v="2056.0588654706326"/>
    <n v="754.81729308505419"/>
    <n v="1301.2415723855788"/>
    <n v="225.94113452936739"/>
    <n v="87.030209816986613"/>
    <n v="502.67224113257407"/>
    <n v="1544.7586902851474"/>
    <n v="-13.436651409251358"/>
    <n v="0"/>
    <n v="1456.6826075691035"/>
    <n v="1000"/>
    <n v="-0.41252952678092702"/>
    <n v="0.41252952678092702"/>
    <n v="0"/>
    <n v="0.4382120946538125"/>
    <n v="2424.0689092081598"/>
  </r>
  <r>
    <x v="142"/>
    <x v="17"/>
    <n v="11.08333333333333"/>
    <n v="0"/>
    <n v="17504.537433705991"/>
    <n v="2100.5444920447189"/>
    <n v="15403.99294166127"/>
    <m/>
    <n v="0"/>
    <n v="5422"/>
    <n v="11700.289174785799"/>
    <n v="0"/>
    <n v="0"/>
    <n v="10919.626069712869"/>
    <n v="8335.4940160504702"/>
    <x v="131"/>
    <d v="2020-09-26T10:35:00"/>
    <n v="3.716311252268603"/>
    <n v="5.0041666030883789"/>
    <n v="1.3296552444272336"/>
    <n v="0"/>
    <n v="2100.0000000000005"/>
    <n v="252.00000000000006"/>
    <n v="1848.0000000000002"/>
    <n v="0"/>
    <n v="0"/>
    <n v="650.471344536944"/>
    <n v="1403.6707545175154"/>
    <n v="0"/>
    <n v="0"/>
    <n v="1310.0154650326069"/>
    <n v="1000"/>
    <n v="-0.44584175156417039"/>
    <n v="0.44584175156417039"/>
    <n v="0"/>
    <n v="0.47619047619047611"/>
    <n v="2242.9483028263876"/>
  </r>
  <r>
    <x v="143"/>
    <x v="17"/>
    <n v="11.5"/>
    <n v="0"/>
    <n v="21500"/>
    <n v="13975"/>
    <n v="7524.9999999999991"/>
    <m/>
    <n v="0"/>
    <n v="4539"/>
    <n v="10862.179349946029"/>
    <n v="0"/>
    <n v="0"/>
    <n v="12402"/>
    <n v="9454.7053649956015"/>
    <x v="132"/>
    <d v="2020-10-06T03:40:00"/>
    <n v="3.3482800982800982"/>
    <n v="5.0043918248769401"/>
    <n v="1.2163255813953489"/>
    <n v="0"/>
    <n v="2274.0000000000005"/>
    <n v="1478.1000000000001"/>
    <n v="795.9"/>
    <n v="0"/>
    <n v="0"/>
    <n v="480.07841860465123"/>
    <n v="1148.8649228733616"/>
    <n v="0"/>
    <n v="0"/>
    <n v="1311.7278139534885"/>
    <n v="999.99999999999989"/>
    <n v="-0.35413902062739272"/>
    <n v="0.35413902062739272"/>
    <n v="0"/>
    <n v="0.43975373790677214"/>
    <n v="2823.7498319964848"/>
  </r>
  <r>
    <x v="144"/>
    <x v="0"/>
    <n v="425.5"/>
    <n v="0"/>
    <n v="769374.20500000007"/>
    <n v="404774.28804416669"/>
    <n v="364599.91695583332"/>
    <n v="0"/>
    <n v="17802.490268573081"/>
    <n v="183687.14709883189"/>
    <n v="481182.37088575371"/>
    <n v="35149.308623005403"/>
    <n v="0"/>
    <n v="426257.54690330481"/>
    <n v="338633.01276408439"/>
    <x v="133"/>
    <d v="2020-12-21T05:45:00"/>
    <n v="153.92624559386019"/>
    <n v="5.0041915528074714"/>
    <n v="1.2565225006471334"/>
    <n v="0"/>
    <n v="2272.0000000000014"/>
    <n v="1195.3184503194348"/>
    <n v="1076.6815496805661"/>
    <n v="0"/>
    <n v="52.571632408962891"/>
    <n v="542.43721130284871"/>
    <n v="1420.9552900885633"/>
    <n v="103.79764316567945"/>
    <n v="0"/>
    <n v="1258.7595740414886"/>
    <n v="1000"/>
    <n v="-0.45455180030275449"/>
    <n v="0.45455180030275449"/>
    <n v="0"/>
    <n v="0.44014084507042234"/>
    <n v="2199.9692869634428"/>
  </r>
  <r>
    <x v="145"/>
    <x v="1"/>
    <n v="10.83333333333333"/>
    <n v="21136.855873660301"/>
    <m/>
    <m/>
    <m/>
    <m/>
    <n v="1825.9127271776811"/>
    <n v="1891.21917944395"/>
    <n v="4960.5309928464658"/>
    <n v="5006.676922970847"/>
    <n v="0"/>
    <n v="2397.942947330193"/>
    <n v="9727.0390582882173"/>
    <x v="134"/>
    <d v="2020-12-22T01:05:00"/>
    <n v="21308.839407275489"/>
    <n v="7.5522625076445893"/>
    <n v="1.1137339192755129"/>
    <n v="2173.0000000000005"/>
    <n v="0"/>
    <n v="0"/>
    <n v="0"/>
    <n v="0"/>
    <n v="187.71516349796673"/>
    <n v="194.42907220902742"/>
    <n v="509.97338070928123"/>
    <n v="514.7174687969158"/>
    <n v="0"/>
    <n v="246.52342125499675"/>
    <n v="999.99999999999989"/>
    <n v="-17.680974917916501"/>
    <n v="2190.680974917917"/>
    <n v="0.46019328117809472"/>
    <n v="0"/>
    <n v="0.45647906356491236"/>
  </r>
  <r>
    <x v="146"/>
    <x v="7"/>
    <n v="4.4166666666666661"/>
    <n v="10312.821456466299"/>
    <m/>
    <m/>
    <m/>
    <m/>
    <n v="882.14486206445747"/>
    <n v="881.06659427745979"/>
    <n v="1533.0586431997519"/>
    <n v="1298.1336218272941"/>
    <n v="431.38363990444481"/>
    <n v="1055.242754777559"/>
    <n v="4400.9518308884853"/>
    <x v="135"/>
    <d v="2020-12-23T05:30:00"/>
    <n v="52194.252013336452"/>
    <n v="9.30589952859488"/>
    <n v="1.003570781136"/>
    <n v="2343.316139950638"/>
    <n v="0"/>
    <n v="0"/>
    <n v="0"/>
    <n v="0"/>
    <n v="200.44410753897432"/>
    <n v="200.19909967966765"/>
    <n v="348.34706266036329"/>
    <n v="294.96655989648053"/>
    <n v="98.020532030534625"/>
    <n v="239.77602921514398"/>
    <n v="1000"/>
    <n v="-9516.4482971436955"/>
    <n v="11859.764437094333"/>
    <n v="0.42674566310163548"/>
    <n v="0"/>
    <n v="8.4318706775680458E-2"/>
  </r>
  <r>
    <x v="147"/>
    <x v="6"/>
    <n v="14.08333333333333"/>
    <n v="26429.542254965501"/>
    <m/>
    <m/>
    <m/>
    <m/>
    <n v="-23530.085749836129"/>
    <n v="2709.7298661109562"/>
    <n v="4539.2465045420786"/>
    <n v="-24081.18857905909"/>
    <n v="401.93649792785652"/>
    <n v="1817.1149480678439"/>
    <n v="11406.794240382171"/>
    <x v="136"/>
    <d v="2020-12-22T19:55:00"/>
    <n v="26125.679460272189"/>
    <n v="9.3096691807741845"/>
    <n v="1.2346442862514091"/>
    <n v="2317.0000000000014"/>
    <n v="0"/>
    <n v="0"/>
    <n v="0"/>
    <n v="0"/>
    <n v="-2062.8132018490569"/>
    <n v="237.55402341860514"/>
    <n v="397.94234987357822"/>
    <n v="-2111.1267610848286"/>
    <n v="35.236587025031682"/>
    <n v="159.30110684691053"/>
    <n v="1000"/>
    <n v="26.638754788578808"/>
    <n v="2290.3612452114226"/>
    <n v="0.43159257660768213"/>
    <n v="0"/>
    <n v="0.43661234754593936"/>
  </r>
  <r>
    <x v="148"/>
    <x v="1"/>
    <n v="69.666666666666671"/>
    <n v="181417.40603996639"/>
    <m/>
    <m/>
    <m/>
    <m/>
    <n v="15224.242349766761"/>
    <n v="14988.06994248796"/>
    <n v="3809.8401627088988"/>
    <n v="-24882.350105979411"/>
    <n v="33814.98223308452"/>
    <n v="18818.155239744341"/>
    <n v="80202.213103433445"/>
    <x v="137"/>
    <d v="2020-12-26T03:15:00"/>
    <n v="187843.03614142659"/>
    <n v="8.86036820956698"/>
    <n v="0.86863770924650774"/>
    <n v="2261.9999999999991"/>
    <n v="0"/>
    <n v="0"/>
    <n v="0"/>
    <n v="0"/>
    <n v="189.82322009160384"/>
    <n v="186.87850824214129"/>
    <n v="47.502930596135883"/>
    <n v="-310.24518081427107"/>
    <n v="421.6215603611181"/>
    <n v="234.63386497172283"/>
    <n v="1000"/>
    <n v="-80.11786524111676"/>
    <n v="2342.1178652411159"/>
    <n v="0.44208664898320088"/>
    <n v="0"/>
    <n v="0.42696399478471686"/>
  </r>
  <r>
    <x v="149"/>
    <x v="15"/>
    <n v="8.4166666666666661"/>
    <n v="15536.411995763379"/>
    <m/>
    <m/>
    <m/>
    <m/>
    <n v="0"/>
    <n v="1569.4083445700619"/>
    <n v="0"/>
    <n v="0"/>
    <n v="4898.2508730054051"/>
    <n v="1.4416505762998781E-3"/>
    <n v="6705.4000844900193"/>
    <x v="138"/>
    <d v="2020-12-22T15:25:00"/>
    <n v="15612.462134331499"/>
    <n v="9.3739471853913514"/>
    <n v="1.2552072300853316"/>
    <n v="2317.0000000000009"/>
    <n v="0"/>
    <n v="0"/>
    <n v="0"/>
    <n v="0"/>
    <n v="0"/>
    <n v="234.0514100270012"/>
    <n v="0"/>
    <n v="0"/>
    <n v="730.49345472097104"/>
    <n v="2.1499844276771791E-4"/>
    <n v="1000"/>
    <n v="-11.341625795607342"/>
    <n v="2328.3416257956083"/>
    <n v="0.43159257660768224"/>
    <n v="0"/>
    <n v="0.42949023842594153"/>
  </r>
  <r>
    <x v="150"/>
    <x v="7"/>
    <n v="106.75"/>
    <n v="196239.8345707533"/>
    <m/>
    <m/>
    <m/>
    <m/>
    <n v="-1016.409744869751"/>
    <n v="26610.062474168051"/>
    <n v="45536.32468726331"/>
    <n v="17136.02186019349"/>
    <n v="34322.014576188703"/>
    <n v="24020.7725725171"/>
    <n v="85433.101685134214"/>
    <x v="139"/>
    <d v="2020-12-31T16:55:00"/>
    <n v="289578.18511444848"/>
    <n v="8.5992815342091031"/>
    <n v="1.249515678283925"/>
    <n v="2297"/>
    <n v="0"/>
    <n v="0"/>
    <n v="0"/>
    <n v="0"/>
    <n v="-11.897142030682135"/>
    <n v="311.47250830527128"/>
    <n v="533.00563586101032"/>
    <n v="200.57824803492116"/>
    <n v="401.74140818020783"/>
    <n v="281.16470195646468"/>
    <n v="1000"/>
    <n v="-1092.5314509555787"/>
    <n v="3389.5314509555787"/>
    <n v="0.43535045711797993"/>
    <n v="0"/>
    <n v="0.29502602777681242"/>
  </r>
  <r>
    <x v="151"/>
    <x v="1"/>
    <n v="59.333333333333329"/>
    <n v="116746.1372658404"/>
    <m/>
    <m/>
    <m/>
    <m/>
    <n v="-4128.945624795826"/>
    <n v="15800.17791030302"/>
    <n v="13044.570131828041"/>
    <n v="13006.984171777311"/>
    <n v="22894.684200031399"/>
    <n v="17299.25721928824"/>
    <n v="51611.908605588127"/>
    <x v="140"/>
    <d v="2021-01-03T18:45:00"/>
    <n v="121826.8622407598"/>
    <n v="8.7377357936948385"/>
    <n v="1.149605487112507"/>
    <n v="2262.0000000000009"/>
    <n v="0"/>
    <n v="0"/>
    <n v="0"/>
    <n v="0"/>
    <n v="-79.999863139120123"/>
    <n v="306.13434645569964"/>
    <n v="252.74341686359719"/>
    <n v="252.01517485383241"/>
    <n v="443.59305475388959"/>
    <n v="335.17956779097324"/>
    <n v="1000.0000000000001"/>
    <n v="-98.440943421520842"/>
    <n v="2360.4409434215218"/>
    <n v="0.44208664898320049"/>
    <n v="0"/>
    <n v="0.4236496586737194"/>
  </r>
  <r>
    <x v="152"/>
    <x v="2"/>
    <n v="40.583333333333343"/>
    <n v="77002.731076727927"/>
    <m/>
    <m/>
    <m/>
    <m/>
    <n v="11008.25096075474"/>
    <n v="10952.69141012878"/>
    <n v="1378.2787751968831"/>
    <n v="-26846.673477742032"/>
    <n v="27034.41196942328"/>
    <n v="15637.6115322122"/>
    <n v="34041.879344265217"/>
    <x v="141"/>
    <d v="2021-01-05T11:20:00"/>
    <n v="77104.128662279007"/>
    <n v="8.7943650499711268"/>
    <n v="1.1921590145747967"/>
    <n v="2262"/>
    <n v="0"/>
    <n v="0"/>
    <n v="0"/>
    <n v="0"/>
    <n v="323.3737729174232"/>
    <n v="321.74167881168694"/>
    <n v="40.487740446359098"/>
    <n v="-788.63664388918914"/>
    <n v="794.15157124624398"/>
    <n v="459.36393152884352"/>
    <n v="1000"/>
    <n v="-2.9786130350107669"/>
    <n v="2264.9786130350108"/>
    <n v="0.44208664898320066"/>
    <n v="0"/>
    <n v="0.44150527260830369"/>
  </r>
  <r>
    <x v="153"/>
    <x v="1"/>
    <n v="22.833333333333329"/>
    <n v="60768.542503830577"/>
    <m/>
    <m/>
    <m/>
    <m/>
    <n v="5179.8010042496608"/>
    <n v="5167.5167063224544"/>
    <n v="4055.1526815960069"/>
    <n v="4123.562269125031"/>
    <n v="11748.4377142545"/>
    <n v="8782.3932673445361"/>
    <n v="26864.961319111659"/>
    <x v="142"/>
    <d v="2021-01-06T11:05:00"/>
    <n v="62972.503170371339"/>
    <n v="9.5667347740071964"/>
    <n v="0.84992987937376108"/>
    <n v="2262"/>
    <n v="0"/>
    <n v="0"/>
    <n v="0"/>
    <n v="0"/>
    <n v="192.80880187103654"/>
    <n v="192.35154091386306"/>
    <n v="150.94578523406182"/>
    <n v="153.4922094301152"/>
    <n v="437.31452186743684"/>
    <n v="326.90883724060183"/>
    <n v="1000"/>
    <n v="-82.038482779160859"/>
    <n v="2344.0384827791609"/>
    <n v="0.44208664898320066"/>
    <n v="0"/>
    <n v="0.4266141564426752"/>
  </r>
  <r>
    <x v="154"/>
    <x v="7"/>
    <n v="50.750000000000007"/>
    <n v="130447.4616314278"/>
    <m/>
    <m/>
    <m/>
    <m/>
    <n v="-14868.49793774114"/>
    <n v="13216.23747197597"/>
    <n v="9692.0434324714715"/>
    <n v="-18590.485151821711"/>
    <n v="26705.03021878672"/>
    <n v="18141.676761383449"/>
    <n v="56824.269496265602"/>
    <x v="143"/>
    <d v="2021-01-08T12:00:00"/>
    <n v="125896.1413156171"/>
    <n v="8.9938270057141185"/>
    <n v="0.89310431000499202"/>
    <n v="2295.6293637879603"/>
    <n v="0"/>
    <n v="0"/>
    <n v="0"/>
    <n v="0"/>
    <n v="-261.65752889649156"/>
    <n v="232.58086006445748"/>
    <n v="170.5616898974551"/>
    <n v="-327.15748599361132"/>
    <n v="469.95817905836395"/>
    <n v="319.25930455781202"/>
    <n v="1000"/>
    <n v="80.09465596578957"/>
    <n v="2215.5347078221707"/>
    <n v="0.43561038893052195"/>
    <n v="0"/>
    <n v="0.45135830933697324"/>
  </r>
  <r>
    <x v="155"/>
    <x v="2"/>
    <n v="65.416666666666671"/>
    <n v="174554.8229016673"/>
    <m/>
    <m/>
    <m/>
    <m/>
    <n v="20172.64631908204"/>
    <n v="20227.027120022169"/>
    <n v="4783.1319554456722"/>
    <n v="4847.152347954051"/>
    <n v="54280.433929499253"/>
    <n v="35123.868081155073"/>
    <n v="77168.356720454176"/>
    <x v="144"/>
    <d v="2021-01-12T03:10:00"/>
    <n v="220864.19810493771"/>
    <n v="8.581399579182591"/>
    <n v="0.84771361535715306"/>
    <n v="2261.9999999999995"/>
    <n v="0"/>
    <n v="0"/>
    <n v="0"/>
    <n v="0"/>
    <n v="261.41085771928971"/>
    <n v="262.11556108801801"/>
    <n v="61.983073875381095"/>
    <n v="62.812693621468149"/>
    <n v="703.40274480811547"/>
    <n v="455.15894822527918"/>
    <n v="999.99999999999989"/>
    <n v="-600.10834973495912"/>
    <n v="2862.1083497349587"/>
    <n v="0.44208664898320083"/>
    <n v="0"/>
    <n v="0.34939278245444605"/>
  </r>
  <r>
    <x v="156"/>
    <x v="9"/>
    <n v="16"/>
    <n v="33550.832571897001"/>
    <m/>
    <m/>
    <m/>
    <m/>
    <n v="3622.6717697145291"/>
    <n v="3636.634924153348"/>
    <n v="4305.1391471027382"/>
    <n v="4269.991426068018"/>
    <n v="0"/>
    <n v="1952.7076244358"/>
    <n v="21757.99777684631"/>
    <x v="145"/>
    <d v="2021-01-10T16:00:00"/>
    <n v="34924.756332862104"/>
    <n v="8.6889566916869807"/>
    <n v="0.73536178117576323"/>
    <n v="1541.9999999999995"/>
    <n v="0"/>
    <n v="0"/>
    <n v="0"/>
    <n v="0"/>
    <n v="166.4983978245269"/>
    <n v="167.14014595696204"/>
    <n v="197.86467446393598"/>
    <n v="196.24928129241346"/>
    <n v="0"/>
    <n v="89.746659801287706"/>
    <n v="1000.0000000000001"/>
    <n v="-63.145689003937605"/>
    <n v="1605.1456890039372"/>
    <n v="0.64850843060959806"/>
    <n v="0"/>
    <n v="0.62299640889329089"/>
  </r>
  <r>
    <x v="157"/>
    <x v="1"/>
    <n v="27.333333333333329"/>
    <n v="71821.935907956155"/>
    <m/>
    <m/>
    <m/>
    <m/>
    <n v="-21339.08309782582"/>
    <n v="6410.4434051949684"/>
    <n v="1054.3432875575149"/>
    <n v="1032.0510839388389"/>
    <n v="22370.550622089741"/>
    <n v="15232.690046851711"/>
    <n v="31751.518969034551"/>
    <x v="146"/>
    <d v="2021-01-13T06:30:00"/>
    <n v="75594.367076934985"/>
    <n v="8.6816773433537779"/>
    <n v="0.86085120400034953"/>
    <n v="2262"/>
    <n v="0"/>
    <n v="0"/>
    <n v="0"/>
    <n v="0"/>
    <n v="-672.06495281805621"/>
    <n v="201.8940703733484"/>
    <n v="33.206073970374639"/>
    <n v="32.503990909705443"/>
    <n v="704.55056477475819"/>
    <n v="479.74681342669896"/>
    <n v="1000"/>
    <n v="-118.8110456277027"/>
    <n v="2380.8110456277027"/>
    <n v="0.44208664898320071"/>
    <n v="0"/>
    <n v="0.42002493303131883"/>
  </r>
  <r>
    <x v="158"/>
    <x v="8"/>
    <n v="9"/>
    <n v="23364.871377749849"/>
    <m/>
    <m/>
    <m/>
    <m/>
    <n v="1732.2719495074141"/>
    <n v="1786.853995152725"/>
    <n v="0"/>
    <n v="-25.701620974771799"/>
    <n v="7105.748574632823"/>
    <n v="4645.4129745077653"/>
    <n v="10171.9074348062"/>
    <x v="147"/>
    <d v="2021-01-13T15:30:00"/>
    <n v="23364.771470510052"/>
    <n v="9.265002270533186"/>
    <n v="0.88478980542074426"/>
    <n v="2297.0000000000005"/>
    <n v="0"/>
    <n v="0"/>
    <n v="0"/>
    <n v="0"/>
    <n v="170.29961790449758"/>
    <n v="175.66557763182877"/>
    <n v="0"/>
    <n v="-2.5267258023628956"/>
    <n v="698.56598874645624"/>
    <n v="456.69044909041401"/>
    <n v="999.99999999999989"/>
    <n v="9.8218785842618672E-3"/>
    <n v="2296.9901781214162"/>
    <n v="0.43535045711797987"/>
    <n v="0"/>
    <n v="0.43535231866678936"/>
  </r>
  <r>
    <x v="159"/>
    <x v="15"/>
    <n v="33.666666666666671"/>
    <n v="67548.799508276759"/>
    <m/>
    <m/>
    <m/>
    <m/>
    <n v="7398.4833753516323"/>
    <n v="7360.9149857981974"/>
    <n v="2199.1676792944731"/>
    <n v="2250.3411908579519"/>
    <n v="19533.504290314639"/>
    <n v="11985.95650197525"/>
    <n v="29153.560426532909"/>
    <x v="148"/>
    <d v="2021-01-15T01:10:00"/>
    <n v="64947.26173959046"/>
    <n v="9.6137273930209624"/>
    <n v="1.1548046336057927"/>
    <n v="2317.0000000000005"/>
    <n v="0"/>
    <n v="0"/>
    <n v="0"/>
    <n v="0"/>
    <n v="253.77632327261847"/>
    <n v="252.48768514390321"/>
    <n v="75.433931469069947"/>
    <n v="77.189240625645738"/>
    <n v="670.02122569348421"/>
    <n v="411.13182495084635"/>
    <n v="1000"/>
    <n v="89.235679300378706"/>
    <n v="2227.7643206996217"/>
    <n v="0.4315925766076823"/>
    <n v="0"/>
    <n v="0.44888051698662335"/>
  </r>
  <r>
    <x v="160"/>
    <x v="8"/>
    <n v="8.0833333333333321"/>
    <n v="17729.51597036887"/>
    <m/>
    <m/>
    <m/>
    <m/>
    <n v="1947.7700784816891"/>
    <n v="1908.136680174355"/>
    <n v="0.64124999999999999"/>
    <n v="-32.202224384732858"/>
    <n v="6295.3232166431371"/>
    <n v="3497.3859834144341"/>
    <n v="7718.5528821806147"/>
    <x v="149"/>
    <d v="2021-01-15T12:05:00"/>
    <n v="32981.187574638701"/>
    <n v="10.363803607201859"/>
    <n v="1.0472602127265158"/>
    <n v="2296.9999999999995"/>
    <n v="0"/>
    <n v="0"/>
    <n v="0"/>
    <n v="0"/>
    <n v="252.34912660615379"/>
    <n v="247.21430419678305"/>
    <n v="8.307904471062412E-2"/>
    <n v="-4.1720546424027622"/>
    <n v="815.60926157243705"/>
    <n v="453.11420894564969"/>
    <n v="1000"/>
    <n v="-1975.9755276770215"/>
    <n v="4272.9755276770211"/>
    <n v="0.43535045711798004"/>
    <n v="0"/>
    <n v="0.23402895558909143"/>
  </r>
  <r>
    <x v="161"/>
    <x v="7"/>
    <n v="25.75"/>
    <n v="65765.466404296065"/>
    <m/>
    <m/>
    <m/>
    <m/>
    <n v="-22929.302502042279"/>
    <n v="5195.9119547380496"/>
    <n v="0"/>
    <n v="58.468427666426237"/>
    <n v="20743.016724625479"/>
    <n v="12606.2681145674"/>
    <n v="28631.025861687449"/>
    <x v="150"/>
    <d v="2021-01-16T13:50:00"/>
    <n v="61888.977655659808"/>
    <n v="10.17202038155507"/>
    <n v="0.89937399115193117"/>
    <n v="2296.9999999999995"/>
    <n v="0"/>
    <n v="0"/>
    <n v="0"/>
    <n v="0"/>
    <n v="-800.85507982880483"/>
    <n v="181.47837174395309"/>
    <n v="0"/>
    <n v="2.0421352678342428"/>
    <n v="724.49435884107481"/>
    <n v="440.30095797008977"/>
    <n v="1000"/>
    <n v="135.39468572879741"/>
    <n v="2161.6053142712021"/>
    <n v="0.43535045711797998"/>
    <n v="0"/>
    <n v="0.46261914392875925"/>
  </r>
  <r>
    <x v="162"/>
    <x v="1"/>
    <n v="34.333333333333329"/>
    <n v="92808.926292095348"/>
    <m/>
    <m/>
    <m/>
    <m/>
    <n v="7759.1338737605911"/>
    <n v="7492.3342108488096"/>
    <n v="3841.785348532404"/>
    <n v="3820.791331409222"/>
    <n v="23660.440564397479"/>
    <n v="14565.63564700835"/>
    <n v="41029.587220201312"/>
    <x v="151"/>
    <d v="2021-01-19T07:10:00"/>
    <n v="180462.9539655096"/>
    <n v="9.3758642359668389"/>
    <n v="0.83679450999762872"/>
    <n v="2261.9999999999995"/>
    <n v="0"/>
    <n v="0"/>
    <n v="0"/>
    <n v="0"/>
    <n v="189.11069789998538"/>
    <n v="182.60808159336992"/>
    <n v="93.634511307997357"/>
    <n v="93.122831358342751"/>
    <n v="576.667769953777"/>
    <n v="355.00322167113637"/>
    <n v="1000"/>
    <n v="-2136.3614311541728"/>
    <n v="4398.3614311541724"/>
    <n v="0.44208664898320083"/>
    <n v="0"/>
    <n v="0.22735739562394042"/>
  </r>
  <r>
    <x v="163"/>
    <x v="11"/>
    <n v="21.166666666666671"/>
    <n v="60065.122749242437"/>
    <m/>
    <m/>
    <m/>
    <m/>
    <n v="5356.6512476921134"/>
    <n v="5416.6297203930026"/>
    <n v="2652.3048675850878"/>
    <n v="2660.689097660274"/>
    <n v="14763.74426053047"/>
    <n v="10389.94871627573"/>
    <n v="26553.988836977209"/>
    <x v="152"/>
    <d v="2021-01-18T07:40:00"/>
    <n v="59894.353544051097"/>
    <n v="9.5440473740122886"/>
    <n v="0.79711815790143992"/>
    <n v="2261.9999999999995"/>
    <n v="0"/>
    <n v="0"/>
    <n v="0"/>
    <n v="0"/>
    <n v="201.72680197232063"/>
    <n v="203.98553880726902"/>
    <n v="99.883482058698291"/>
    <n v="100.19922483190872"/>
    <n v="555.98969899285044"/>
    <n v="391.27638337361287"/>
    <n v="1000"/>
    <n v="6.4310189418147274"/>
    <n v="2255.5689810581848"/>
    <n v="0.44208664898320077"/>
    <n v="0"/>
    <n v="0.44334711480686206"/>
  </r>
  <r>
    <x v="164"/>
    <x v="1"/>
    <n v="49.916666666666657"/>
    <n v="133317.18653806511"/>
    <m/>
    <m/>
    <m/>
    <m/>
    <n v="11289.81412697021"/>
    <n v="11115.93666990461"/>
    <n v="8221.7585211507849"/>
    <n v="8427.7450974714156"/>
    <n v="34236.073042937263"/>
    <n v="23877.274082572909"/>
    <n v="58937.748248481483"/>
    <x v="153"/>
    <d v="2021-01-23T20:20:00"/>
    <n v="216003.79716724571"/>
    <n v="9.1845646970857278"/>
    <n v="0.84693881510739166"/>
    <n v="2262"/>
    <n v="0"/>
    <n v="0"/>
    <n v="0"/>
    <n v="0"/>
    <n v="191.55489414648767"/>
    <n v="188.60470581671754"/>
    <n v="139.49902677801433"/>
    <n v="142.99401229141046"/>
    <n v="580.88532494655237"/>
    <n v="405.12701608324676"/>
    <n v="1000"/>
    <n v="-1402.9482477100064"/>
    <n v="3664.9482477100064"/>
    <n v="0.44208664898320071"/>
    <n v="0"/>
    <n v="0.27285514894373653"/>
  </r>
  <r>
    <x v="165"/>
    <x v="11"/>
    <n v="39.333333333333329"/>
    <n v="107891.63545049071"/>
    <m/>
    <m/>
    <m/>
    <m/>
    <n v="-16775.887669784039"/>
    <n v="9962.9530776737356"/>
    <n v="24987.78921131204"/>
    <n v="24618.20133560877"/>
    <n v="11077.03441985923"/>
    <n v="30665.222492734571"/>
    <n v="47679.913744235942"/>
    <x v="154"/>
    <d v="2021-01-24T07:30:00"/>
    <n v="138700.85258183649"/>
    <n v="9.6854910285288156"/>
    <n v="0.82494556396063867"/>
    <n v="2262.8320183052724"/>
    <n v="0"/>
    <n v="0"/>
    <n v="0"/>
    <n v="0"/>
    <n v="-351.84391817009293"/>
    <n v="208.95493081461717"/>
    <n v="524.07370838276381"/>
    <n v="516.32227079238123"/>
    <n v="232.32077304666561"/>
    <n v="643.14760838764539"/>
    <n v="1000"/>
    <n v="-646.16763563399536"/>
    <n v="2908.9996539392678"/>
    <n v="0.44192409861203091"/>
    <n v="0"/>
    <n v="0.34376078341770661"/>
  </r>
  <r>
    <x v="166"/>
    <x v="12"/>
    <n v="32.583333333333343"/>
    <n v="58491.19947787009"/>
    <m/>
    <m/>
    <m/>
    <m/>
    <n v="5722.9733776037228"/>
    <n v="5643.6299669214532"/>
    <n v="10633.64898601067"/>
    <n v="-16745.875155657472"/>
    <n v="0"/>
    <n v="6135.6084557781751"/>
    <n v="25244.367491527879"/>
    <x v="155"/>
    <d v="2021-01-26T03:15:00"/>
    <n v="60205.032974859387"/>
    <n v="8.7100531362403615"/>
    <n v="1.2907169626756723"/>
    <n v="2317"/>
    <n v="0"/>
    <n v="0"/>
    <n v="0"/>
    <n v="0"/>
    <n v="226.70298154724526"/>
    <n v="223.5599671417983"/>
    <n v="421.22857661533294"/>
    <n v="-663.3509499209066"/>
    <n v="0"/>
    <n v="243.04861105501305"/>
    <n v="1000"/>
    <n v="-67.889738079770268"/>
    <n v="2384.8897380797703"/>
    <n v="0.43159257660768241"/>
    <n v="0"/>
    <n v="0.41930659687653526"/>
  </r>
  <r>
    <x v="167"/>
    <x v="15"/>
    <n v="11.16666666666667"/>
    <n v="20858.657308497779"/>
    <m/>
    <m/>
    <m/>
    <m/>
    <n v="2297.2845763542218"/>
    <n v="2338.1873083949959"/>
    <n v="8637.1589173837419"/>
    <n v="-18402.342812585299"/>
    <n v="0"/>
    <n v="8462.6274029864107"/>
    <n v="9002.4416523512227"/>
    <x v="156"/>
    <d v="2021-01-24T18:40:00"/>
    <n v="20859.338341079241"/>
    <n v="9.3632847899182803"/>
    <n v="1.2404042256414074"/>
    <n v="2316.9999999999995"/>
    <n v="0"/>
    <n v="0"/>
    <n v="0"/>
    <n v="0"/>
    <n v="255.18461158303936"/>
    <n v="259.72812695590392"/>
    <n v="959.4240374918644"/>
    <n v="-2044.1501898297831"/>
    <n v="0"/>
    <n v="940.03690662923373"/>
    <n v="1000"/>
    <n v="-7.5649763448836893E-2"/>
    <n v="2317.0756497634484"/>
    <n v="0.43159257660768241"/>
    <n v="0"/>
    <n v="0.4315784856235016"/>
  </r>
  <r>
    <x v="168"/>
    <x v="0"/>
    <n v="331.91666666666657"/>
    <n v="0"/>
    <n v="618080.15036452573"/>
    <n v="130765.39492586569"/>
    <n v="487314.75543865998"/>
    <n v="50"/>
    <n v="11851.532462891741"/>
    <n v="154336.01719362169"/>
    <n v="382913.05580572342"/>
    <n v="-19309.546722802799"/>
    <n v="0"/>
    <n v="323602.02284826618"/>
    <n v="272064.32674494968"/>
    <x v="157"/>
    <d v="2021-02-21T07:00:00"/>
    <n v="152.64247071799991"/>
    <n v="5.0046225079553626"/>
    <n v="1.2199933399494387"/>
    <n v="0"/>
    <n v="2271.8162199337257"/>
    <n v="480.64145891663867"/>
    <n v="1791.1747610170871"/>
    <n v="0.18378006627408069"/>
    <n v="43.56150842959326"/>
    <n v="567.27766936642911"/>
    <n v="1407.4357354637323"/>
    <n v="-70.974195528783127"/>
    <n v="0"/>
    <n v="1189.4320241096189"/>
    <n v="1000.0000000000001"/>
    <n v="-0.56105286769586893"/>
    <n v="0.56105286769586893"/>
    <n v="0"/>
    <n v="0.4401408450704225"/>
    <n v="1782.3632273849671"/>
  </r>
  <r>
    <x v="169"/>
    <x v="0"/>
    <n v="53.250000000000007"/>
    <n v="0"/>
    <n v="82228.489499999996"/>
    <n v="27090.126583500001"/>
    <n v="55138.362916500002"/>
    <n v="9036.4988333333331"/>
    <n v="19334.27680589414"/>
    <n v="24252.537953854611"/>
    <n v="59916.917166088802"/>
    <n v="47620.735351414012"/>
    <n v="0"/>
    <n v="45394.264098544947"/>
    <n v="39993.421706105757"/>
    <x v="158"/>
    <d v="2021-02-24T17:20:00"/>
    <n v="0"/>
    <n v="5.0041666030883789"/>
    <n v="1.3314689698548694"/>
    <n v="0"/>
    <n v="2056.0503700898953"/>
    <n v="677.36456216658701"/>
    <n v="1378.6858079233086"/>
    <n v="225.94962991010445"/>
    <n v="483.43642481939463"/>
    <n v="606.41317794901261"/>
    <n v="1498.1693141035078"/>
    <n v="1190.7142054850435"/>
    <n v="0"/>
    <n v="1135.0432686687234"/>
    <n v="999.99999999999989"/>
    <n v="0"/>
    <n v="0"/>
    <n v="0"/>
    <n v="0.4382120946538125"/>
    <n v="0"/>
  </r>
  <r>
    <x v="170"/>
    <x v="0"/>
    <n v="10.41666666666667"/>
    <n v="0"/>
    <n v="17204"/>
    <n v="4645.08"/>
    <n v="12558.92"/>
    <n v="0"/>
    <n v="9987.967678752404"/>
    <n v="5048.1900706895412"/>
    <n v="11723.05147938964"/>
    <n v="-27266.81910808455"/>
    <n v="0"/>
    <n v="11000.13981304472"/>
    <n v="7572.1830985915503"/>
    <x v="159"/>
    <d v="2021-02-24T17:25:00"/>
    <n v="0"/>
    <n v="5.0041666030883789"/>
    <n v="1.3756490738587928"/>
    <n v="0"/>
    <n v="2271.9999999999995"/>
    <n v="613.43999999999994"/>
    <n v="1658.5599999999997"/>
    <n v="0"/>
    <n v="1319.0340947527004"/>
    <n v="666.67564755909302"/>
    <n v="1548.1732714004452"/>
    <n v="-3600.919147498726"/>
    <n v="0"/>
    <n v="1452.7038860286909"/>
    <n v="1000"/>
    <n v="0"/>
    <n v="0"/>
    <n v="0"/>
    <n v="0.44014084507042261"/>
    <n v="0"/>
  </r>
  <r>
    <x v="171"/>
    <x v="1"/>
    <n v="10.58333333333333"/>
    <n v="22724.101544456629"/>
    <m/>
    <m/>
    <m/>
    <m/>
    <n v="-25254.52504639142"/>
    <n v="2303.2006445955171"/>
    <n v="2112.186400053567"/>
    <n v="2027.9618056487859"/>
    <n v="0"/>
    <n v="843.25533306705279"/>
    <n v="10029.71437900297"/>
    <x v="160"/>
    <d v="2021-02-26T00:05:00"/>
    <n v="27718.091086980919"/>
    <n v="9.2328370593712688"/>
    <n v="1.0551978783652456"/>
    <n v="2265.6778334614532"/>
    <n v="0"/>
    <n v="0"/>
    <n v="0"/>
    <n v="0"/>
    <n v="-2517.9705116290575"/>
    <n v="229.63771026393607"/>
    <n v="210.59287635103468"/>
    <n v="202.19536958044273"/>
    <n v="0"/>
    <n v="84.075707562759007"/>
    <n v="1000"/>
    <n v="-497.9194176236083"/>
    <n v="2763.5972510850615"/>
    <n v="0.4413690177973017"/>
    <n v="0"/>
    <n v="0.36184722633059996"/>
  </r>
  <r>
    <x v="172"/>
    <x v="12"/>
    <n v="28"/>
    <n v="51716.825398868357"/>
    <m/>
    <m/>
    <m/>
    <m/>
    <n v="-23001.78413206945"/>
    <n v="4721.544090617188"/>
    <n v="8578.6933852877828"/>
    <n v="-19162.305661008799"/>
    <n v="-133.58652849623559"/>
    <n v="4698.1461300752353"/>
    <n v="22328.926038297439"/>
    <x v="161"/>
    <d v="2021-03-02T09:55:00"/>
    <n v="49602.672669925589"/>
    <n v="10.18769237150229"/>
    <n v="1.2539788054282515"/>
    <n v="2316.1358190790856"/>
    <n v="0"/>
    <n v="0"/>
    <n v="0"/>
    <n v="0"/>
    <n v="-1030.1339210232484"/>
    <n v="211.45415066174863"/>
    <n v="384.19641726494336"/>
    <n v="-858.18304150152971"/>
    <n v="-5.9826669794648772"/>
    <n v="210.4062739971109"/>
    <n v="999.99999999999989"/>
    <n v="94.682239769019361"/>
    <n v="2221.4535793100663"/>
    <n v="0.43175360950879305"/>
    <n v="0"/>
    <n v="0.45015570404607669"/>
  </r>
  <r>
    <x v="173"/>
    <x v="1"/>
    <n v="12.91666666666667"/>
    <n v="28201.445149232459"/>
    <m/>
    <m/>
    <m/>
    <m/>
    <n v="3688.7108296096399"/>
    <n v="3537.5634965540671"/>
    <n v="553.38301602251954"/>
    <n v="557.88526478782785"/>
    <n v="8783.2399841727802"/>
    <n v="4744.6579910335477"/>
    <n v="12467.48238250772"/>
    <x v="162"/>
    <d v="2021-03-04T05:10:00"/>
    <n v="64781.892588080053"/>
    <n v="9.2154081139981567"/>
    <n v="1.0360284675267855"/>
    <n v="2261.9999999999995"/>
    <n v="0"/>
    <n v="0"/>
    <n v="0"/>
    <n v="0"/>
    <n v="295.86653635741408"/>
    <n v="283.74321198298884"/>
    <n v="44.3861077196254"/>
    <n v="44.7472270400445"/>
    <n v="704.49187050754927"/>
    <n v="380.56263850755113"/>
    <n v="1000.0000000000001"/>
    <n v="-2934.0685085042628"/>
    <n v="5196.0685085042624"/>
    <n v="0.44208664898320077"/>
    <n v="0"/>
    <n v="0.19245319771348809"/>
  </r>
  <r>
    <x v="174"/>
    <x v="10"/>
    <n v="12.83333333333333"/>
    <n v="35979.015031703697"/>
    <m/>
    <m/>
    <m/>
    <m/>
    <n v="3517.5256662940978"/>
    <n v="3539.4357731371961"/>
    <n v="0"/>
    <n v="8.412609240195934"/>
    <n v="14418.2617587608"/>
    <n v="7432.1335135503896"/>
    <n v="15905.84218908209"/>
    <x v="163"/>
    <d v="2021-03-03T02:20:00"/>
    <n v="35978.81172258225"/>
    <n v="10.44254463246652"/>
    <n v="0.80683142588590773"/>
    <n v="2262.0000000000005"/>
    <n v="0"/>
    <n v="0"/>
    <n v="0"/>
    <n v="0"/>
    <n v="221.14677264361131"/>
    <n v="222.52426064975646"/>
    <n v="0"/>
    <n v="0.52890058509259086"/>
    <n v="906.47584625588843"/>
    <n v="467.25809455420546"/>
    <n v="1000"/>
    <n v="1.2782040650563431E-2"/>
    <n v="2261.9872179593499"/>
    <n v="0.4420866489832006"/>
    <n v="0"/>
    <n v="0.44208914712707764"/>
  </r>
  <r>
    <x v="175"/>
    <x v="9"/>
    <n v="10.91666666666667"/>
    <n v="27810.8817785477"/>
    <m/>
    <m/>
    <m/>
    <m/>
    <n v="2891.583358631131"/>
    <n v="2958.9857808121851"/>
    <n v="1118.261998813146"/>
    <n v="1166.481721421917"/>
    <n v="2342.7401561768388"/>
    <n v="2669.1971568350909"/>
    <n v="18035.591296075039"/>
    <x v="164"/>
    <d v="2021-03-03T20:05:00"/>
    <n v="27603.087395004481"/>
    <n v="9.4804700948227403"/>
    <n v="0.60528465562658806"/>
    <n v="1541.9999999999995"/>
    <n v="0"/>
    <n v="0"/>
    <n v="0"/>
    <n v="0"/>
    <n v="160.32650724683509"/>
    <n v="164.06369673369838"/>
    <n v="62.003068291778469"/>
    <n v="64.676655301884679"/>
    <n v="129.89538949502995"/>
    <n v="147.99609910299807"/>
    <n v="1000"/>
    <n v="11.52135131762725"/>
    <n v="1530.4786486823723"/>
    <n v="0.64850843060959817"/>
    <n v="0"/>
    <n v="0.65339036311347776"/>
  </r>
  <r>
    <x v="176"/>
    <x v="1"/>
    <n v="6.5"/>
    <n v="11442.44242826841"/>
    <m/>
    <m/>
    <m/>
    <m/>
    <n v="594.13901924131801"/>
    <n v="646.95760117463806"/>
    <n v="2238.679553520702"/>
    <n v="2258.5160028167188"/>
    <n v="0"/>
    <n v="234.93695585545001"/>
    <n v="5058.5510292963809"/>
    <x v="165"/>
    <d v="2021-03-09T01:30:00"/>
    <n v="15574.84270424128"/>
    <n v="8.680136681518702"/>
    <n v="1.2849529365930143"/>
    <n v="2261.9999999999995"/>
    <n v="0"/>
    <n v="0"/>
    <n v="0"/>
    <n v="0"/>
    <n v="117.45241192594231"/>
    <n v="127.89385684315744"/>
    <n v="442.55351790571757"/>
    <n v="446.47488771717843"/>
    <n v="0"/>
    <n v="46.443527898566749"/>
    <n v="999.99999999999989"/>
    <n v="-816.91382612140296"/>
    <n v="3078.9138261214025"/>
    <n v="0.44208664898320083"/>
    <n v="0"/>
    <n v="0.32478986307315039"/>
  </r>
  <r>
    <x v="177"/>
    <x v="7"/>
    <n v="27.666666666666671"/>
    <n v="70724.598579284808"/>
    <m/>
    <m/>
    <m/>
    <m/>
    <n v="5274.7176456933503"/>
    <n v="5300.7382083506991"/>
    <n v="3329.7988736565412"/>
    <n v="3248.8830420193649"/>
    <n v="20587.012615007039"/>
    <n v="11644.588282160559"/>
    <n v="30789.98632097727"/>
    <x v="166"/>
    <d v="2021-03-10T05:00:00"/>
    <n v="70519.896081015031"/>
    <n v="9.2602810041966741"/>
    <n v="0.89856053777514422"/>
    <n v="2297.0000000000005"/>
    <n v="0"/>
    <n v="0"/>
    <n v="0"/>
    <n v="0"/>
    <n v="171.31276352986478"/>
    <n v="172.15786175063343"/>
    <n v="108.14551325045387"/>
    <n v="105.51752144839035"/>
    <n v="668.62688409124337"/>
    <n v="378.1940063489759"/>
    <n v="1000"/>
    <n v="6.6483465155133672"/>
    <n v="2290.3516534844871"/>
    <n v="0.43535045711797987"/>
    <n v="0"/>
    <n v="0.43661417602778313"/>
  </r>
  <r>
    <x v="178"/>
    <x v="1"/>
    <n v="18.083333333333329"/>
    <n v="48155.814110395717"/>
    <m/>
    <m/>
    <m/>
    <m/>
    <n v="3383.368436684726"/>
    <n v="3502.2824321075282"/>
    <n v="1396.433287265625"/>
    <n v="1418.101643576214"/>
    <n v="10533.31565990952"/>
    <n v="7572.865565832135"/>
    <n v="21289.04248912277"/>
    <x v="167"/>
    <d v="2021-03-10T23:05:00"/>
    <n v="50545.294248422877"/>
    <n v="8.4884092713595223"/>
    <n v="0.84941975866564512"/>
    <n v="2262.0000000000005"/>
    <n v="0"/>
    <n v="0"/>
    <n v="0"/>
    <n v="0"/>
    <n v="158.92534567552266"/>
    <n v="164.511035848463"/>
    <n v="65.593992213558025"/>
    <n v="66.611809540084579"/>
    <n v="494.77639331554326"/>
    <n v="355.71658846100507"/>
    <n v="1000"/>
    <n v="-112.23990647996607"/>
    <n v="2374.2399064799665"/>
    <n v="0.4420866489832006"/>
    <n v="0"/>
    <n v="0.42118742814098931"/>
  </r>
  <r>
    <x v="179"/>
    <x v="7"/>
    <n v="60.250000000000007"/>
    <n v="114698.8038307926"/>
    <m/>
    <m/>
    <m/>
    <m/>
    <n v="-15681.07253240818"/>
    <n v="11873.50837771738"/>
    <n v="2379.1699448408599"/>
    <n v="2372.300682150033"/>
    <n v="34428.868607526623"/>
    <n v="19124.714883729579"/>
    <n v="49934.176678621086"/>
    <x v="168"/>
    <d v="2021-03-13T11:20:00"/>
    <n v="137980.35446768921"/>
    <n v="9.131969805420276"/>
    <n v="1.206588433164165"/>
    <n v="2296.9999999999995"/>
    <n v="0"/>
    <n v="0"/>
    <n v="0"/>
    <n v="0"/>
    <n v="-314.0348670076682"/>
    <n v="237.78320115571123"/>
    <n v="47.646123418702174"/>
    <n v="47.508557063397305"/>
    <n v="689.48505607917764"/>
    <n v="382.99850234474121"/>
    <n v="999.99999999999989"/>
    <n v="-466.24480837519059"/>
    <n v="2763.2448083751901"/>
    <n v="0.43535045711798009"/>
    <n v="0"/>
    <n v="0.36189337874410338"/>
  </r>
  <r>
    <x v="180"/>
    <x v="1"/>
    <n v="67.083333333333329"/>
    <n v="171420.32027646541"/>
    <m/>
    <m/>
    <m/>
    <m/>
    <n v="-7928.4274311914614"/>
    <n v="17433.074310143718"/>
    <n v="0"/>
    <n v="-183.78624550442169"/>
    <n v="65431.541268754998"/>
    <n v="37712.498579425963"/>
    <n v="75782.634958649593"/>
    <x v="169"/>
    <d v="2021-03-19T08:20:00"/>
    <n v="363908.06544647599"/>
    <n v="9.0094373738347411"/>
    <n v="0.88520718987848612"/>
    <n v="2262.0000000000005"/>
    <n v="0"/>
    <n v="0"/>
    <n v="0"/>
    <n v="0"/>
    <n v="-104.62063552577141"/>
    <n v="230.0404877668345"/>
    <n v="0"/>
    <n v="-2.4251762373359504"/>
    <n v="863.41074448595487"/>
    <n v="497.64037104283312"/>
    <n v="1000"/>
    <n v="-2539.9980519948999"/>
    <n v="4801.9980519949004"/>
    <n v="0.4420866489832006"/>
    <n v="0"/>
    <n v="0.2082466484101485"/>
  </r>
  <r>
    <x v="181"/>
    <x v="11"/>
    <n v="29"/>
    <n v="71050.85595253318"/>
    <m/>
    <m/>
    <m/>
    <m/>
    <n v="10528.492001827961"/>
    <n v="8592.6062890019166"/>
    <n v="2443.4527798663848"/>
    <n v="1878.49854859833"/>
    <n v="19469.73049859043"/>
    <n v="12669.013318112169"/>
    <n v="31410.634815443489"/>
    <x v="170"/>
    <d v="2021-03-15T10:30:00"/>
    <n v="88234.058830449023"/>
    <n v="8.8926720133363713"/>
    <n v="0.92325418350799249"/>
    <n v="2262.0000000000005"/>
    <n v="0"/>
    <n v="0"/>
    <n v="0"/>
    <n v="0"/>
    <n v="335.18876850752082"/>
    <n v="273.55723115717609"/>
    <n v="77.790620731581853"/>
    <n v="59.804539438175865"/>
    <n v="619.84517705506084"/>
    <n v="403.33515678846663"/>
    <n v="1000"/>
    <n v="-547.05048079663356"/>
    <n v="2809.050480796634"/>
    <n v="0.44208664898320066"/>
    <n v="0"/>
    <n v="0.35599217843760661"/>
  </r>
  <r>
    <x v="182"/>
    <x v="11"/>
    <n v="24.583333333333329"/>
    <n v="63227.966587464303"/>
    <m/>
    <m/>
    <m/>
    <m/>
    <n v="3964.6435783621819"/>
    <n v="7394.8565725583303"/>
    <n v="0"/>
    <n v="47.525757936519142"/>
    <n v="25876.875739825278"/>
    <n v="14569.08315224575"/>
    <n v="27952.239870673871"/>
    <x v="171"/>
    <d v="2021-03-17T18:45:00"/>
    <n v="112761.97308373421"/>
    <n v="8.6979810567058937"/>
    <n v="0.87947632987812774"/>
    <n v="2262"/>
    <n v="0"/>
    <n v="0"/>
    <n v="0"/>
    <n v="0"/>
    <n v="141.83634645042142"/>
    <n v="264.5532739691696"/>
    <n v="0"/>
    <n v="1.7002486439872337"/>
    <n v="925.75320831351462"/>
    <n v="521.21344191564856"/>
    <n v="1000"/>
    <n v="-1772.0943554236801"/>
    <n v="4034.0943554236801"/>
    <n v="0.44208664898320066"/>
    <n v="0"/>
    <n v="0.24788711217315468"/>
  </r>
  <r>
    <x v="183"/>
    <x v="10"/>
    <n v="12.58333333333333"/>
    <n v="33532.271518148453"/>
    <m/>
    <m/>
    <m/>
    <m/>
    <n v="5038.9580858592926"/>
    <n v="3412.5604983131439"/>
    <n v="0"/>
    <n v="-26.806683573710188"/>
    <n v="11566.45544091496"/>
    <n v="7283.7819081992802"/>
    <n v="14824.16954825307"/>
    <x v="172"/>
    <d v="2021-03-16T20:20:00"/>
    <n v="33532.343459820797"/>
    <n v="8.6353674845016872"/>
    <n v="0.84883900527272316"/>
    <n v="2262.0000000000005"/>
    <n v="0"/>
    <n v="0"/>
    <n v="0"/>
    <n v="0"/>
    <n v="339.91503331484091"/>
    <n v="230.20247354869815"/>
    <n v="0"/>
    <n v="-1.8083092942544747"/>
    <n v="780.24306206602921"/>
    <n v="491.34502168842408"/>
    <n v="1000"/>
    <n v="-4.8529984837841766E-3"/>
    <n v="2262.0048529984842"/>
    <n v="0.4420866489832006"/>
    <n v="0"/>
    <n v="0.44208570051227469"/>
  </r>
  <r>
    <x v="184"/>
    <x v="1"/>
    <n v="53"/>
    <n v="133712.95329101809"/>
    <m/>
    <m/>
    <m/>
    <m/>
    <n v="12407.076409611969"/>
    <n v="14358.792416113611"/>
    <n v="3062.797247640568"/>
    <n v="2913.3473257076262"/>
    <n v="41872.385106037669"/>
    <n v="25784.55587429256"/>
    <n v="59112.71144607343"/>
    <x v="173"/>
    <d v="2021-03-22T23:05:00"/>
    <n v="183625.00779336941"/>
    <n v="8.588784554596538"/>
    <n v="0.89659226760982103"/>
    <n v="2261.9999999999995"/>
    <n v="0"/>
    <n v="0"/>
    <n v="0"/>
    <n v="0"/>
    <n v="209.88846740570398"/>
    <n v="242.90532551890573"/>
    <n v="51.812836405493876"/>
    <n v="49.284616699834118"/>
    <n v="708.34823985762284"/>
    <n v="436.19308340837921"/>
    <n v="1000"/>
    <n v="-844.35400240241825"/>
    <n v="3106.3540024024178"/>
    <n v="0.44208664898320077"/>
    <n v="0"/>
    <n v="0.32192081109448945"/>
  </r>
  <r>
    <x v="185"/>
    <x v="10"/>
    <n v="14"/>
    <n v="35319.054550193527"/>
    <m/>
    <m/>
    <m/>
    <m/>
    <n v="3877.81579867044"/>
    <n v="3970.9312234340268"/>
    <n v="0"/>
    <n v="66.610437826163604"/>
    <n v="14249.3320310952"/>
    <n v="7734.2871740930013"/>
    <n v="15614.08247134993"/>
    <x v="174"/>
    <d v="2021-03-20T00:00:00"/>
    <n v="35312.573735791608"/>
    <n v="9.0393620055832269"/>
    <n v="0.89662649250690285"/>
    <n v="2261.9999999999991"/>
    <n v="0"/>
    <n v="0"/>
    <n v="0"/>
    <n v="0"/>
    <n v="248.35374129640931"/>
    <n v="254.31729534669969"/>
    <n v="0"/>
    <n v="4.2660488023158711"/>
    <n v="912.59489997193941"/>
    <n v="495.34048435343806"/>
    <n v="1000"/>
    <n v="0.41506213469847353"/>
    <n v="2261.5849378653006"/>
    <n v="0.44208664898320088"/>
    <n v="0"/>
    <n v="0.44216778386572353"/>
  </r>
  <r>
    <x v="186"/>
    <x v="11"/>
    <n v="19.75"/>
    <n v="49881.269372245173"/>
    <m/>
    <m/>
    <m/>
    <m/>
    <n v="5652.4185296548203"/>
    <n v="5760.2983943460877"/>
    <n v="2415.743351394844"/>
    <n v="2602.3394318371661"/>
    <n v="11714.327113257081"/>
    <n v="8364.2291914541456"/>
    <n v="22051.84322380423"/>
    <x v="175"/>
    <d v="2021-03-21T14:50:00"/>
    <n v="80368.978502947299"/>
    <n v="8.8571133960302539"/>
    <n v="0.89561674276191716"/>
    <n v="2262"/>
    <n v="0"/>
    <n v="0"/>
    <n v="0"/>
    <n v="0"/>
    <n v="256.32408467121803"/>
    <n v="261.21618659650352"/>
    <n v="109.54836413797508"/>
    <n v="118.01006407609626"/>
    <n v="531.21759457331234"/>
    <n v="379.29841540072437"/>
    <n v="999.99999999999989"/>
    <n v="-1382.5469744765674"/>
    <n v="3644.5469744765674"/>
    <n v="0.44208664898320066"/>
    <n v="0"/>
    <n v="0.2743825246328786"/>
  </r>
  <r>
    <x v="187"/>
    <x v="2"/>
    <n v="57.083333333333343"/>
    <n v="136192.08528092169"/>
    <m/>
    <m/>
    <m/>
    <m/>
    <n v="12181.94746468618"/>
    <n v="18329.419347934028"/>
    <n v="129"/>
    <n v="374.66675847100822"/>
    <n v="67143.616437289573"/>
    <n v="42213.18593237226"/>
    <n v="60208.702599876968"/>
    <x v="176"/>
    <d v="2021-03-27T12:50:00"/>
    <n v="285893.91924514389"/>
    <n v="9.1817482400645307"/>
    <n v="0.94809107103148227"/>
    <n v="2262"/>
    <n v="0"/>
    <n v="0"/>
    <n v="0"/>
    <n v="0"/>
    <n v="202.32868237740556"/>
    <n v="304.43139540381799"/>
    <n v="2.1425474130755244"/>
    <n v="6.2228007296701628"/>
    <n v="1115.1812535058141"/>
    <n v="701.11435904713414"/>
    <n v="1000"/>
    <n v="-2486.3819929667125"/>
    <n v="4748.3819929667125"/>
    <n v="0.44208664898320077"/>
    <n v="0"/>
    <n v="0.2105980524484333"/>
  </r>
  <r>
    <x v="188"/>
    <x v="1"/>
    <n v="27.083333333333339"/>
    <n v="59207.505101868497"/>
    <m/>
    <m/>
    <m/>
    <m/>
    <n v="-18908.176030742139"/>
    <n v="8664.1246898378522"/>
    <n v="748.36913485300954"/>
    <n v="540.5489932022931"/>
    <n v="32788.407126268517"/>
    <n v="19918.045014879561"/>
    <n v="26174.847525140802"/>
    <x v="177"/>
    <d v="2021-03-26T06:30:00"/>
    <n v="153302.33104552561"/>
    <n v="9.0837221827144337"/>
    <n v="1.0347083514935451"/>
    <n v="2262"/>
    <n v="0"/>
    <n v="0"/>
    <n v="0"/>
    <n v="0"/>
    <n v="-722.37960555762311"/>
    <n v="331.00955722916848"/>
    <n v="28.591155464581213"/>
    <n v="20.651466744289479"/>
    <n v="1252.6685053189108"/>
    <n v="760.96126236259397"/>
    <n v="1000.0000000000001"/>
    <n v="-3594.856697953237"/>
    <n v="5856.856697953237"/>
    <n v="0.44208664898320066"/>
    <n v="0"/>
    <n v="0.17074004906923271"/>
  </r>
  <r>
    <x v="189"/>
    <x v="7"/>
    <n v="38.583333333333343"/>
    <n v="90738.842213923286"/>
    <m/>
    <m/>
    <m/>
    <m/>
    <n v="-37824.185251129209"/>
    <n v="9325.9546466013362"/>
    <n v="2038.3315885973821"/>
    <n v="-48436.508584151197"/>
    <n v="23761.255480179971"/>
    <n v="11382.797147026309"/>
    <n v="39503.196436187762"/>
    <x v="178"/>
    <d v="2021-03-29T04:25:00"/>
    <n v="92659.330192975089"/>
    <n v="9.2904162857171304"/>
    <n v="0.97671421085277654"/>
    <n v="2297"/>
    <n v="0"/>
    <n v="0"/>
    <n v="0"/>
    <n v="0"/>
    <n v="-957.49682718028214"/>
    <n v="236.08101338498503"/>
    <n v="51.599155827555364"/>
    <n v="-1226.1415012932951"/>
    <n v="601.50209663572832"/>
    <n v="288.14876197205274"/>
    <n v="999.99999999999989"/>
    <n v="-48.616014710457421"/>
    <n v="2345.6160147104574"/>
    <n v="0.43535045711797998"/>
    <n v="0"/>
    <n v="0.42632723929600208"/>
  </r>
  <r>
    <x v="190"/>
    <x v="7"/>
    <n v="45.25"/>
    <n v="96272.536078681995"/>
    <m/>
    <m/>
    <m/>
    <m/>
    <n v="14004.262171216271"/>
    <n v="11550.464186754471"/>
    <n v="8922.6774400376798"/>
    <n v="-11696.35868993943"/>
    <n v="19633.351504584429"/>
    <n v="12240.475059888309"/>
    <n v="42635.753947407167"/>
    <x v="179"/>
    <d v="2023-08-16T17:05:00"/>
    <n v="44778120.993008807"/>
    <n v="7.2083310624903723"/>
    <n v="1.0613158162001217"/>
    <n v="2258.0235404641335"/>
    <n v="0"/>
    <n v="0"/>
    <n v="0"/>
    <n v="0"/>
    <n v="328.4628715254118"/>
    <n v="270.91028344432254"/>
    <n v="209.27687712627628"/>
    <n v="-274.33216507364534"/>
    <n v="460.49030888026323"/>
    <n v="287.09413875939435"/>
    <n v="999.99999999999989"/>
    <n v="-1047990.1097104297"/>
    <n v="1050248.1332508938"/>
    <n v="0.44286517925072266"/>
    <n v="0"/>
    <n v="9.5215594138181624E-4"/>
  </r>
  <r>
    <x v="190"/>
    <x v="8"/>
    <n v="28.833333333333329"/>
    <n v="53109.326342435823"/>
    <m/>
    <m/>
    <m/>
    <m/>
    <n v="-8620.2031714884833"/>
    <n v="6418.3757875281026"/>
    <n v="10292.74090529662"/>
    <n v="10370.294766703881"/>
    <n v="5559.4769140730377"/>
    <n v="9927.3587285554295"/>
    <n v="23580.857128048159"/>
    <x v="180"/>
    <d v="2022-12-25T15:50:00"/>
    <n v="31973766.435444731"/>
    <n v="7.1418771435086974"/>
    <n v="1.2227432267098397"/>
    <n v="2252.2220483353481"/>
    <n v="0"/>
    <n v="0"/>
    <n v="0"/>
    <n v="0"/>
    <n v="-365.55936557688631"/>
    <n v="272.18585620850018"/>
    <n v="436.48714079412997"/>
    <n v="439.77598907416194"/>
    <n v="235.76229158609928"/>
    <n v="420.99227668647256"/>
    <n v="1000"/>
    <n v="-1353668.2290964902"/>
    <n v="1355920.4511448254"/>
    <n v="0.44400595435921397"/>
    <n v="0"/>
    <n v="7.3750639217491263E-4"/>
  </r>
  <r>
    <x v="191"/>
    <x v="15"/>
    <n v="38.25"/>
    <n v="70656.854227991513"/>
    <m/>
    <m/>
    <m/>
    <m/>
    <n v="12170.18458559636"/>
    <n v="12185.98767970532"/>
    <n v="250.4389040396342"/>
    <n v="301.04908750857362"/>
    <n v="39551.214006018417"/>
    <n v="20472.168671132411"/>
    <n v="30494.973771252258"/>
    <x v="181"/>
    <d v="2021-03-30T21:35:00"/>
    <n v="70061.163231017606"/>
    <n v="10.516093703701021"/>
    <n v="1.2543050630874271"/>
    <n v="2317.0000000000009"/>
    <n v="0"/>
    <n v="0"/>
    <n v="0"/>
    <n v="0"/>
    <n v="399.08821292606734"/>
    <n v="399.60643255883377"/>
    <n v="8.2124649759733188"/>
    <n v="9.8720887503229751"/>
    <n v="1296.9748491242683"/>
    <n v="671.32927625048865"/>
    <n v="1000"/>
    <n v="19.534071465096986"/>
    <n v="2297.4659285349039"/>
    <n v="0.43159257660768219"/>
    <n v="0"/>
    <n v="0.43526216758204589"/>
  </r>
  <r>
    <x v="192"/>
    <x v="7"/>
    <n v="6.75"/>
    <n v="17353.350522990931"/>
    <m/>
    <m/>
    <m/>
    <m/>
    <n v="1743.2048358123459"/>
    <n v="1821.8353645690679"/>
    <n v="0"/>
    <n v="2.5967338737658001"/>
    <n v="7869.136396804719"/>
    <n v="6676.6235524814037"/>
    <n v="7554.7890827126384"/>
    <x v="182"/>
    <d v="2021-03-31T09:20:00"/>
    <n v="17353.995036886849"/>
    <n v="8.8898087515011337"/>
    <n v="0.89347299125078028"/>
    <n v="2297"/>
    <n v="0"/>
    <n v="0"/>
    <n v="0"/>
    <n v="0"/>
    <n v="230.7416946690492"/>
    <n v="241.14973225896014"/>
    <n v="0"/>
    <n v="0.34372023432233417"/>
    <n v="1041.6090125945925"/>
    <n v="883.7604173171809"/>
    <n v="1000"/>
    <n v="-8.5311964220636582E-2"/>
    <n v="2297.0853119642206"/>
    <n v="0.43535045711797993"/>
    <n v="0"/>
    <n v="0.43533428854016198"/>
  </r>
  <r>
    <x v="193"/>
    <x v="18"/>
    <n v="4.833333333333333"/>
    <n v="8895.9322837173495"/>
    <m/>
    <m/>
    <m/>
    <m/>
    <n v="1236.1662287489321"/>
    <n v="1195.206196108787"/>
    <n v="0"/>
    <n v="3.3712026723264898"/>
    <n v="5645.2747615488479"/>
    <n v="2866.475592061232"/>
    <n v="3839.4183356570338"/>
    <x v="183"/>
    <d v="2021-03-31T02:40:00"/>
    <n v="8953.4691777661319"/>
    <n v="8.9685550372202201"/>
    <n v="1.2588712431895526"/>
    <n v="2317.0000000000005"/>
    <n v="0"/>
    <n v="0"/>
    <n v="0"/>
    <n v="0"/>
    <n v="321.9670587256777"/>
    <n v="311.29876757861899"/>
    <n v="0"/>
    <n v="0.878050365342536"/>
    <n v="1470.346356665711"/>
    <n v="746.59110872082044"/>
    <n v="1000"/>
    <n v="-14.985836139404455"/>
    <n v="2331.9858361394049"/>
    <n v="0.43159257660768224"/>
    <n v="0"/>
    <n v="0.42881907106927231"/>
  </r>
  <r>
    <x v="194"/>
    <x v="1"/>
    <n v="6.666666666666667"/>
    <n v="15654.75538562403"/>
    <m/>
    <m/>
    <m/>
    <m/>
    <n v="4157.9575449415142"/>
    <n v="1891.1444617714751"/>
    <n v="0.12937499999999999"/>
    <n v="-39.672426227191693"/>
    <n v="7805.2426539062526"/>
    <n v="8050.6314633005331"/>
    <n v="6920.7583490822426"/>
    <x v="184"/>
    <d v="2021-03-31T15:55:00"/>
    <n v="19236.41640194862"/>
    <n v="8.5750767917797273"/>
    <n v="0.9632855722452337"/>
    <n v="2261.9999999999995"/>
    <n v="0"/>
    <n v="0"/>
    <n v="0"/>
    <n v="0"/>
    <n v="600.79507695755603"/>
    <n v="273.25682625839096"/>
    <n v="1.8693760636384067E-2"/>
    <n v="-5.7323813700925754"/>
    <n v="1127.8016454571487"/>
    <n v="1163.2585704091407"/>
    <n v="1000"/>
    <n v="-517.52435725480154"/>
    <n v="2779.5243572548011"/>
    <n v="0.44208664898320077"/>
    <n v="0"/>
    <n v="0.35977378553633205"/>
  </r>
  <r>
    <x v="195"/>
    <x v="1"/>
    <n v="97.916666666666671"/>
    <n v="244885.89613300789"/>
    <m/>
    <m/>
    <m/>
    <m/>
    <n v="-31082.416444415121"/>
    <n v="23595.579609535849"/>
    <n v="8898.109934789416"/>
    <n v="8895.0451778113966"/>
    <n v="55593.944945153467"/>
    <n v="32224.274464868271"/>
    <n v="108260.7852046896"/>
    <x v="185"/>
    <d v="2021-04-07T18:55:00"/>
    <n v="379228.02427710552"/>
    <n v="7.3884461971162896"/>
    <n v="0.90445184266431089"/>
    <n v="2262"/>
    <n v="0"/>
    <n v="0"/>
    <n v="0"/>
    <n v="0"/>
    <n v="-287.10688164368406"/>
    <n v="217.95130679057505"/>
    <n v="82.191440954041511"/>
    <n v="82.163131931783596"/>
    <n v="513.51876711444049"/>
    <n v="297.65417278233809"/>
    <n v="1000.0000000000001"/>
    <n v="-1240.9121907816925"/>
    <n v="3502.9121907816925"/>
    <n v="0.44208664898320066"/>
    <n v="0"/>
    <n v="0.28547675349431034"/>
  </r>
  <r>
    <x v="196"/>
    <x v="11"/>
    <n v="7.083333333333333"/>
    <n v="16323.691059860341"/>
    <m/>
    <m/>
    <m/>
    <m/>
    <n v="2145.0356125488379"/>
    <n v="2046.021354874375"/>
    <n v="0"/>
    <n v="0"/>
    <n v="8297.4609375"/>
    <n v="4964.4352833243893"/>
    <n v="7216.4858796906919"/>
    <x v="186"/>
    <d v="2021-03-31T23:05:00"/>
    <n v="0"/>
    <m/>
    <n v="0.98154883850987784"/>
    <n v="2261.9999999999995"/>
    <n v="0"/>
    <n v="0"/>
    <n v="0"/>
    <n v="0"/>
    <n v="297.24101845547807"/>
    <n v="283.52045427435525"/>
    <n v="0"/>
    <n v="0"/>
    <n v="1149.7924441107116"/>
    <n v="687.92974393475458"/>
    <n v="1000"/>
    <n v="2261.9999999999995"/>
    <n v="0"/>
    <n v="0.44208664898320083"/>
    <n v="0"/>
    <n v="0"/>
  </r>
  <r>
    <x v="197"/>
    <x v="2"/>
    <n v="29.416666666666671"/>
    <n v="65336.50468050022"/>
    <m/>
    <m/>
    <m/>
    <m/>
    <n v="8106.9016043856554"/>
    <n v="8149.5899894706672"/>
    <n v="2.6762277573529412"/>
    <n v="34.044128980212918"/>
    <n v="21423.88672591807"/>
    <n v="15207.05361446648"/>
    <n v="28884.396410477551"/>
    <x v="187"/>
    <d v="2021-04-03T12:15:00"/>
    <n v="114083.0635253971"/>
    <n v="7.2650886207892382"/>
    <n v="1.0184276052933563"/>
    <n v="2262"/>
    <n v="0"/>
    <n v="0"/>
    <n v="0"/>
    <n v="0"/>
    <n v="280.66716330776262"/>
    <n v="282.14506800337631"/>
    <n v="9.2653061511860577E-2"/>
    <n v="1.1786339065705289"/>
    <n v="741.71142167771768"/>
    <n v="526.47988202205465"/>
    <n v="1000"/>
    <n v="-1687.6433265960336"/>
    <n v="3949.6433265960336"/>
    <n v="0.44208664898320071"/>
    <n v="0"/>
    <n v="0.25318741904268133"/>
  </r>
  <r>
    <x v="198"/>
    <x v="2"/>
    <n v="129.16666666666671"/>
    <n v="322620.61778284691"/>
    <m/>
    <m/>
    <m/>
    <m/>
    <n v="16718.88148552239"/>
    <n v="44345.497217039658"/>
    <n v="841.21413036107242"/>
    <n v="900.38259512519392"/>
    <n v="116889.1185439087"/>
    <n v="54959.589977540832"/>
    <n v="142626.2678085088"/>
    <x v="188"/>
    <d v="2021-04-16T00:20:00"/>
    <n v="588358.02536775847"/>
    <n v="7.3928713479046939"/>
    <n v="0.90563027870915713"/>
    <n v="2262"/>
    <n v="0"/>
    <n v="0"/>
    <n v="0"/>
    <n v="0"/>
    <n v="117.22161522146325"/>
    <n v="310.92096777417112"/>
    <n v="5.8980308696746757"/>
    <n v="6.3128805721401546"/>
    <n v="819.54832261925969"/>
    <n v="385.33988739949388"/>
    <n v="999.99999999999989"/>
    <n v="-1863.1729741515273"/>
    <n v="4125.1729741515273"/>
    <n v="0.44208664898320071"/>
    <n v="0"/>
    <n v="0.2424140772437989"/>
  </r>
  <r>
    <x v="199"/>
    <x v="1"/>
    <n v="80.5"/>
    <n v="198589.55503403489"/>
    <m/>
    <m/>
    <m/>
    <m/>
    <n v="-4329.364514236936"/>
    <n v="23284.64693427856"/>
    <n v="0"/>
    <n v="-28161.585712454958"/>
    <n v="75721.019234811538"/>
    <n v="43164.956466713033"/>
    <n v="87793.790908061419"/>
    <x v="189"/>
    <d v="2021-04-14T12:45:00"/>
    <n v="305621.19174588629"/>
    <n v="7.007624100824775"/>
    <n v="0.91692133540856491"/>
    <n v="2261.9999999999995"/>
    <n v="0"/>
    <n v="0"/>
    <n v="0"/>
    <n v="0"/>
    <n v="-49.312878159808506"/>
    <n v="265.21974610553593"/>
    <n v="0"/>
    <n v="-320.76967426940325"/>
    <n v="862.48718105939167"/>
    <n v="491.66297548212526"/>
    <n v="1000"/>
    <n v="-1219.1253573266476"/>
    <n v="3481.1253573266472"/>
    <n v="0.44208664898320083"/>
    <n v="0"/>
    <n v="0.28726342701084351"/>
  </r>
  <r>
    <x v="200"/>
    <x v="9"/>
    <n v="13.25"/>
    <n v="33093.643139491433"/>
    <m/>
    <m/>
    <m/>
    <m/>
    <n v="4047.332462673498"/>
    <n v="4095.1717519686299"/>
    <n v="0"/>
    <n v="74.632930097251915"/>
    <n v="12926.9500868989"/>
    <n v="3604.70537615884"/>
    <n v="21461.506575545671"/>
    <x v="190"/>
    <d v="2021-04-11T18:20:00"/>
    <n v="33695.291628765117"/>
    <n v="6.8021037042343471"/>
    <n v="0.61738442980968178"/>
    <n v="1542.0000000000002"/>
    <n v="0"/>
    <n v="0"/>
    <n v="0"/>
    <n v="0"/>
    <n v="188.58566375229378"/>
    <n v="190.81473789146176"/>
    <n v="0"/>
    <n v="3.4775252070277518"/>
    <n v="602.33190253421083"/>
    <n v="167.96143194654491"/>
    <n v="1000.0000000000001"/>
    <n v="-28.033842226119987"/>
    <n v="1570.0338422261202"/>
    <n v="0.64850843060959773"/>
    <n v="0"/>
    <n v="0.63692894580037807"/>
  </r>
  <r>
    <x v="201"/>
    <x v="1"/>
    <n v="51.5"/>
    <n v="129385.0401503075"/>
    <m/>
    <m/>
    <m/>
    <m/>
    <n v="-11680.539011076989"/>
    <n v="15993.29927350959"/>
    <n v="0"/>
    <n v="-5.6117108374422742"/>
    <n v="55354.692318535032"/>
    <n v="30935.505209936651"/>
    <n v="57199.39882860634"/>
    <x v="191"/>
    <d v="2021-04-18T05:20:00"/>
    <n v="128673.6859365253"/>
    <n v="6.477961391593392"/>
    <n v="0.9003591131143851"/>
    <n v="2261.9999999999991"/>
    <n v="0"/>
    <n v="0"/>
    <n v="0"/>
    <n v="0"/>
    <n v="-204.20737368371366"/>
    <n v="279.60607280912689"/>
    <n v="0"/>
    <n v="-9.8107863935027365E-2"/>
    <n v="967.74954723564781"/>
    <n v="540.83619484590292"/>
    <n v="1000"/>
    <n v="12.436393185070301"/>
    <n v="2249.5636068149288"/>
    <n v="0.44208664898320088"/>
    <n v="0"/>
    <n v="0.44453066228959032"/>
  </r>
  <r>
    <x v="202"/>
    <x v="7"/>
    <n v="27.5"/>
    <n v="67530.206546323447"/>
    <m/>
    <m/>
    <m/>
    <m/>
    <n v="8115.0910454588893"/>
    <n v="8070.8755708971667"/>
    <n v="0"/>
    <n v="35.374631839189867"/>
    <n v="28764.782372620131"/>
    <n v="16244.905741382179"/>
    <n v="29399.306289213509"/>
    <x v="192"/>
    <d v="2021-04-19T08:50:00"/>
    <n v="66993.187478273059"/>
    <n v="6.3104578125695916"/>
    <n v="0.93539622089959462"/>
    <n v="2297.0000000000005"/>
    <n v="0"/>
    <n v="0"/>
    <n v="0"/>
    <n v="0"/>
    <n v="276.03001804285037"/>
    <n v="274.52605484974794"/>
    <n v="0"/>
    <n v="1.2032471613851883"/>
    <n v="978.41704459447806"/>
    <n v="552.56085234032787"/>
    <n v="1000"/>
    <n v="18.26638570201294"/>
    <n v="2278.7336142979875"/>
    <n v="0.43535045711797987"/>
    <n v="0"/>
    <n v="0.43884023728156191"/>
  </r>
  <r>
    <x v="203"/>
    <x v="1"/>
    <n v="62.416666666666657"/>
    <n v="148611.49752008411"/>
    <m/>
    <m/>
    <m/>
    <m/>
    <n v="-38166.418771186487"/>
    <n v="17365.424683451562"/>
    <n v="26901.568591952251"/>
    <n v="-960.19505878393829"/>
    <n v="36728.913292709847"/>
    <n v="48289.323205813751"/>
    <n v="65699.158939029207"/>
    <x v="193"/>
    <d v="2021-04-23T21:25:00"/>
    <n v="217168.9028863523"/>
    <n v="6.9339858896733571"/>
    <n v="0.95003752977402955"/>
    <n v="2262.0000000000009"/>
    <n v="0"/>
    <n v="0"/>
    <n v="0"/>
    <n v="0"/>
    <n v="-580.9270527588651"/>
    <n v="264.31730579027959"/>
    <n v="409.46595095559309"/>
    <n v="-14.615028172202754"/>
    <n v="559.04693280465563"/>
    <n v="735.0067182842887"/>
    <n v="1000"/>
    <n v="-1043.5050687618618"/>
    <n v="3305.5050687618627"/>
    <n v="0.44208664898320055"/>
    <n v="0"/>
    <n v="0.30252562897281177"/>
  </r>
  <r>
    <x v="204"/>
    <x v="11"/>
    <n v="20.25"/>
    <n v="44628.902078239007"/>
    <m/>
    <m/>
    <m/>
    <m/>
    <n v="5615.3212268416082"/>
    <n v="5670.1726585763818"/>
    <n v="0"/>
    <n v="-51.977514977934902"/>
    <n v="19932.93552426391"/>
    <n v="10839.183643273431"/>
    <n v="19729.84176756809"/>
    <x v="194"/>
    <d v="2021-04-20T05:05:00"/>
    <n v="45923.951001037691"/>
    <n v="6.3169004168174716"/>
    <n v="1.0263640346719327"/>
    <n v="2261.9999999999995"/>
    <n v="0"/>
    <n v="0"/>
    <n v="0"/>
    <n v="0"/>
    <n v="284.61055557333827"/>
    <n v="287.39068084656463"/>
    <n v="0"/>
    <n v="-2.6344618264184727"/>
    <n v="1010.293734693284"/>
    <n v="549.3801608227227"/>
    <n v="999.99999999999989"/>
    <n v="-65.639093209935254"/>
    <n v="2327.6390932099348"/>
    <n v="0.44208664898320083"/>
    <n v="0"/>
    <n v="0.42961986801009949"/>
  </r>
  <r>
    <x v="205"/>
    <x v="11"/>
    <n v="1.416666666666667"/>
    <n v="3577.5476818542688"/>
    <m/>
    <m/>
    <m/>
    <m/>
    <n v="487.86983422792042"/>
    <n v="480.88533533063531"/>
    <n v="0"/>
    <n v="-3.8945215937644662"/>
    <n v="1502.389945828947"/>
    <n v="741.03991070917721"/>
    <n v="1581.586066248572"/>
    <x v="195"/>
    <d v="2021-04-21T07:00:00"/>
    <n v="3577.5069814686099"/>
    <n v="7.2374737594701068"/>
    <n v="0.895725308219815"/>
    <n v="2261.9999999999995"/>
    <n v="0"/>
    <n v="0"/>
    <n v="0"/>
    <n v="0"/>
    <n v="308.46872303643812"/>
    <n v="304.05258720523926"/>
    <n v="0"/>
    <n v="-2.4624152152541652"/>
    <n v="949.92613926634203"/>
    <n v="468.54226053399663"/>
    <n v="1000"/>
    <n v="2.5733905051311012E-2"/>
    <n v="2261.9742660949482"/>
    <n v="0.44208664898320083"/>
    <n v="0"/>
    <n v="0.44209167849039721"/>
  </r>
  <r>
    <x v="206"/>
    <x v="2"/>
    <n v="12.25"/>
    <n v="29635.965161567539"/>
    <m/>
    <m/>
    <m/>
    <m/>
    <n v="4441.5141831834626"/>
    <n v="4459.5423386944203"/>
    <n v="101.0934764150943"/>
    <n v="147.18080428464481"/>
    <n v="11180.15659925271"/>
    <n v="6174.6145100580661"/>
    <n v="13101.66452766027"/>
    <x v="196"/>
    <d v="2021-04-21T19:15:00"/>
    <n v="29639.044042597801"/>
    <n v="7.3360794950660564"/>
    <n v="0.93499570028966672"/>
    <n v="2262.0000000000005"/>
    <n v="0"/>
    <n v="0"/>
    <n v="0"/>
    <n v="0"/>
    <n v="339.0038093103762"/>
    <n v="340.37982954604144"/>
    <n v="7.7160788388120825"/>
    <n v="11.233748503781049"/>
    <n v="853.33864072378992"/>
    <n v="471.28473615105946"/>
    <n v="1000.0000000000001"/>
    <n v="-0.23499922653036265"/>
    <n v="2262.2349992265308"/>
    <n v="0.4420866489832006"/>
    <n v="0"/>
    <n v="0.44204072536314959"/>
  </r>
  <r>
    <x v="207"/>
    <x v="11"/>
    <n v="3.583333333333333"/>
    <n v="8950.0377658726957"/>
    <m/>
    <m/>
    <m/>
    <m/>
    <n v="1283.5055014529639"/>
    <n v="1162.347429198858"/>
    <n v="4189.6118349417029"/>
    <n v="4327.8877222366173"/>
    <n v="0"/>
    <n v="4072.2606630683372"/>
    <n v="3956.6922041877519"/>
    <x v="197"/>
    <d v="2021-04-24T01:00:00"/>
    <n v="9032.4089638173045"/>
    <n v="5.4741221880644897"/>
    <n v="0.90563863662195987"/>
    <n v="2262.0000000000005"/>
    <n v="0"/>
    <n v="0"/>
    <n v="0"/>
    <n v="0"/>
    <n v="324.38851323701789"/>
    <n v="293.767462621589"/>
    <n v="1058.8672605130694"/>
    <n v="1093.8146054565461"/>
    <n v="0"/>
    <n v="1029.2083520568692"/>
    <n v="1000"/>
    <n v="-20.818197042829524"/>
    <n v="2282.81819704283"/>
    <n v="0.44208664898320066"/>
    <n v="0"/>
    <n v="0.4380550327202592"/>
  </r>
  <r>
    <x v="208"/>
    <x v="7"/>
    <n v="11.41666666666667"/>
    <n v="27749.622780246711"/>
    <m/>
    <m/>
    <m/>
    <m/>
    <n v="2926.27987807623"/>
    <n v="2893.8880669079231"/>
    <n v="12504.558677904721"/>
    <n v="12716.629883314141"/>
    <n v="0"/>
    <n v="11744.176951273181"/>
    <n v="12080.81096223191"/>
    <x v="198"/>
    <d v="2021-04-24T14:15:00"/>
    <n v="27342.911353298601"/>
    <n v="6.3788793693818091"/>
    <n v="0.94502485821179172"/>
    <n v="2297.0000000000014"/>
    <n v="0"/>
    <n v="0"/>
    <n v="0"/>
    <n v="0"/>
    <n v="242.22545052849705"/>
    <n v="239.54418920675522"/>
    <n v="1035.0760985332499"/>
    <n v="1052.6304834228417"/>
    <n v="0"/>
    <n v="972.13481677586515"/>
    <n v="1000"/>
    <n v="33.665904401584612"/>
    <n v="2263.3340955984168"/>
    <n v="0.43535045711797976"/>
    <n v="0"/>
    <n v="0.44182606622006626"/>
  </r>
  <r>
    <x v="209"/>
    <x v="12"/>
    <n v="36.416666666666671"/>
    <n v="64420.765812294703"/>
    <m/>
    <m/>
    <m/>
    <m/>
    <n v="8978.0876004704314"/>
    <n v="8922.4789778771319"/>
    <n v="15179.05118800998"/>
    <n v="15034.05795164222"/>
    <n v="0"/>
    <n v="6717.8337382319087"/>
    <n v="27803.52430396837"/>
    <x v="199"/>
    <d v="2021-04-26T02:40:00"/>
    <n v="66185.105170049676"/>
    <n v="6.7500310379327884"/>
    <n v="1.3097859921833346"/>
    <n v="2316.9999999999995"/>
    <n v="0"/>
    <n v="0"/>
    <n v="0"/>
    <n v="0"/>
    <n v="322.9118547100519"/>
    <n v="320.9117980990502"/>
    <n v="545.93982482441947"/>
    <n v="540.72490189657083"/>
    <n v="0"/>
    <n v="241.61806484630003"/>
    <n v="1000"/>
    <n v="-63.457399805360183"/>
    <n v="2380.4573998053597"/>
    <n v="0.43159257660768241"/>
    <n v="0"/>
    <n v="0.42008733283013838"/>
  </r>
  <r>
    <x v="210"/>
    <x v="0"/>
    <n v="101.0833333333333"/>
    <n v="0"/>
    <n v="148787.05475000001"/>
    <n v="4123.6436215000031"/>
    <n v="144663.41112850001"/>
    <n v="15653.006083333339"/>
    <n v="-5940.2424033041898"/>
    <n v="46210.278919725242"/>
    <n v="116324.7727240893"/>
    <n v="-17008.179583964891"/>
    <n v="0"/>
    <n v="90730.877616105965"/>
    <n v="72059.623502775343"/>
    <x v="200"/>
    <d v="2021-05-07T18:15:00"/>
    <n v="41.518257687447353"/>
    <n v="5.0039944294070411"/>
    <n v="1.4027735425156658"/>
    <n v="0"/>
    <n v="2064.7770209938653"/>
    <n v="57.225439449335774"/>
    <n v="2007.5515815445299"/>
    <n v="217.22297900613472"/>
    <n v="-82.435101858052363"/>
    <n v="641.27838411403127"/>
    <n v="1614.2850471541681"/>
    <n v="-236.02925962151093"/>
    <n v="0"/>
    <n v="1259.1084050364418"/>
    <n v="1000"/>
    <n v="-0.5761653429378284"/>
    <n v="0.5761653429378284"/>
    <n v="0"/>
    <n v="0.43821209465381239"/>
    <n v="1735.6128969872905"/>
  </r>
  <r>
    <x v="211"/>
    <x v="17"/>
    <n v="74.25"/>
    <n v="0"/>
    <n v="135642.35908666669"/>
    <n v="14149.74662684"/>
    <n v="121492.61245982671"/>
    <m/>
    <n v="1766.711850041411"/>
    <n v="32966.070366296197"/>
    <n v="81729.589787231613"/>
    <n v="-13012.77379348726"/>
    <n v="0"/>
    <n v="69230.035143368266"/>
    <n v="59701.742555751189"/>
    <x v="201"/>
    <d v="2021-05-11T00:35:00"/>
    <n v="25.549245914731539"/>
    <n v="5.0041117793635319"/>
    <n v="1.2436822916963142"/>
    <n v="0"/>
    <n v="2272"/>
    <n v="237.00726345845877"/>
    <n v="2034.9927365415413"/>
    <n v="0"/>
    <n v="29.592299561300162"/>
    <n v="552.17936621383444"/>
    <n v="1368.9648959728468"/>
    <n v="-217.963048253333"/>
    <n v="0"/>
    <n v="1159.5982324756983"/>
    <n v="1000"/>
    <n v="-0.42794807690701697"/>
    <n v="0.42794807690701697"/>
    <n v="0"/>
    <n v="0.44014084507042256"/>
    <n v="2336.7320802735521"/>
  </r>
  <r>
    <x v="212"/>
    <x v="0"/>
    <n v="34.25"/>
    <n v="0"/>
    <n v="36806"/>
    <n v="4724.4800000000014"/>
    <n v="32081.52"/>
    <n v="12100"/>
    <n v="16240.558316547929"/>
    <n v="13836.84920924801"/>
    <n v="30180.601231874811"/>
    <n v="6751.4077759173788"/>
    <n v="0"/>
    <n v="19392.781166547789"/>
    <n v="22069.494584837539"/>
    <x v="202"/>
    <d v="2021-05-13T02:00:00"/>
    <n v="12.28644107903455"/>
    <n v="5.0041666030883789"/>
    <n v="1.5519159203369735"/>
    <n v="0"/>
    <n v="1667.7318938371575"/>
    <n v="214.0728679507628"/>
    <n v="1453.6590258863946"/>
    <n v="548.2681061628432"/>
    <n v="735.88265712735085"/>
    <n v="626.96719927398681"/>
    <n v="1367.5257091120641"/>
    <n v="305.915831011183"/>
    <n v="0"/>
    <n v="878.71433086062882"/>
    <n v="1000.0000000000001"/>
    <n v="-0.55671601503170509"/>
    <n v="0.55671601503170509"/>
    <n v="0"/>
    <n v="0.45126353790613705"/>
    <n v="1796.2479486835848"/>
  </r>
  <r>
    <x v="213"/>
    <x v="19"/>
    <n v="44.583333333333343"/>
    <n v="0"/>
    <n v="85742.689229999989"/>
    <n v="14597.25164292999"/>
    <n v="71145.437587070002"/>
    <m/>
    <n v="11153.315968947551"/>
    <n v="20654.400515884459"/>
    <n v="50352.968230320359"/>
    <n v="-858.12954723198231"/>
    <n v="0"/>
    <n v="41381.37852618804"/>
    <n v="37738.859696302818"/>
    <x v="203"/>
    <d v="2021-05-14T22:35:00"/>
    <n v="18.559670031508929"/>
    <n v="5.0041666030883789"/>
    <n v="1.1813640818008357"/>
    <n v="0"/>
    <n v="2271.9999999999995"/>
    <n v="386.79630917306298"/>
    <n v="1885.2036908269367"/>
    <n v="0"/>
    <n v="295.53929447529686"/>
    <n v="547.29794917221409"/>
    <n v="1334.2472092566516"/>
    <n v="-22.73861887024772"/>
    <n v="0"/>
    <n v="1096.5190485138603"/>
    <n v="1000"/>
    <n v="-0.49179201970766417"/>
    <n v="0.49179201970766417"/>
    <n v="0"/>
    <n v="0.44014084507042261"/>
    <n v="2033.3798840298989"/>
  </r>
  <r>
    <x v="214"/>
    <x v="20"/>
    <n v="106.9166666666667"/>
    <n v="0"/>
    <n v="109610.758"/>
    <n v="15905.753585"/>
    <n v="93705.004414999989"/>
    <n v="35356.252666666667"/>
    <n v="-35866.599150566792"/>
    <n v="40050.979109099579"/>
    <n v="93165.26200460174"/>
    <n v="-31568.870427278529"/>
    <n v="0"/>
    <n v="59512.447840826921"/>
    <n v="65418.326113116716"/>
    <x v="204"/>
    <d v="2021-05-22T07:25:00"/>
    <n v="49.705556868304967"/>
    <n v="5.003618365839908"/>
    <n v="1.6343534452684405"/>
    <n v="0"/>
    <n v="1675.5359623612026"/>
    <n v="243.13910994140852"/>
    <n v="1432.396852419794"/>
    <n v="540.46403763879778"/>
    <n v="-548.26531465431901"/>
    <n v="612.22873602492177"/>
    <n v="1424.1462223216627"/>
    <n v="-482.56921726630372"/>
    <n v="0"/>
    <n v="909.72134838672321"/>
    <n v="1000"/>
    <n v="-0.75981089431052773"/>
    <n v="0.75981089431052773"/>
    <n v="0"/>
    <n v="0.4512635379061371"/>
    <n v="1316.1169542158593"/>
  </r>
  <r>
    <x v="215"/>
    <x v="1"/>
    <n v="6.666666666666667"/>
    <n v="11607.34065577062"/>
    <m/>
    <m/>
    <m/>
    <m/>
    <n v="1955.8358054001701"/>
    <n v="1898.570101059714"/>
    <n v="3494.789450545341"/>
    <n v="3820.7288746838231"/>
    <n v="0"/>
    <n v="230.0768611466745"/>
    <n v="5131.4503341161017"/>
    <x v="205"/>
    <d v="2021-05-22T13:40:00"/>
    <n v="1.7469879518072291"/>
    <m/>
    <n v="1.2991778605638611"/>
    <n v="2261.9999999999995"/>
    <n v="0"/>
    <n v="0"/>
    <n v="0"/>
    <n v="0"/>
    <n v="381.14678659109836"/>
    <n v="369.98703630379089"/>
    <n v="681.05296222209711"/>
    <n v="744.57095478094459"/>
    <n v="0"/>
    <n v="44.836614634467765"/>
    <n v="999.99999999999989"/>
    <n v="2261.6595527895506"/>
    <n v="0.34044721044896364"/>
    <n v="0.44208664898320077"/>
    <n v="0"/>
    <n v="2937.3129498733542"/>
  </r>
  <r>
    <x v="216"/>
    <x v="2"/>
    <n v="5.25"/>
    <n v="10605.222755139779"/>
    <m/>
    <m/>
    <m/>
    <m/>
    <n v="1404.8984396509711"/>
    <n v="1425.81940912136"/>
    <n v="2513.988552155628"/>
    <n v="2520.912173368401"/>
    <n v="0"/>
    <n v="410.97309584512197"/>
    <n v="4676.8350760553494"/>
    <x v="205"/>
    <d v="2021-05-23T08:00:00"/>
    <n v="50671.579857645287"/>
    <n v="6.9612180389289477"/>
    <n v="1.1225540166851646"/>
    <n v="2267.6067431662987"/>
    <n v="0"/>
    <n v="0"/>
    <n v="0"/>
    <n v="0"/>
    <n v="300.39512123141299"/>
    <n v="304.8684390051144"/>
    <n v="537.54056135672795"/>
    <n v="539.02096874766221"/>
    <n v="0"/>
    <n v="87.874190379138824"/>
    <n v="1000.0000000000001"/>
    <n v="-8566.980971306617"/>
    <n v="10834.587714472915"/>
    <n v="0.44099357307593939"/>
    <n v="0"/>
    <n v="9.2297005327133336E-2"/>
  </r>
  <r>
    <x v="217"/>
    <x v="3"/>
    <n v="88.75"/>
    <n v="131222.2080755498"/>
    <m/>
    <m/>
    <m/>
    <m/>
    <n v="-9853.7007460578388"/>
    <n v="17822.413659656551"/>
    <n v="26134.121791185749"/>
    <n v="-1867.1526864496991"/>
    <n v="0"/>
    <n v="13005.51567337133"/>
    <n v="56634.530891475973"/>
    <x v="206"/>
    <d v="2021-05-28T00:45:00"/>
    <n v="188454.19836482979"/>
    <n v="7.4278940892640133"/>
    <n v="1.567065156239472"/>
    <n v="2316.9999999999995"/>
    <n v="0"/>
    <n v="0"/>
    <n v="0"/>
    <n v="0"/>
    <n v="-173.9875053426268"/>
    <n v="314.69164446348384"/>
    <n v="461.45207490575643"/>
    <n v="-32.968449761287296"/>
    <n v="0"/>
    <n v="229.63932902159488"/>
    <n v="1000"/>
    <n v="-1010.549383713425"/>
    <n v="3327.5493837134245"/>
    <n v="0.43159257660768247"/>
    <n v="0"/>
    <n v="0.30052146029581572"/>
  </r>
  <r>
    <x v="218"/>
    <x v="21"/>
    <n v="31.583333333333339"/>
    <n v="0"/>
    <n v="48181.565249999963"/>
    <n v="6697.2834824999954"/>
    <n v="41484.281767499961"/>
    <n v="5184.8405833333291"/>
    <n v="-10308.414565476931"/>
    <n v="12058.2365916786"/>
    <n v="34656.352881156992"/>
    <n v="-12572.9008454011"/>
    <n v="0"/>
    <n v="28541.135110675332"/>
    <n v="23385.804484370419"/>
    <x v="207"/>
    <d v="2021-05-31T10:15:00"/>
    <n v="15.554743705035969"/>
    <n v="5.0040440559387207"/>
    <n v="1.3505343959598066"/>
    <n v="0"/>
    <n v="2060.2911172973095"/>
    <n v="286.38242857867186"/>
    <n v="1773.9086887186374"/>
    <n v="221.70888270269026"/>
    <n v="-440.79794528199443"/>
    <n v="515.62205609550688"/>
    <n v="1481.9397341801559"/>
    <n v="-537.62960576378828"/>
    <n v="0"/>
    <n v="1220.4470079167218"/>
    <n v="999.99999999999989"/>
    <n v="-0.66513613912370506"/>
    <n v="0.66513613912370506"/>
    <n v="0"/>
    <n v="0.43821209465381245"/>
    <n v="1503.4516111505638"/>
  </r>
  <r>
    <x v="219"/>
    <x v="17"/>
    <n v="12.41666666666667"/>
    <n v="0"/>
    <n v="19228"/>
    <n v="2691.9200000000019"/>
    <n v="16536.080000000002"/>
    <n v="0"/>
    <n v="6277.1049919707239"/>
    <n v="4338.7870549177624"/>
    <n v="13792.747099584931"/>
    <n v="19249.083248473671"/>
    <n v="0"/>
    <n v="8978.2710189728969"/>
    <n v="8463.0281690140855"/>
    <x v="208"/>
    <d v="2021-05-29T02:25:00"/>
    <n v="3.2054896142433229"/>
    <n v="5.0041666030883789"/>
    <n v="1.4671659385618196"/>
    <n v="0"/>
    <n v="2271.9999999999995"/>
    <n v="318.08000000000015"/>
    <n v="1953.92"/>
    <n v="0"/>
    <n v="741.70909828154163"/>
    <n v="512.67548308576841"/>
    <n v="1629.764999493289"/>
    <n v="2274.4912180430711"/>
    <n v="0"/>
    <n v="1060.8816182185572"/>
    <n v="1000"/>
    <n v="-0.37876390698776935"/>
    <n v="0.37876390698776935"/>
    <n v="0"/>
    <n v="0.44014084507042256"/>
    <n v="2640.1670844320734"/>
  </r>
  <r>
    <x v="220"/>
    <x v="0"/>
    <n v="15.25"/>
    <n v="0"/>
    <n v="20688.066074028098"/>
    <n v="2896.329250363935"/>
    <n v="17791.736823664171"/>
    <n v="2298.674008225345"/>
    <n v="4894.2753575130737"/>
    <n v="4891.8234903744606"/>
    <n v="12666.459720097129"/>
    <n v="12688.670425992919"/>
    <n v="0"/>
    <n v="10873.07954250269"/>
    <n v="10073.067520707031"/>
    <x v="209"/>
    <d v="2021-05-29T22:15:00"/>
    <n v="4.027721774193548"/>
    <m/>
    <n v="1.5139380301631891"/>
    <n v="0"/>
    <n v="2053.7999999999997"/>
    <n v="287.5320000000001"/>
    <n v="1766.2680000000005"/>
    <n v="228.20000000000007"/>
    <n v="485.87735041505448"/>
    <n v="485.63394222449358"/>
    <n v="1257.458037887556"/>
    <n v="1259.6629973847628"/>
    <n v="0"/>
    <n v="1079.420893402242"/>
    <n v="999.99999999999989"/>
    <n v="-0.39985056845035832"/>
    <n v="0.39985056845035832"/>
    <n v="0"/>
    <n v="0.43821209465381245"/>
    <n v="2500.9342962185897"/>
  </r>
  <r>
    <x v="221"/>
    <x v="22"/>
    <n v="14.91666666666667"/>
    <n v="0"/>
    <n v="27324"/>
    <n v="3552.119999999999"/>
    <n v="23771.88"/>
    <m/>
    <n v="0"/>
    <n v="6631.6899125823074"/>
    <n v="15445.20198170506"/>
    <n v="0"/>
    <n v="0"/>
    <n v="15043.773885391191"/>
    <n v="12026.40845070423"/>
    <x v="210"/>
    <d v="2021-06-01T01:25:00"/>
    <n v="4.6136999569522166"/>
    <n v="5.0041666030883789"/>
    <n v="1.240325964963646"/>
    <n v="0"/>
    <n v="2271.9999999999991"/>
    <n v="295.35999999999979"/>
    <n v="1976.6399999999992"/>
    <n v="0"/>
    <n v="0"/>
    <n v="551.42729766458046"/>
    <n v="1284.2738582357592"/>
    <n v="0"/>
    <n v="0"/>
    <n v="1250.8949739280038"/>
    <n v="1000"/>
    <n v="-0.38363073862521713"/>
    <n v="0.38363073862521713"/>
    <n v="0"/>
    <n v="0.44014084507042273"/>
    <n v="2606.673291049643"/>
  </r>
  <r>
    <x v="222"/>
    <x v="0"/>
    <n v="58.75"/>
    <n v="0"/>
    <n v="88388.413499999981"/>
    <n v="11328.493755"/>
    <n v="77059.919744999977"/>
    <n v="9652.2681666666649"/>
    <n v="37417.665181387441"/>
    <n v="27948.150640248361"/>
    <n v="65613.69923965339"/>
    <n v="1055.7515308459549"/>
    <n v="0"/>
    <n v="51861.348748245931"/>
    <n v="42962.612474437607"/>
    <x v="211"/>
    <d v="2021-06-04T12:15:00"/>
    <n v="23.223966193782069"/>
    <n v="5.0040908466685901"/>
    <n v="1.3674680522502154"/>
    <n v="0"/>
    <n v="2057.3333046864955"/>
    <n v="263.68260919282687"/>
    <n v="1793.6506954936685"/>
    <n v="224.66669531350502"/>
    <n v="870.93551872923547"/>
    <n v="650.52260629814532"/>
    <n v="1527.2278723434936"/>
    <n v="24.573727481635768"/>
    <n v="0"/>
    <n v="1207.1274478269449"/>
    <n v="1000.0000000000001"/>
    <n v="-0.54056224368571937"/>
    <n v="0.54056224368571937"/>
    <n v="0"/>
    <n v="0.43821209465381233"/>
    <n v="1849.9257239678689"/>
  </r>
  <r>
    <x v="223"/>
    <x v="17"/>
    <n v="84.25"/>
    <n v="0"/>
    <n v="155160.02468999999"/>
    <n v="16499.870715900011"/>
    <n v="138660.15397409999"/>
    <m/>
    <n v="-23951.198762497788"/>
    <n v="39178.711662949027"/>
    <n v="95089.111044522157"/>
    <n v="27458.730660881349"/>
    <n v="0"/>
    <n v="79394.623766559613"/>
    <n v="68292.264388204247"/>
    <x v="212"/>
    <d v="2021-06-08T01:45:00"/>
    <n v="23.93873435020279"/>
    <n v="5.0041666030883789"/>
    <n v="1.2336682749467016"/>
    <n v="0"/>
    <n v="2271.9999999999991"/>
    <n v="241.60673047985716"/>
    <n v="2030.3932695201422"/>
    <n v="0"/>
    <n v="-350.71613127876822"/>
    <n v="573.69179385002428"/>
    <n v="1392.3848022375194"/>
    <n v="402.07673455947298"/>
    <n v="0"/>
    <n v="1162.5712586603443"/>
    <n v="1000"/>
    <n v="-0.35053361555159679"/>
    <n v="0.35053361555159679"/>
    <n v="0"/>
    <n v="0.44014084507042267"/>
    <n v="2852.793443009477"/>
  </r>
  <r>
    <x v="224"/>
    <x v="1"/>
    <n v="12.5"/>
    <n v="30766.646209505179"/>
    <m/>
    <m/>
    <m/>
    <m/>
    <n v="3599.2656010949559"/>
    <n v="3687.355644764818"/>
    <n v="5774.4132389621063"/>
    <n v="-22595.901266856381"/>
    <n v="0"/>
    <n v="1019.0570087565191"/>
    <n v="13601.523523211839"/>
    <x v="213"/>
    <d v="2021-06-12T02:30:00"/>
    <n v="35187.366963166722"/>
    <n v="7.2514967415702269"/>
    <n v="0.91901469557200544"/>
    <n v="2262"/>
    <n v="0"/>
    <n v="0"/>
    <n v="0"/>
    <n v="0"/>
    <n v="264.6222384538458"/>
    <n v="271.09872202714041"/>
    <n v="424.54164999293749"/>
    <n v="-1661.2772259148087"/>
    <n v="0"/>
    <n v="74.922269333831267"/>
    <n v="1000"/>
    <n v="-325.01658701080851"/>
    <n v="2587.0165870108085"/>
    <n v="0.44208664898320071"/>
    <n v="0"/>
    <n v="0.38654564683539927"/>
  </r>
  <r>
    <x v="225"/>
    <x v="9"/>
    <n v="18.666666666666661"/>
    <n v="40497.317012310887"/>
    <m/>
    <m/>
    <m/>
    <m/>
    <n v="4460.9710928393579"/>
    <n v="4425.643768098068"/>
    <n v="5184.9445614481647"/>
    <n v="5258.2871274755335"/>
    <n v="4339.7091081828994"/>
    <n v="5104.0603726362688"/>
    <n v="26262.8514995531"/>
    <x v="214"/>
    <d v="2021-06-12T21:55:00"/>
    <n v="43467.42903899782"/>
    <n v="6.9644386395065387"/>
    <n v="0.71076313503064592"/>
    <n v="1542.0000000000002"/>
    <n v="0"/>
    <n v="0"/>
    <n v="0"/>
    <n v="0"/>
    <n v="169.85859638719228"/>
    <n v="168.5134520969049"/>
    <n v="197.42504204223192"/>
    <n v="200.21767733656077"/>
    <n v="165.24135272427466"/>
    <n v="194.34524742003441"/>
    <n v="1000"/>
    <n v="-113.09175725786963"/>
    <n v="1655.0917572578699"/>
    <n v="0.64850843060959784"/>
    <n v="0"/>
    <n v="0.60419610913704536"/>
  </r>
  <r>
    <x v="226"/>
    <x v="1"/>
    <n v="51.75"/>
    <n v="117797.4771477826"/>
    <m/>
    <m/>
    <m/>
    <m/>
    <n v="13784.22672272437"/>
    <n v="13729.155612576469"/>
    <n v="5044.0273403577812"/>
    <n v="4946.0279045530951"/>
    <n v="36710.223424389347"/>
    <n v="23934.391398028642"/>
    <n v="52076.691930938381"/>
    <x v="215"/>
    <d v="2021-06-15T01:40:00"/>
    <n v="126421.037705643"/>
    <n v="7.4702870836145552"/>
    <n v="0.99372671498850917"/>
    <n v="2261.9999999999995"/>
    <n v="0"/>
    <n v="0"/>
    <n v="0"/>
    <n v="0"/>
    <n v="264.69090511748237"/>
    <n v="263.63340495558782"/>
    <n v="96.857675734221544"/>
    <n v="94.975846605469499"/>
    <n v="704.92617835773228"/>
    <n v="459.59892056448763"/>
    <n v="999.99999999999989"/>
    <n v="-165.59347835105518"/>
    <n v="2427.5934783510547"/>
    <n v="0.44208664898320077"/>
    <n v="0"/>
    <n v="0.41193058430823065"/>
  </r>
  <r>
    <x v="227"/>
    <x v="2"/>
    <n v="15.08333333333333"/>
    <n v="29288.727155464581"/>
    <m/>
    <m/>
    <m/>
    <m/>
    <n v="-23480.107659778529"/>
    <n v="4202.8023146390751"/>
    <n v="2810.055685806527"/>
    <n v="-26441.92838703113"/>
    <n v="6704.6695654302957"/>
    <n v="5840.7077891862054"/>
    <n v="12948.155241142609"/>
    <x v="216"/>
    <d v="2021-06-15T16:45:00"/>
    <n v="29991.15796568698"/>
    <n v="6.551689948766068"/>
    <n v="1.1649021078621469"/>
    <n v="2262"/>
    <n v="0"/>
    <n v="0"/>
    <n v="0"/>
    <n v="0"/>
    <n v="-1813.394048997093"/>
    <n v="324.58695747520238"/>
    <n v="217.02363259266528"/>
    <n v="-2042.138659491216"/>
    <n v="517.80886470423889"/>
    <n v="451.0841645323672"/>
    <n v="999.99999999999989"/>
    <n v="-54.249489378257749"/>
    <n v="2316.2494893782577"/>
    <n v="0.44208664898320071"/>
    <n v="0"/>
    <n v="0.43173242113414401"/>
  </r>
  <r>
    <x v="228"/>
    <x v="1"/>
    <n v="40.75"/>
    <n v="86919.27387631929"/>
    <m/>
    <m/>
    <m/>
    <m/>
    <n v="10443.81740287253"/>
    <n v="10652.8019488749"/>
    <n v="11360.88204557598"/>
    <n v="11424.54399327894"/>
    <n v="9109.7790215020941"/>
    <n v="7839.239016760348"/>
    <n v="38425.850520035063"/>
    <x v="217"/>
    <d v="2021-06-21T02:45:00"/>
    <n v="305310.10976855282"/>
    <n v="5.8140287830377542"/>
    <n v="1.0604840087730298"/>
    <n v="2261.9999999999995"/>
    <n v="0"/>
    <n v="0"/>
    <n v="0"/>
    <n v="0"/>
    <n v="271.7914440807802"/>
    <n v="277.23008872166872"/>
    <n v="295.6572695678517"/>
    <n v="297.31401748211749"/>
    <n v="237.07423253396297"/>
    <n v="204.00951210365545"/>
    <n v="1000.0000000000001"/>
    <n v="-5683.4353159825459"/>
    <n v="7945.435315982545"/>
    <n v="0.44208664898320083"/>
    <n v="0"/>
    <n v="0.12585842817050716"/>
  </r>
  <r>
    <x v="229"/>
    <x v="9"/>
    <n v="20.583333333333329"/>
    <n v="53441.466509030819"/>
    <m/>
    <m/>
    <m/>
    <m/>
    <n v="8886.1768672173293"/>
    <n v="8742.8942476172997"/>
    <n v="3149.450556936722"/>
    <n v="3133.8223148442171"/>
    <n v="15158.06652787958"/>
    <n v="9527.9192568564595"/>
    <n v="34657.241575246968"/>
    <x v="218"/>
    <d v="2021-06-17T15:55:00"/>
    <n v="55991.459090965982"/>
    <n v="5.9362558434406916"/>
    <n v="0.59391147124745314"/>
    <n v="1541.9999999999998"/>
    <n v="0"/>
    <n v="0"/>
    <n v="0"/>
    <n v="0"/>
    <n v="256.40173491372292"/>
    <n v="252.26745840793299"/>
    <n v="90.874241970432394"/>
    <n v="90.423304694926102"/>
    <n v="437.37083042136379"/>
    <n v="274.91856892793015"/>
    <n v="1000"/>
    <n v="-73.577482397111226"/>
    <n v="1615.577482397111"/>
    <n v="0.64850843060959795"/>
    <n v="0"/>
    <n v="0.61897371738324258"/>
  </r>
  <r>
    <x v="230"/>
    <x v="11"/>
    <n v="16.5"/>
    <n v="34206.469457251747"/>
    <m/>
    <m/>
    <m/>
    <m/>
    <n v="758.01006362983253"/>
    <n v="5060.4843134922321"/>
    <n v="12273.73137490879"/>
    <n v="2041.3207339379869"/>
    <n v="4505.1449160525417"/>
    <n v="6300.7650464061744"/>
    <n v="15122.223455902629"/>
    <x v="219"/>
    <d v="2021-06-18T21:00:00"/>
    <n v="43016.067657206993"/>
    <n v="5.7368433460018942"/>
    <n v="1.0911093893113704"/>
    <n v="2262"/>
    <n v="0"/>
    <n v="0"/>
    <n v="0"/>
    <n v="0"/>
    <n v="50.125569552667862"/>
    <n v="334.63890599480482"/>
    <n v="811.63536636657807"/>
    <n v="134.98813450883125"/>
    <n v="297.91551018868569"/>
    <n v="416.65599405931329"/>
    <n v="1000"/>
    <n v="-582.55971588070997"/>
    <n v="2844.55971588071"/>
    <n v="0.44208664898320071"/>
    <n v="0"/>
    <n v="0.35154825346684204"/>
  </r>
  <r>
    <x v="231"/>
    <x v="10"/>
    <n v="42.916666666666657"/>
    <n v="100570.995246707"/>
    <m/>
    <m/>
    <m/>
    <m/>
    <n v="-7352.4352259724901"/>
    <n v="15683.47020363408"/>
    <n v="2702.7711325977862"/>
    <n v="-15215.22355156055"/>
    <n v="36715.604909660033"/>
    <n v="16359.117769880801"/>
    <n v="44461.094273522103"/>
    <x v="220"/>
    <d v="2021-06-21T19:05:00"/>
    <n v="168481.07523359649"/>
    <n v="5.890970958790823"/>
    <n v="0.96526339191396826"/>
    <n v="2262"/>
    <n v="0"/>
    <n v="0"/>
    <n v="0"/>
    <n v="0"/>
    <n v="-165.36784229242605"/>
    <n v="352.74593349300557"/>
    <n v="60.789577421790234"/>
    <n v="-342.21432918311382"/>
    <n v="825.79175140827033"/>
    <n v="367.94231084913127"/>
    <n v="1000"/>
    <n v="-1527.4046016301486"/>
    <n v="3789.4046016301486"/>
    <n v="0.44208664898320071"/>
    <n v="0"/>
    <n v="0.26389369970412085"/>
  </r>
  <r>
    <x v="232"/>
    <x v="7"/>
    <n v="13.16666666666667"/>
    <n v="31950.130337148901"/>
    <m/>
    <m/>
    <m/>
    <m/>
    <n v="2816.143613373049"/>
    <n v="5312.2292553679581"/>
    <n v="0"/>
    <n v="-4910.1362117035042"/>
    <n v="7457.6228584347336"/>
    <n v="5197.9558682784527"/>
    <n v="13909.50384725681"/>
    <x v="221"/>
    <d v="2021-06-22T11:50:00"/>
    <n v="37175.174623508203"/>
    <n v="6.7281711443160113"/>
    <n v="0.94659499082444698"/>
    <n v="2297.0000000000005"/>
    <n v="0"/>
    <n v="0"/>
    <n v="0"/>
    <n v="0"/>
    <n v="202.46183072363434"/>
    <n v="381.91364075258656"/>
    <n v="0"/>
    <n v="-353.00584877956425"/>
    <n v="536.15304617105403"/>
    <n v="373.69815094472818"/>
    <n v="999.99999999999989"/>
    <n v="-375.64562645343858"/>
    <n v="2672.645626453439"/>
    <n v="0.43535045711797987"/>
    <n v="0"/>
    <n v="0.37416108970907042"/>
  </r>
  <r>
    <x v="233"/>
    <x v="1"/>
    <n v="8.5833333333333339"/>
    <n v="21448.612547519089"/>
    <m/>
    <m/>
    <m/>
    <m/>
    <n v="4993.0357011968772"/>
    <n v="2324.210097708095"/>
    <n v="2.8124999999999999E-3"/>
    <n v="4925.1639126481377"/>
    <n v="6009.5856255541294"/>
    <n v="755.87563891977095"/>
    <n v="9482.1452464717477"/>
    <x v="222"/>
    <d v="2021-06-23T04:35:00"/>
    <n v="21658.57419262837"/>
    <n v="6.2949455091303044"/>
    <n v="0.90521006694420159"/>
    <n v="2261.9999999999995"/>
    <n v="0"/>
    <n v="0"/>
    <n v="0"/>
    <n v="0"/>
    <n v="526.57237064099581"/>
    <n v="245.1143741520855"/>
    <n v="2.9661009475113402E-4"/>
    <n v="519.41451903837515"/>
    <n v="633.77911531045811"/>
    <n v="79.715678179579456"/>
    <n v="1000"/>
    <n v="-22.142842115543772"/>
    <n v="2284.1428421155433"/>
    <n v="0.44208664898320077"/>
    <n v="0"/>
    <n v="0.43780099105965409"/>
  </r>
  <r>
    <x v="234"/>
    <x v="11"/>
    <n v="11.75"/>
    <n v="29568.825193538622"/>
    <m/>
    <m/>
    <m/>
    <m/>
    <n v="4126.3219413902061"/>
    <n v="4393.8430400774987"/>
    <n v="0"/>
    <n v="18.36018267456296"/>
    <n v="11562.297682692049"/>
    <n v="6658.7699706819776"/>
    <n v="13071.98284418153"/>
    <x v="223"/>
    <d v="2021-06-23T16:15:00"/>
    <n v="29568.817180242819"/>
    <n v="6.267231489429423"/>
    <n v="0.89886898874182986"/>
    <n v="2262"/>
    <n v="0"/>
    <n v="0"/>
    <n v="0"/>
    <n v="0"/>
    <n v="315.66151750473517"/>
    <n v="336.1267446914714"/>
    <n v="0"/>
    <n v="1.404544581599972"/>
    <n v="884.50985749560891"/>
    <n v="509.3924961541594"/>
    <n v="1000"/>
    <n v="6.1301302912397659E-4"/>
    <n v="2261.9993869869709"/>
    <n v="0.44208664898320071"/>
    <n v="0"/>
    <n v="0.44208676879087061"/>
  </r>
  <r>
    <x v="235"/>
    <x v="1"/>
    <n v="45.916666666666657"/>
    <n v="108203.13257394089"/>
    <m/>
    <m/>
    <m/>
    <m/>
    <n v="-7332.313010387652"/>
    <n v="17203.840728607371"/>
    <n v="0"/>
    <n v="432.20541499847798"/>
    <n v="42579.186368042247"/>
    <n v="25032.757033267419"/>
    <n v="47728.068863401168"/>
    <x v="224"/>
    <d v="2021-06-26T07:10:00"/>
    <n v="172941.20609000599"/>
    <n v="5.6444327201070781"/>
    <n v="0.96204744420062782"/>
    <n v="2267.075436963954"/>
    <n v="0"/>
    <n v="0"/>
    <n v="0"/>
    <n v="0"/>
    <n v="-153.6268528142821"/>
    <n v="360.45541205208116"/>
    <n v="0"/>
    <n v="9.0555814490517061"/>
    <n v="892.12045201126523"/>
    <n v="524.4871127074457"/>
    <n v="1000"/>
    <n v="-1356.394152492257"/>
    <n v="3623.469589456211"/>
    <n v="0.44109692324097982"/>
    <n v="0"/>
    <n v="0.275978582215747"/>
  </r>
  <r>
    <x v="236"/>
    <x v="7"/>
    <n v="1.333333333333333"/>
    <n v="3412.0946523035018"/>
    <m/>
    <m/>
    <m/>
    <m/>
    <n v="332.98996970701819"/>
    <n v="362.57551939763079"/>
    <n v="0"/>
    <n v="-6.2187298969220706"/>
    <n v="1089.0715093509209"/>
    <n v="679.52158228791154"/>
    <n v="1485.456966610144"/>
    <x v="225"/>
    <d v="2021-06-24T01:05:00"/>
    <n v="3412.2687180746689"/>
    <n v="5.1534574403830451"/>
    <n v="0.89759135626529685"/>
    <n v="2297.0000000000009"/>
    <n v="0"/>
    <n v="0"/>
    <n v="0"/>
    <n v="0"/>
    <n v="224.16668889904699"/>
    <n v="244.08348915353545"/>
    <n v="0"/>
    <n v="-4.1864086518193737"/>
    <n v="733.15587986114042"/>
    <n v="457.44952399301042"/>
    <n v="1000.0000000000001"/>
    <n v="-0.11717994871560222"/>
    <n v="2297.1171799487165"/>
    <n v="0.43535045711797987"/>
    <n v="0"/>
    <n v="0.43532824913282181"/>
  </r>
  <r>
    <x v="237"/>
    <x v="1"/>
    <n v="14.08333333333333"/>
    <n v="32074.22797597172"/>
    <m/>
    <m/>
    <m/>
    <m/>
    <n v="-24535.705005156218"/>
    <n v="4700.611304640368"/>
    <n v="437.10815473577952"/>
    <n v="211.35648270112031"/>
    <n v="8293.1412296059207"/>
    <n v="3111.157896656091"/>
    <n v="14179.58796462057"/>
    <x v="226"/>
    <d v="2021-06-27T18:00:00"/>
    <n v="49214.667693044612"/>
    <n v="5.5968723185907479"/>
    <n v="0.99321174694727343"/>
    <n v="2261.9999999999995"/>
    <n v="0"/>
    <n v="0"/>
    <n v="0"/>
    <n v="0"/>
    <n v="-1730.3538767399414"/>
    <n v="331.50549341552397"/>
    <n v="30.826576613256055"/>
    <n v="14.905685780748705"/>
    <n v="584.86475420146917"/>
    <n v="219.41102269111963"/>
    <n v="1000"/>
    <n v="-1208.8108455506554"/>
    <n v="3470.8108455506549"/>
    <n v="0.44208664898320083"/>
    <n v="0"/>
    <n v="0.28811711283025765"/>
  </r>
  <r>
    <x v="238"/>
    <x v="11"/>
    <n v="13.75"/>
    <n v="34702.427045584533"/>
    <m/>
    <m/>
    <m/>
    <m/>
    <n v="4806.7669386132466"/>
    <n v="5256.6833290409286"/>
    <n v="588.9961054687501"/>
    <n v="354.81374952954781"/>
    <n v="12250.884873942059"/>
    <n v="5094.002043560351"/>
    <n v="15341.479684166459"/>
    <x v="227"/>
    <d v="2021-06-26T21:15:00"/>
    <n v="34701.053195643173"/>
    <n v="5.5255480614211114"/>
    <n v="0.89626296048816045"/>
    <n v="2262"/>
    <n v="0"/>
    <n v="0"/>
    <n v="0"/>
    <n v="0"/>
    <n v="313.31833940204507"/>
    <n v="342.64513184254412"/>
    <n v="38.392392232975915"/>
    <n v="23.127739750927795"/>
    <n v="798.54649787046799"/>
    <n v="332.0411165304829"/>
    <n v="1000"/>
    <n v="8.9551332051541976E-2"/>
    <n v="2261.9104486679485"/>
    <n v="0.44208664898320066"/>
    <n v="0"/>
    <n v="0.44210415164265476"/>
  </r>
  <r>
    <x v="239"/>
    <x v="11"/>
    <n v="19.583333333333339"/>
    <n v="50056.222964803201"/>
    <m/>
    <m/>
    <m/>
    <m/>
    <n v="6621.0319543137211"/>
    <n v="6546.6044474409027"/>
    <n v="0"/>
    <n v="32.021053616844597"/>
    <n v="15935.05978122031"/>
    <n v="11976.73621990884"/>
    <n v="22129.187871265782"/>
    <x v="228"/>
    <d v="2021-06-28T15:05:00"/>
    <n v="50056.408763494423"/>
    <n v="5.2614889456762519"/>
    <n v="0.88495490423133993"/>
    <n v="2262.0000000000005"/>
    <n v="0"/>
    <n v="0"/>
    <n v="0"/>
    <n v="0"/>
    <n v="299.19904846173648"/>
    <n v="295.83572996555881"/>
    <n v="0"/>
    <n v="1.4470053669896836"/>
    <n v="720.09238992053577"/>
    <n v="541.218967889027"/>
    <n v="999.99999999999989"/>
    <n v="-8.3960917272634106E-3"/>
    <n v="2262.0083960917277"/>
    <n v="0.44208664898320066"/>
    <n v="0"/>
    <n v="0.44208500805204287"/>
  </r>
  <r>
    <x v="240"/>
    <x v="1"/>
    <n v="7"/>
    <n v="17762.516548973661"/>
    <m/>
    <m/>
    <m/>
    <m/>
    <n v="2084.784370644883"/>
    <n v="2149.5952752396252"/>
    <n v="0"/>
    <n v="-10.390906311606329"/>
    <n v="6410.6344873016806"/>
    <n v="3305.7920016130702"/>
    <n v="7852.5714186444111"/>
    <x v="229"/>
    <d v="2021-06-28T23:00:00"/>
    <n v="17802.609113734139"/>
    <n v="5.6337904185667114"/>
    <n v="0.89142774090278942"/>
    <n v="2262.0000000000005"/>
    <n v="0"/>
    <n v="0"/>
    <n v="0"/>
    <n v="0"/>
    <n v="265.49066025620169"/>
    <n v="273.7441228660241"/>
    <n v="0"/>
    <n v="-1.3232488770411095"/>
    <n v="816.37391696697841"/>
    <n v="420.9820994132071"/>
    <n v="1000"/>
    <n v="-5.105660633061234"/>
    <n v="2267.1056606330617"/>
    <n v="0.44208664898320066"/>
    <n v="0"/>
    <n v="0.44109104280598987"/>
  </r>
  <r>
    <x v="241"/>
    <x v="7"/>
    <n v="4.833333333333333"/>
    <n v="12405.48811194743"/>
    <m/>
    <m/>
    <m/>
    <m/>
    <n v="1422.532295918742"/>
    <n v="1370.990280788096"/>
    <n v="0"/>
    <n v="-47.898028316176067"/>
    <n v="3834.017890483593"/>
    <n v="2185.893651605204"/>
    <n v="5400.7349203079802"/>
    <x v="230"/>
    <d v="2021-06-28T11:50:00"/>
    <n v="12196.934068466921"/>
    <n v="5.0949544667835847"/>
    <n v="0.89493993033409414"/>
    <n v="2297"/>
    <n v="0"/>
    <n v="0"/>
    <n v="0"/>
    <n v="0"/>
    <n v="263.396059408452"/>
    <n v="253.85254062976938"/>
    <n v="0"/>
    <n v="-8.8687982326384294"/>
    <n v="709.90669733980496"/>
    <n v="404.74003702454485"/>
    <n v="999.99999999999989"/>
    <n v="38.615863684829492"/>
    <n v="2258.3841363151705"/>
    <n v="0.43535045711797998"/>
    <n v="0"/>
    <n v="0.44279446703501113"/>
  </r>
  <r>
    <x v="242"/>
    <x v="15"/>
    <n v="7.166666666666667"/>
    <n v="13209.55519562739"/>
    <m/>
    <m/>
    <m/>
    <m/>
    <n v="1697.3753598566791"/>
    <n v="1710.981762792396"/>
    <n v="0"/>
    <n v="30.623684894557361"/>
    <n v="4745.1210890230086"/>
    <n v="2415.7891897748818"/>
    <n v="5701.1459627222221"/>
    <x v="230"/>
    <d v="2021-06-29T11:25:00"/>
    <n v="66275.82770309232"/>
    <n v="5.6498856657923424"/>
    <n v="1.2570572150804358"/>
    <n v="2317"/>
    <n v="0"/>
    <n v="0"/>
    <n v="0"/>
    <n v="0"/>
    <n v="297.72529434524506"/>
    <n v="300.11190276128713"/>
    <n v="0"/>
    <n v="5.37149637893764"/>
    <n v="832.31005135628493"/>
    <n v="423.73747410974454"/>
    <n v="1000"/>
    <n v="-9308.0010325023304"/>
    <n v="11625.00103250233"/>
    <n v="0.4315925766076823"/>
    <n v="0"/>
    <n v="8.6021497736137903E-2"/>
  </r>
  <r>
    <x v="243"/>
    <x v="1"/>
    <n v="7.166666666666667"/>
    <n v="18456.255202616401"/>
    <m/>
    <m/>
    <m/>
    <m/>
    <n v="2354.206364493677"/>
    <n v="2188.5584344338531"/>
    <n v="0"/>
    <n v="-81.190363480025951"/>
    <n v="7010.1222885378565"/>
    <n v="5351.9975752658675"/>
    <n v="8159.264015303449"/>
    <x v="231"/>
    <d v="2021-06-30T03:10:00"/>
    <n v="18478.865573771171"/>
    <n v="5.7316813538100693"/>
    <n v="0.87834719568148856"/>
    <n v="2262"/>
    <n v="0"/>
    <n v="0"/>
    <n v="0"/>
    <n v="0"/>
    <n v="288.53170581049307"/>
    <n v="268.22988327488986"/>
    <n v="0"/>
    <n v="-9.9506969412616098"/>
    <n v="859.1611051425383"/>
    <n v="655.94121788775374"/>
    <n v="1000"/>
    <n v="-2.7711287577362782"/>
    <n v="2264.7711287577363"/>
    <n v="0.44208664898320071"/>
    <n v="0"/>
    <n v="0.4415457205817156"/>
  </r>
  <r>
    <x v="244"/>
    <x v="11"/>
    <n v="2.333333333333333"/>
    <n v="5885.1814758556429"/>
    <m/>
    <m/>
    <m/>
    <m/>
    <n v="814.00885984279375"/>
    <n v="765.04552361278741"/>
    <n v="0"/>
    <n v="1.2171249203305481"/>
    <n v="2347.3417955400432"/>
    <n v="1026.777644639184"/>
    <n v="2601.7601573190291"/>
    <x v="232"/>
    <d v="2021-07-01T09:20:00"/>
    <n v="5885.2253820392198"/>
    <n v="6.1992503605112734"/>
    <n v="0.89682875908811854"/>
    <n v="2261.9999999999995"/>
    <n v="0"/>
    <n v="0"/>
    <n v="0"/>
    <n v="0"/>
    <n v="312.86852385409162"/>
    <n v="294.04921182324688"/>
    <n v="0"/>
    <n v="0.46780827083797322"/>
    <n v="902.21298413565148"/>
    <n v="394.64730895764887"/>
    <n v="999.99999999999989"/>
    <n v="-1.6875569200237805E-2"/>
    <n v="2262.0168755691998"/>
    <n v="0.44208664898320077"/>
    <n v="0"/>
    <n v="0.44208335083634875"/>
  </r>
  <r>
    <x v="245"/>
    <x v="7"/>
    <n v="6.5"/>
    <n v="16683.09888652918"/>
    <m/>
    <m/>
    <m/>
    <m/>
    <n v="1610.6024228811791"/>
    <n v="1721.1099282398491"/>
    <n v="0"/>
    <n v="1.589456968886793"/>
    <n v="7363.0582553555523"/>
    <n v="3337.743430222738"/>
    <n v="7262.9947263949407"/>
    <x v="233"/>
    <d v="2021-06-29T20:10:00"/>
    <n v="16673.674727609759"/>
    <n v="6.0204988110987028"/>
    <n v="0.89494764141544947"/>
    <n v="2297"/>
    <n v="0"/>
    <n v="0"/>
    <n v="0"/>
    <n v="0"/>
    <n v="221.75459071007992"/>
    <n v="236.969733983841"/>
    <n v="0"/>
    <n v="0.21884319468255151"/>
    <n v="1013.777172190001"/>
    <n v="459.55470931196174"/>
    <n v="1000"/>
    <n v="1.2975582765011495"/>
    <n v="2295.7024417234989"/>
    <n v="0.43535045711797993"/>
    <n v="0"/>
    <n v="0.43559652236517638"/>
  </r>
  <r>
    <x v="246"/>
    <x v="1"/>
    <n v="43.916666666666657"/>
    <n v="100802.1418146653"/>
    <m/>
    <m/>
    <m/>
    <m/>
    <n v="12047.113472773861"/>
    <n v="12005.591641212781"/>
    <n v="0.97875000000000001"/>
    <n v="-20.508597569794059"/>
    <n v="36565.160021835152"/>
    <n v="18999.104580691659"/>
    <n v="44563.281085174749"/>
    <x v="232"/>
    <d v="2021-07-04T02:45:00"/>
    <n v="164258.0660718724"/>
    <n v="6.5113163447162004"/>
    <n v="0.98548997284844886"/>
    <n v="2262.0000000000005"/>
    <n v="0"/>
    <n v="0"/>
    <n v="0"/>
    <n v="0"/>
    <n v="270.33721888089786"/>
    <n v="269.40546900633814"/>
    <n v="2.1963149394886212E-2"/>
    <n v="-0.46021291678670473"/>
    <n v="820.52216828351095"/>
    <n v="426.33989504449335"/>
    <n v="1000"/>
    <n v="-1423.9509010999982"/>
    <n v="3685.9509010999986"/>
    <n v="0.4420866489832006"/>
    <n v="0"/>
    <n v="0.2713004125208423"/>
  </r>
  <r>
    <x v="247"/>
    <x v="7"/>
    <n v="50.916666666666657"/>
    <n v="111799.2019664921"/>
    <m/>
    <m/>
    <m/>
    <m/>
    <n v="-12982.398616884329"/>
    <n v="13688.38489105716"/>
    <n v="1846.5586111829371"/>
    <n v="1998.4286800788029"/>
    <n v="41010.983593082339"/>
    <n v="17331.129705542491"/>
    <n v="48679.391160382693"/>
    <x v="234"/>
    <d v="2021-07-05T15:35:00"/>
    <n v="191972.94821395481"/>
    <n v="6.2843974365005248"/>
    <n v="1.0459593978674235"/>
    <n v="2296.6433905911076"/>
    <n v="0"/>
    <n v="0"/>
    <n v="0"/>
    <n v="0"/>
    <n v="-266.69188556840345"/>
    <n v="281.19466091838336"/>
    <n v="37.933067098130493"/>
    <n v="41.05286924182419"/>
    <n v="842.47116932840311"/>
    <n v="356.02601619321979"/>
    <n v="1000"/>
    <n v="-1646.9751230724396"/>
    <n v="3943.6185136635472"/>
    <n v="0.43541805580126269"/>
    <n v="0"/>
    <n v="0.25357422289587006"/>
  </r>
  <r>
    <x v="248"/>
    <x v="1"/>
    <n v="9.75"/>
    <n v="27348.401403548589"/>
    <m/>
    <m/>
    <m/>
    <m/>
    <n v="2940.108676497026"/>
    <n v="2898.7494351321038"/>
    <n v="0"/>
    <n v="-19.42186433173276"/>
    <n v="7672.2996819735044"/>
    <n v="6289.4583795443887"/>
    <n v="12090.363131542261"/>
    <x v="235"/>
    <d v="2021-07-06T01:15:00"/>
    <n v="27331.65873988887"/>
    <n v="5.7203345460562032"/>
    <n v="0.80642739129674745"/>
    <n v="2261.9999999999995"/>
    <n v="0"/>
    <n v="0"/>
    <n v="0"/>
    <n v="0"/>
    <n v="243.17786360168506"/>
    <n v="239.75701999964133"/>
    <n v="0"/>
    <n v="-1.6063921422726766"/>
    <n v="634.57975566982145"/>
    <n v="520.20425781389235"/>
    <n v="1000.0000000000001"/>
    <n v="1.3847941106118924"/>
    <n v="2260.6152058893877"/>
    <n v="0.44208664898320077"/>
    <n v="0"/>
    <n v="0.44235745977235996"/>
  </r>
  <r>
    <x v="249"/>
    <x v="11"/>
    <n v="17.833333333333329"/>
    <n v="47778.10549722323"/>
    <m/>
    <m/>
    <m/>
    <m/>
    <n v="6140.7392163093491"/>
    <n v="6214.996738462426"/>
    <n v="0"/>
    <n v="13.346587209106531"/>
    <n v="19468.4890304943"/>
    <n v="12253.22134784409"/>
    <n v="21122.062554033258"/>
    <x v="236"/>
    <d v="2021-07-06T19:10:00"/>
    <n v="48011.462049137699"/>
    <n v="5.8948256698814596"/>
    <n v="0.84429885991072651"/>
    <n v="2262"/>
    <n v="0"/>
    <n v="0"/>
    <n v="0"/>
    <n v="0"/>
    <n v="290.7263057573312"/>
    <n v="294.24194358688101"/>
    <n v="0"/>
    <n v="0.63187897370174195"/>
    <n v="921.71344444658837"/>
    <n v="580.11481201225479"/>
    <n v="999.99999999999989"/>
    <n v="-11.048000228079218"/>
    <n v="2273.0480002280792"/>
    <n v="0.44208664898320071"/>
    <n v="0"/>
    <n v="0.43993791591715581"/>
  </r>
  <r>
    <x v="250"/>
    <x v="1"/>
    <n v="4.916666666666667"/>
    <n v="13097.115119928359"/>
    <m/>
    <m/>
    <m/>
    <m/>
    <n v="1495.1596023861171"/>
    <n v="1465.21006081664"/>
    <n v="0"/>
    <n v="-6.2881190075572144"/>
    <n v="5798.3250793860861"/>
    <n v="3527.4658141450718"/>
    <n v="5790.0597347163384"/>
    <x v="237"/>
    <d v="2021-07-07T00:05:00"/>
    <n v="13097.18196648224"/>
    <n v="6.628388271670012"/>
    <n v="0.8491564667609669"/>
    <n v="2262.0000000000005"/>
    <n v="0"/>
    <n v="0"/>
    <n v="0"/>
    <n v="0"/>
    <n v="258.2287007198496"/>
    <n v="253.05612168929071"/>
    <n v="0"/>
    <n v="-1.0860197123450361"/>
    <n v="1001.4275059409474"/>
    <n v="609.22787946295455"/>
    <n v="1000"/>
    <n v="-1.1545054272573907E-2"/>
    <n v="2262.011545054273"/>
    <n v="0.44208664898320066"/>
    <n v="0"/>
    <n v="0.44208439262232269"/>
  </r>
  <r>
    <x v="251"/>
    <x v="7"/>
    <n v="26.916666666666671"/>
    <n v="69125.128468815557"/>
    <m/>
    <m/>
    <m/>
    <m/>
    <n v="-20673.440726999521"/>
    <n v="6766.0411657984669"/>
    <n v="322.95104531250001"/>
    <n v="282.32702089360367"/>
    <n v="29502.024418288111"/>
    <n v="20688.881809053459"/>
    <n v="30093.65627723794"/>
    <x v="238"/>
    <d v="2021-07-08T03:00:00"/>
    <n v="69124.94291569812"/>
    <n v="6.3671413159310264"/>
    <n v="0.89442992299429358"/>
    <n v="2297"/>
    <n v="0"/>
    <n v="0"/>
    <n v="0"/>
    <n v="0"/>
    <n v="-686.9700556338305"/>
    <n v="224.8328054080994"/>
    <n v="10.731532331509078"/>
    <n v="9.3816124665166889"/>
    <n v="980.34031313777837"/>
    <n v="687.48315653163058"/>
    <n v="1000"/>
    <n v="6.1658548802370206E-3"/>
    <n v="2296.9938341451198"/>
    <n v="0.43535045711797993"/>
    <n v="0"/>
    <n v="0.43535162573571889"/>
  </r>
  <r>
    <x v="252"/>
    <x v="1"/>
    <n v="14.83333333333333"/>
    <n v="38415.03921601201"/>
    <m/>
    <m/>
    <m/>
    <m/>
    <n v="4195.3156721810956"/>
    <n v="4195.4185199762142"/>
    <n v="479.61115136718757"/>
    <n v="582.17037398545551"/>
    <n v="11232.78145074269"/>
    <n v="8268.7280526987379"/>
    <n v="16982.775957564991"/>
    <x v="239"/>
    <d v="2021-07-08T17:50:00"/>
    <n v="89996.574403209641"/>
    <n v="6.2347163629451474"/>
    <n v="0.87343396452956268"/>
    <n v="2262"/>
    <n v="0"/>
    <n v="0"/>
    <n v="0"/>
    <n v="0"/>
    <n v="247.03356404535793"/>
    <n v="247.03962005147704"/>
    <n v="28.241033890195343"/>
    <n v="34.28004794034436"/>
    <n v="661.42198889098802"/>
    <n v="486.88907357430139"/>
    <n v="1000"/>
    <n v="-3037.2852657354051"/>
    <n v="5299.2852657354051"/>
    <n v="0.44208664898320071"/>
    <n v="0"/>
    <n v="0.18870469315284646"/>
  </r>
  <r>
    <x v="253"/>
    <x v="7"/>
    <n v="12.41666666666667"/>
    <n v="31871.00821045693"/>
    <m/>
    <m/>
    <m/>
    <m/>
    <n v="3482.3673651254412"/>
    <n v="3394.8734880442239"/>
    <n v="0.79101562500000011"/>
    <n v="-47.495747631728591"/>
    <n v="13143.467063717921"/>
    <n v="5318.1447932090969"/>
    <n v="13875.057993233309"/>
    <x v="240"/>
    <d v="2021-07-09T05:35:00"/>
    <n v="31870.837007286711"/>
    <n v="6.7298220897306438"/>
    <n v="0.89489115452505652"/>
    <n v="2297.0000000000014"/>
    <n v="0"/>
    <n v="0"/>
    <n v="0"/>
    <n v="0"/>
    <n v="250.9803826999316"/>
    <n v="244.6745440415356"/>
    <n v="5.7009896851297377E-2"/>
    <n v="-3.4231026389144943"/>
    <n v="947.27294618356359"/>
    <n v="383.28811279943397"/>
    <n v="1000"/>
    <n v="1.2338915650161653E-2"/>
    <n v="2296.9876610843512"/>
    <n v="0.43535045711797971"/>
    <n v="0"/>
    <n v="0.43535279572547841"/>
  </r>
  <r>
    <x v="254"/>
    <x v="1"/>
    <n v="8"/>
    <n v="20173.734955443091"/>
    <m/>
    <m/>
    <m/>
    <m/>
    <n v="0"/>
    <n v="2262.896435377098"/>
    <n v="0"/>
    <n v="0"/>
    <n v="6081.3733765221068"/>
    <n v="2751.4335970337752"/>
    <n v="8918.5388839270963"/>
    <x v="241"/>
    <d v="2021-07-10T05:45:00"/>
    <n v="20173.691869156111"/>
    <n v="6.4259619767966258"/>
    <n v="0.89700791846268924"/>
    <n v="2262"/>
    <n v="0"/>
    <n v="0"/>
    <n v="0"/>
    <n v="0"/>
    <n v="0"/>
    <n v="253.72950264928127"/>
    <n v="0"/>
    <n v="0"/>
    <n v="681.8800092335639"/>
    <n v="308.50721545794704"/>
    <n v="999.99999999999989"/>
    <n v="4.8310925749319722E-3"/>
    <n v="2261.9951689074251"/>
    <n v="0.44208664898320071"/>
    <n v="0"/>
    <n v="0.44208759317687391"/>
  </r>
  <r>
    <x v="255"/>
    <x v="11"/>
    <n v="7.666666666666667"/>
    <n v="19256.592115333919"/>
    <m/>
    <m/>
    <m/>
    <m/>
    <n v="2958.7191133450551"/>
    <n v="2606.6381826351198"/>
    <n v="0"/>
    <n v="11.01258145630624"/>
    <n v="6843.3955650500147"/>
    <n v="4161.3760685542902"/>
    <n v="8513.0822791042956"/>
    <x v="242"/>
    <d v="2021-07-09T21:40:00"/>
    <n v="19272.91097299449"/>
    <n v="6.521981937972714"/>
    <n v="0.90057471727776084"/>
    <n v="2262"/>
    <n v="0"/>
    <n v="0"/>
    <n v="0"/>
    <n v="0"/>
    <n v="347.54969073978651"/>
    <n v="306.1920579615703"/>
    <n v="0"/>
    <n v="1.2936068388927786"/>
    <n v="803.86813385410414"/>
    <n v="488.82131431626777"/>
    <n v="1000.0000000000001"/>
    <n v="-1.9169152987783491"/>
    <n v="2263.9169152987783"/>
    <n v="0.44208664898320066"/>
    <n v="0"/>
    <n v="0.44171232311678094"/>
  </r>
  <r>
    <x v="256"/>
    <x v="10"/>
    <n v="15"/>
    <n v="37825.145685025433"/>
    <m/>
    <m/>
    <m/>
    <m/>
    <n v="4906.9419093318129"/>
    <n v="4793.2000170646097"/>
    <n v="0"/>
    <n v="878.14453151278826"/>
    <n v="9138.2688828612208"/>
    <n v="4365.5452392283014"/>
    <n v="16721.99190319427"/>
    <x v="243"/>
    <d v="2021-07-10T20:45:00"/>
    <n v="37615.073259706493"/>
    <n v="6.1991759629966134"/>
    <n v="0.89702232167297413"/>
    <n v="2261.9999999999995"/>
    <n v="0"/>
    <n v="0"/>
    <n v="0"/>
    <n v="0"/>
    <n v="293.4424282548826"/>
    <n v="286.64049383668237"/>
    <n v="0"/>
    <n v="52.514349761468502"/>
    <n v="546.4820779584046"/>
    <n v="261.06610172406471"/>
    <n v="1000"/>
    <n v="12.562643645271237"/>
    <n v="2249.4373563547283"/>
    <n v="0.44208664898320077"/>
    <n v="0"/>
    <n v="0.44455561172884844"/>
  </r>
  <r>
    <x v="257"/>
    <x v="1"/>
    <n v="8.5833333333333339"/>
    <n v="21645.159964844421"/>
    <m/>
    <m/>
    <m/>
    <m/>
    <n v="2174.0880823521352"/>
    <n v="2125.5736557832829"/>
    <n v="153.63873156030459"/>
    <n v="98.360203159984394"/>
    <n v="5278.0530795854247"/>
    <n v="2488.6899967954801"/>
    <n v="9569.0362355634043"/>
    <x v="244"/>
    <d v="2021-07-11T05:15:00"/>
    <n v="21645.031283692169"/>
    <n v="6.033626563005102"/>
    <n v="0.8969903678944493"/>
    <n v="2262"/>
    <n v="0"/>
    <n v="0"/>
    <n v="0"/>
    <n v="0"/>
    <n v="227.20031869793937"/>
    <n v="222.13038005683066"/>
    <n v="16.055820855741452"/>
    <n v="10.279008328386077"/>
    <n v="551.57624547072942"/>
    <n v="260.07739290883262"/>
    <n v="1000.0000000000001"/>
    <n v="1.344766067177261E-2"/>
    <n v="2261.9865523393282"/>
    <n v="0.44208664898320071"/>
    <n v="0"/>
    <n v="0.44208927721776597"/>
  </r>
  <r>
    <x v="258"/>
    <x v="11"/>
    <n v="14.83333333333333"/>
    <n v="37415.245976406914"/>
    <m/>
    <m/>
    <m/>
    <m/>
    <n v="3984.0682654398588"/>
    <n v="4676.1153387091908"/>
    <n v="1423.229655151084"/>
    <n v="583.34164763737567"/>
    <n v="8785.7007121554398"/>
    <n v="3981.5142922838181"/>
    <n v="16540.780714591921"/>
    <x v="245"/>
    <d v="2021-07-11T20:10:00"/>
    <n v="37625.541651846012"/>
    <n v="5.9056230854316842"/>
    <n v="0.89677347093101123"/>
    <n v="2261.9999999999995"/>
    <n v="0"/>
    <n v="0"/>
    <n v="0"/>
    <n v="0"/>
    <n v="240.86337484210762"/>
    <n v="282.70221456862805"/>
    <n v="86.04368074933376"/>
    <n v="35.266875107216926"/>
    <n v="531.15393183375454"/>
    <n v="240.70897021030041"/>
    <n v="1000"/>
    <n v="-12.713769625975146"/>
    <n v="2274.7137696259747"/>
    <n v="0.44208664898320088"/>
    <n v="0"/>
    <n v="0.43961575005739184"/>
  </r>
  <r>
    <x v="259"/>
    <x v="1"/>
    <n v="4.25"/>
    <n v="10718.608771386391"/>
    <m/>
    <m/>
    <m/>
    <m/>
    <n v="1264.200892042147"/>
    <n v="1189.580280842405"/>
    <n v="0"/>
    <n v="32.440287811702717"/>
    <n v="2828.4056287829148"/>
    <n v="1231.661949201324"/>
    <n v="4738.5538335041501"/>
    <x v="246"/>
    <d v="2021-07-12T00:15:00"/>
    <n v="10718.422373961679"/>
    <n v="5.9245357854264382"/>
    <n v="0.89689811476872772"/>
    <n v="2262.0000000000005"/>
    <n v="0"/>
    <n v="0"/>
    <n v="0"/>
    <n v="0"/>
    <n v="266.79044629683426"/>
    <n v="251.04289676555453"/>
    <n v="0"/>
    <n v="6.8460312896167306"/>
    <n v="596.89215911921281"/>
    <n v="259.92359535789274"/>
    <n v="999.99999999999989"/>
    <n v="3.933635266366764E-2"/>
    <n v="2261.9606636473368"/>
    <n v="0.4420866489832006"/>
    <n v="0"/>
    <n v="0.44209433703746781"/>
  </r>
  <r>
    <x v="260"/>
    <x v="7"/>
    <n v="19.5"/>
    <n v="43789.924611889073"/>
    <m/>
    <m/>
    <m/>
    <m/>
    <n v="-22546.714349716571"/>
    <n v="5122.9571396509382"/>
    <n v="1.5137704918032791"/>
    <n v="-5.7143542550974757"/>
    <n v="11979.1924465226"/>
    <n v="6418.7618779308496"/>
    <n v="19063.963696947791"/>
    <x v="247"/>
    <d v="2021-07-12T19:55:00"/>
    <n v="45489.601353005448"/>
    <n v="6.9700480045255082"/>
    <n v="1.0228722793425178"/>
    <n v="2297"/>
    <n v="0"/>
    <n v="0"/>
    <n v="0"/>
    <n v="0"/>
    <n v="-1182.687646080987"/>
    <n v="268.72465879019387"/>
    <n v="7.9404814018064845E-2"/>
    <n v="-0.29974638778882928"/>
    <n v="628.36840422857676"/>
    <n v="336.69608167364044"/>
    <n v="1000"/>
    <n v="-89.156524222110875"/>
    <n v="2386.1565242221109"/>
    <n v="0.43535045711797998"/>
    <n v="0"/>
    <n v="0.41908399128426865"/>
  </r>
  <r>
    <x v="261"/>
    <x v="1"/>
    <n v="82.333333333333329"/>
    <n v="213242.06110636951"/>
    <m/>
    <m/>
    <m/>
    <m/>
    <n v="26900.511537722748"/>
    <n v="26600.682440619021"/>
    <n v="0.86906250000000007"/>
    <n v="-28057.767840329368"/>
    <n v="81127.584576239693"/>
    <n v="46929.809467894564"/>
    <n v="94271.468216785797"/>
    <x v="248"/>
    <d v="2021-07-17T05:35:00"/>
    <n v="274547.71939397248"/>
    <n v="6.6702176778738664"/>
    <n v="0.87336428392098819"/>
    <n v="2262.0000000000005"/>
    <n v="0"/>
    <n v="0"/>
    <n v="0"/>
    <n v="0"/>
    <n v="285.35157080467422"/>
    <n v="282.17108467482802"/>
    <n v="9.2187224452844208E-3"/>
    <n v="-297.62735609259829"/>
    <n v="860.57410700000389"/>
    <n v="497.81562073452812"/>
    <n v="1000.0000000000001"/>
    <n v="-650.30978563551207"/>
    <n v="2912.3097856355125"/>
    <n v="0.4420866489832006"/>
    <n v="0"/>
    <n v="0.34337006486478017"/>
  </r>
  <r>
    <x v="262"/>
    <x v="11"/>
    <n v="11"/>
    <n v="29307.940837734739"/>
    <m/>
    <m/>
    <m/>
    <m/>
    <n v="4008.727972719164"/>
    <n v="4112.7704768429239"/>
    <n v="0"/>
    <n v="-1.38936726978045"/>
    <n v="12496.16820316462"/>
    <n v="7226.9576124567511"/>
    <n v="12956.649353552049"/>
    <x v="249"/>
    <d v="2021-07-14T22:00:00"/>
    <n v="29307.905044903451"/>
    <n v="7.3584429590536091"/>
    <n v="0.8489849265685625"/>
    <n v="2262.0000000000005"/>
    <n v="0"/>
    <n v="0"/>
    <n v="0"/>
    <n v="0"/>
    <n v="309.39542032293838"/>
    <n v="317.42546738871289"/>
    <n v="0"/>
    <n v="-0.10723198813739268"/>
    <n v="964.45985857746552"/>
    <n v="557.7798252659735"/>
    <n v="1000"/>
    <n v="2.762506749604654E-3"/>
    <n v="2261.9972374932509"/>
    <n v="0.44208664898320066"/>
    <n v="0"/>
    <n v="0.44208718888985099"/>
  </r>
  <r>
    <x v="263"/>
    <x v="11"/>
    <n v="10.66666666666667"/>
    <n v="28424.345495529709"/>
    <m/>
    <m/>
    <m/>
    <m/>
    <n v="4583.5971301142354"/>
    <n v="4572.6534029321047"/>
    <n v="0"/>
    <n v="43.428902556087223"/>
    <n v="12395.29890692202"/>
    <n v="8389.268798146999"/>
    <n v="12566.023649659461"/>
    <x v="250"/>
    <d v="2021-07-15T20:15:00"/>
    <n v="28424.069854071891"/>
    <n v="6.745380575906375"/>
    <n v="0.84884980038659541"/>
    <n v="2262.0000000000005"/>
    <n v="0"/>
    <n v="0"/>
    <n v="0"/>
    <n v="0"/>
    <n v="364.7611414640661"/>
    <n v="363.89024327962517"/>
    <n v="0"/>
    <n v="3.4560576811634562"/>
    <n v="986.41378151933793"/>
    <n v="667.6152323153035"/>
    <n v="1000"/>
    <n v="2.1935455916718638E-2"/>
    <n v="2261.9780645440837"/>
    <n v="0.44208664898320055"/>
    <n v="0"/>
    <n v="0.44209093610355432"/>
  </r>
  <r>
    <x v="264"/>
    <x v="11"/>
    <n v="18.416666666666671"/>
    <n v="46267.727050244554"/>
    <m/>
    <m/>
    <m/>
    <m/>
    <n v="7436.0180681018537"/>
    <n v="7418.1663162677332"/>
    <n v="0"/>
    <n v="29.655667297035389"/>
    <n v="14755.615544318011"/>
    <n v="6373.1167258938258"/>
    <n v="20454.344407712"/>
    <x v="251"/>
    <d v="2021-07-18T00:00:00"/>
    <n v="46477.469755521823"/>
    <n v="6.1746842479296369"/>
    <n v="0.90037922015838101"/>
    <n v="2262.0000000000005"/>
    <n v="0"/>
    <n v="0"/>
    <n v="0"/>
    <n v="0"/>
    <n v="363.54223434793715"/>
    <n v="362.6694734577182"/>
    <n v="0"/>
    <n v="1.4498468738921875"/>
    <n v="721.39273937103701"/>
    <n v="311.57765797132754"/>
    <n v="1000"/>
    <n v="-10.254188601526948"/>
    <n v="2272.2541886015274"/>
    <n v="0.4420866489832006"/>
    <n v="0"/>
    <n v="0.44009160815562454"/>
  </r>
  <r>
    <x v="265"/>
    <x v="1"/>
    <n v="8.25"/>
    <n v="20742.226551299711"/>
    <m/>
    <m/>
    <m/>
    <m/>
    <n v="6456.5094218642953"/>
    <n v="3057.8795522926571"/>
    <n v="649.1964873381396"/>
    <n v="609.44329785506568"/>
    <n v="5744.6657750887071"/>
    <n v="2215.917586724629"/>
    <n v="9169.8614285144631"/>
    <x v="252"/>
    <d v="2021-07-18T08:15:00"/>
    <n v="20742.448000125631"/>
    <n v="6.2489059639185731"/>
    <n v="0.89968644175428036"/>
    <n v="2261.9999999999995"/>
    <n v="0"/>
    <n v="0"/>
    <n v="0"/>
    <n v="0"/>
    <n v="704.10108944364538"/>
    <n v="333.47063923822458"/>
    <n v="70.796760932439824"/>
    <n v="66.46156025432947"/>
    <n v="626.47247397056412"/>
    <n v="241.65224349345621"/>
    <n v="1000.0000000000001"/>
    <n v="-2.4149637117716338E-2"/>
    <n v="2262.0241496371173"/>
    <n v="0.44208664898320083"/>
    <n v="0"/>
    <n v="0.44208192921389627"/>
  </r>
  <r>
    <x v="266"/>
    <x v="1"/>
    <n v="8.5833333333333339"/>
    <n v="21574.523812406082"/>
    <m/>
    <m/>
    <m/>
    <m/>
    <n v="0"/>
    <n v="3338.933047893222"/>
    <n v="0"/>
    <n v="0"/>
    <n v="8105.141380347447"/>
    <n v="2646.4206589838141"/>
    <n v="9537.8089356348701"/>
    <x v="253"/>
    <d v="2021-07-19T05:35:00"/>
    <n v="21589.972425575641"/>
    <n v="6.0474438231676633"/>
    <n v="0.89992716264891259"/>
    <n v="2262.0000000000005"/>
    <n v="0"/>
    <n v="0"/>
    <n v="0"/>
    <n v="0"/>
    <n v="0"/>
    <n v="350.07338377459024"/>
    <n v="0"/>
    <n v="0"/>
    <n v="849.7907050816741"/>
    <n v="277.46631085220611"/>
    <n v="1000"/>
    <n v="-1.619723489306125"/>
    <n v="2263.6197234893066"/>
    <n v="0.4420866489832006"/>
    <n v="0"/>
    <n v="0.44177031575715731"/>
  </r>
  <r>
    <x v="267"/>
    <x v="11"/>
    <n v="12.91666666666667"/>
    <n v="32484.343999184919"/>
    <m/>
    <m/>
    <m/>
    <m/>
    <n v="-22573.105109251959"/>
    <n v="4787.2145075085919"/>
    <n v="3.60444556451613"/>
    <n v="78.139548793970448"/>
    <n v="9651.9357976086812"/>
    <n v="5324.2628355821116"/>
    <n v="14360.894783017209"/>
    <x v="254"/>
    <d v="2021-07-18T21:15:00"/>
    <n v="32484.598205229409"/>
    <n v="6.8694745723483086"/>
    <n v="0.89943327778862059"/>
    <n v="2261.9999999999995"/>
    <n v="0"/>
    <n v="0"/>
    <n v="0"/>
    <n v="0"/>
    <n v="-1571.845309802442"/>
    <n v="333.35071246185976"/>
    <n v="0.2509903191254243"/>
    <n v="5.4411337158723621"/>
    <n v="672.09849688633528"/>
    <n v="370.74729089154221"/>
    <n v="1000"/>
    <n v="-1.770126780593273E-2"/>
    <n v="2262.0177012678055"/>
    <n v="0.44208664898320083"/>
    <n v="0"/>
    <n v="0.44208318946378028"/>
  </r>
  <r>
    <x v="268"/>
    <x v="10"/>
    <n v="13.91666666666667"/>
    <n v="34660.056931954838"/>
    <m/>
    <m/>
    <m/>
    <m/>
    <n v="4109.7931845337253"/>
    <n v="4719.1559288708613"/>
    <n v="0.77836010362694308"/>
    <n v="117.6373429629365"/>
    <n v="11326.947249969169"/>
    <n v="6292.9371189170761"/>
    <n v="15322.748422614881"/>
    <x v="255"/>
    <d v="2021-07-19T19:40:00"/>
    <n v="34921.007257395089"/>
    <n v="6.2529292320354388"/>
    <n v="0.90823566913929277"/>
    <n v="2261.9999999999986"/>
    <n v="0"/>
    <n v="0"/>
    <n v="0"/>
    <n v="0"/>
    <n v="268.21514464520419"/>
    <n v="307.9836461914266"/>
    <n v="5.0797682123277545E-2"/>
    <n v="7.6773004240750478"/>
    <n v="739.22425256631516"/>
    <n v="410.69245185996232"/>
    <n v="999.99999999999989"/>
    <n v="-17.03025581592874"/>
    <n v="2279.0302558159274"/>
    <n v="0.44208664898320099"/>
    <n v="0"/>
    <n v="0.43878311727019387"/>
  </r>
  <r>
    <x v="269"/>
    <x v="1"/>
    <n v="45.916666666666671"/>
    <n v="103545.23406744959"/>
    <m/>
    <m/>
    <m/>
    <m/>
    <n v="-15119.27630598543"/>
    <n v="12256.03933465403"/>
    <n v="1003.578380649398"/>
    <n v="918.30596863957226"/>
    <n v="38862.33147831275"/>
    <n v="23057.050750020651"/>
    <n v="45775.965547059946"/>
    <x v="256"/>
    <d v="2021-07-22T09:30:00"/>
    <n v="146596.46196961409"/>
    <n v="6.1723868784489886"/>
    <n v="1.0030736898266424"/>
    <n v="2262"/>
    <n v="0"/>
    <n v="0"/>
    <n v="0"/>
    <n v="0"/>
    <n v="-330.28852860442822"/>
    <n v="267.73961375111179"/>
    <n v="21.923696609253824"/>
    <n v="20.060876000431023"/>
    <n v="848.96803407369669"/>
    <n v="503.69337870802241"/>
    <n v="1000"/>
    <n v="-940.47667564555695"/>
    <n v="3202.476675645557"/>
    <n v="0.44208664898320071"/>
    <n v="0"/>
    <n v="0.31225832419167254"/>
  </r>
  <r>
    <x v="270"/>
    <x v="11"/>
    <n v="11.33333333333333"/>
    <n v="28448.02390387101"/>
    <m/>
    <m/>
    <m/>
    <m/>
    <n v="4074.148004108119"/>
    <n v="4105.2744863932076"/>
    <n v="0"/>
    <n v="-9.3736338121459539"/>
    <n v="11396.48095591548"/>
    <n v="6172.3973294628549"/>
    <n v="12576.49155785633"/>
    <x v="257"/>
    <d v="2021-07-21T20:50:00"/>
    <n v="28222.36348391142"/>
    <n v="5.8782254965457899"/>
    <n v="0.90115222367032721"/>
    <n v="2261.9999999999995"/>
    <n v="0"/>
    <n v="0"/>
    <n v="0"/>
    <n v="0"/>
    <n v="323.94948824682865"/>
    <n v="326.42446166385008"/>
    <n v="0"/>
    <n v="-0.74532979003117894"/>
    <n v="906.1733078329213"/>
    <n v="490.78849224902143"/>
    <n v="1000"/>
    <n v="17.943034344791158"/>
    <n v="2244.0569656552084"/>
    <n v="0.44208664898320088"/>
    <n v="0"/>
    <n v="0.44562148613193742"/>
  </r>
  <r>
    <x v="271"/>
    <x v="7"/>
    <n v="33.083333333333329"/>
    <n v="78987.348513091943"/>
    <m/>
    <m/>
    <m/>
    <m/>
    <n v="10431.641073119459"/>
    <n v="10597.23035141999"/>
    <n v="12426.799088895619"/>
    <n v="12855.755902394751"/>
    <n v="20261.463339941762"/>
    <n v="21702.248550718468"/>
    <n v="34387.178281711771"/>
    <x v="258"/>
    <d v="2021-07-23T23:35:00"/>
    <n v="84069.3926271932"/>
    <n v="6.5704202759090453"/>
    <n v="0.96208339812889299"/>
    <n v="2297"/>
    <n v="0"/>
    <n v="0"/>
    <n v="0"/>
    <n v="0"/>
    <n v="303.35844911902376"/>
    <n v="308.17388576066867"/>
    <n v="361.37885426628907"/>
    <n v="373.85317856196019"/>
    <n v="589.2156423522971"/>
    <n v="631.11455010719601"/>
    <n v="1000"/>
    <n v="-147.78892506001466"/>
    <n v="2444.7889250600147"/>
    <n v="0.43535045711797993"/>
    <n v="0"/>
    <n v="0.40903326653259114"/>
  </r>
  <r>
    <x v="272"/>
    <x v="18"/>
    <n v="17.333333333333339"/>
    <n v="28050.33239637017"/>
    <m/>
    <m/>
    <m/>
    <m/>
    <n v="-23823.204051191511"/>
    <n v="3582.4680743408348"/>
    <n v="16387.478301444109"/>
    <n v="16355.5774401542"/>
    <n v="0"/>
    <n v="17214.140884340472"/>
    <n v="12106.315233651339"/>
    <x v="259"/>
    <d v="2021-07-24T21:20:00"/>
    <n v="29878.129154755188"/>
    <n v="6.539643749908425"/>
    <n v="1.431759622874573"/>
    <n v="2317.0000000000014"/>
    <n v="0"/>
    <n v="0"/>
    <n v="0"/>
    <n v="0"/>
    <n v="-1967.8327873844969"/>
    <n v="295.917296485294"/>
    <n v="1353.6305626581263"/>
    <n v="1350.9955031314064"/>
    <n v="0"/>
    <n v="1421.9141458080619"/>
    <n v="1000"/>
    <n v="-150.97878446980985"/>
    <n v="2467.9787844698112"/>
    <n v="0.43159257660768208"/>
    <n v="0"/>
    <n v="0.40518986884841768"/>
  </r>
  <r>
    <x v="273"/>
    <x v="15"/>
    <n v="20.083333333333329"/>
    <n v="24644.971527839101"/>
    <m/>
    <m/>
    <m/>
    <m/>
    <n v="5243.2013964951166"/>
    <n v="4182.3923236622468"/>
    <n v="9089.3819036875211"/>
    <n v="11113.983104883489"/>
    <n v="0"/>
    <n v="7096.4669140464148"/>
    <n v="10636.58676212305"/>
    <x v="260"/>
    <d v="2021-07-25T17:25:00"/>
    <n v="24732.64911496063"/>
    <n v="6.8511668953422564"/>
    <n v="1.8881370295262574"/>
    <n v="2316.9999999999995"/>
    <n v="0"/>
    <n v="0"/>
    <n v="0"/>
    <n v="0"/>
    <n v="492.9402179246249"/>
    <n v="393.20812373343028"/>
    <n v="854.53934678132521"/>
    <n v="1044.8824753125177"/>
    <n v="0"/>
    <n v="667.17520128891124"/>
    <n v="1000"/>
    <n v="-8.2430190325480908"/>
    <n v="2325.2430190325476"/>
    <n v="0.43159257660768247"/>
    <n v="0"/>
    <n v="0.43006257488564148"/>
  </r>
  <r>
    <x v="274"/>
    <x v="5"/>
    <n v="9.0833333333333339"/>
    <n v="16317.904065531229"/>
    <m/>
    <m/>
    <m/>
    <m/>
    <n v="2501.7257390836889"/>
    <n v="2323.6841486832009"/>
    <n v="3301.9064996337279"/>
    <n v="3257.77253288269"/>
    <n v="0"/>
    <n v="1120.2077536401339"/>
    <n v="9443.2315194046496"/>
    <x v="261"/>
    <d v="2021-07-26T02:35:00"/>
    <n v="16400.92863264784"/>
    <n v="6.2968387408201121"/>
    <n v="0.96188823864672068"/>
    <n v="1727.9999999999995"/>
    <n v="0"/>
    <n v="0"/>
    <n v="0"/>
    <n v="0"/>
    <n v="264.92263098103211"/>
    <n v="246.06874711356204"/>
    <n v="349.65853509455178"/>
    <n v="344.98492663114087"/>
    <n v="0"/>
    <n v="118.62546749364857"/>
    <n v="1000"/>
    <n v="-8.7919656471415237"/>
    <n v="1736.7919656471411"/>
    <n v="0.57870370370370394"/>
    <n v="0"/>
    <n v="0.5757741973589755"/>
  </r>
  <r>
    <x v="275"/>
    <x v="3"/>
    <n v="21.916666666666671"/>
    <n v="25341.553594864279"/>
    <m/>
    <m/>
    <m/>
    <m/>
    <n v="3238.4089849836432"/>
    <n v="4268.3244276387522"/>
    <n v="8798.8434246086399"/>
    <n v="-22201.472523303859"/>
    <n v="0"/>
    <n v="2531.0493603021068"/>
    <n v="10937.22641124915"/>
    <x v="262"/>
    <d v="2021-07-27T00:25:00"/>
    <n v="26845.88395554361"/>
    <n v="6.3134466378078287"/>
    <n v="2.0038596480113964"/>
    <n v="2317"/>
    <n v="0"/>
    <n v="0"/>
    <n v="0"/>
    <n v="0"/>
    <n v="296.09051355587525"/>
    <n v="390.25656662357267"/>
    <n v="804.48580780579425"/>
    <n v="-2029.8996919794229"/>
    <n v="0"/>
    <n v="231.4160158281878"/>
    <n v="999.99999999999989"/>
    <n v="-137.54221629096901"/>
    <n v="2454.542216290969"/>
    <n v="0.43159257660768235"/>
    <n v="0"/>
    <n v="0.40740794489617244"/>
  </r>
  <r>
    <x v="276"/>
    <x v="0"/>
    <n v="178.4133333333333"/>
    <n v="0"/>
    <n v="324786.68826333352"/>
    <n v="13823.635388000041"/>
    <n v="310963.05287533329"/>
    <n v="0"/>
    <n v="-9241.6236278799661"/>
    <n v="74360.631339274012"/>
    <n v="185065.27004468121"/>
    <n v="-26005.970305483399"/>
    <n v="0"/>
    <n v="149321.96362658721"/>
    <n v="142951.88743984749"/>
    <x v="263"/>
    <d v="2021-08-11T15:40:00"/>
    <n v="96.210180870207168"/>
    <n v="4.9658873427005217"/>
    <n v="1.2480656011513493"/>
    <n v="0"/>
    <n v="2272"/>
    <n v="96.7013142363501"/>
    <n v="2175.2986857636488"/>
    <n v="0"/>
    <n v="-64.648489735882194"/>
    <n v="520.17943009366786"/>
    <n v="1294.5982970847765"/>
    <n v="-181.92113984102809"/>
    <n v="0"/>
    <n v="1044.5609799270414"/>
    <n v="1000.0000000000001"/>
    <n v="-0.67302490784314628"/>
    <n v="0.67302490784314628"/>
    <n v="0"/>
    <n v="0.4401408450704225"/>
    <n v="1485.8291102549474"/>
  </r>
  <r>
    <x v="277"/>
    <x v="23"/>
    <n v="216.5"/>
    <n v="0"/>
    <n v="319907.45725000021"/>
    <n v="77579.555802500021"/>
    <n v="242327.9014475001"/>
    <n v="35264.161916666679"/>
    <n v="-13108.766294794101"/>
    <n v="85679.303378989556"/>
    <n v="220811.1226211407"/>
    <n v="5361.1495164492153"/>
    <n v="0"/>
    <n v="191372.56683479849"/>
    <n v="155640.49919661129"/>
    <x v="264"/>
    <d v="2021-08-21T11:40:00"/>
    <n v="78.799069501324993"/>
    <n v="5.0041666030883789"/>
    <n v="1.391026121848328"/>
    <n v="0"/>
    <n v="2055.4255409183725"/>
    <n v="498.45352721786401"/>
    <n v="1556.9720137005077"/>
    <n v="226.57445908162748"/>
    <n v="-84.224648227545103"/>
    <n v="550.49491502051819"/>
    <n v="1418.7253559383878"/>
    <n v="34.445722958500646"/>
    <n v="0"/>
    <n v="1229.580782782308"/>
    <n v="1000"/>
    <n v="-0.50628897946274809"/>
    <n v="0.50628897946274809"/>
    <n v="0"/>
    <n v="0.43821209465381256"/>
    <n v="1975.1565618930845"/>
  </r>
  <r>
    <x v="278"/>
    <x v="22"/>
    <n v="38.083333333333329"/>
    <n v="0"/>
    <n v="67298"/>
    <n v="18612.198"/>
    <n v="48685.802000000003"/>
    <m/>
    <n v="10520.66073153809"/>
    <n v="19837.0277732576"/>
    <n v="39801.630861708531"/>
    <n v="-8664.3952397892645"/>
    <n v="0"/>
    <n v="33753.268837157579"/>
    <n v="29620.5985915493"/>
    <x v="265"/>
    <d v="2021-08-23T01:45:00"/>
    <n v="16.089445213985481"/>
    <n v="5.0031249523162842"/>
    <n v="1.2857043795258896"/>
    <n v="0"/>
    <n v="2271.9999999999995"/>
    <n v="628.35320300751869"/>
    <n v="1643.6467969924809"/>
    <n v="0"/>
    <n v="355.18055784799748"/>
    <n v="669.70381141848577"/>
    <n v="1343.7146024815265"/>
    <n v="-292.51249643081826"/>
    <n v="0"/>
    <n v="1139.5201461859492"/>
    <n v="1000"/>
    <n v="-0.54318433721915971"/>
    <n v="0.54318433721915971"/>
    <n v="0"/>
    <n v="0.44014084507042261"/>
    <n v="1840.9956463758049"/>
  </r>
  <r>
    <x v="279"/>
    <x v="0"/>
    <n v="203.66666666666671"/>
    <n v="0"/>
    <n v="364978.38105666672"/>
    <n v="149521.79519882001"/>
    <n v="215456.58585784669"/>
    <n v="0"/>
    <n v="6737.6248134552216"/>
    <n v="88649.90628355011"/>
    <n v="233640.07301757389"/>
    <n v="5293.9095095921457"/>
    <n v="0"/>
    <n v="199967.37695248841"/>
    <n v="160641.893070716"/>
    <x v="266"/>
    <d v="2021-10-11T03:10:00"/>
    <n v="0"/>
    <n v="5.0041666030883789"/>
    <n v="1.267830344709713"/>
    <n v="0"/>
    <n v="2272"/>
    <n v="930.77709892897713"/>
    <n v="1341.2229010710223"/>
    <n v="0"/>
    <n v="41.941891275454893"/>
    <n v="551.84799300469911"/>
    <n v="1454.4155858193444"/>
    <n v="32.95472562229903"/>
    <n v="0"/>
    <n v="1244.802169160575"/>
    <n v="999.99999999999989"/>
    <n v="0"/>
    <n v="0"/>
    <n v="0"/>
    <n v="0.44014084507042256"/>
    <n v="0"/>
  </r>
  <r>
    <x v="280"/>
    <x v="0"/>
    <n v="104.9166666666667"/>
    <n v="0"/>
    <n v="102637.64577600719"/>
    <n v="42217.530059714947"/>
    <n v="60420.11571629221"/>
    <n v="33875.21525866905"/>
    <n v="-14621.799042168859"/>
    <n v="40881.4522418259"/>
    <n v="88200.376450324329"/>
    <n v="1854.110671443317"/>
    <n v="0"/>
    <n v="53436.399603316408"/>
    <n v="61603.276640196847"/>
    <x v="267"/>
    <d v="2021-10-17T07:35:00"/>
    <n v="0"/>
    <n v="5.0041953382820923"/>
    <n v="1.7031020489291209"/>
    <n v="0"/>
    <n v="1666.106924400754"/>
    <n v="685.31306063949728"/>
    <n v="980.79386376125626"/>
    <n v="549.89307559924634"/>
    <n v="-237.35424217074791"/>
    <n v="663.62463932884839"/>
    <n v="1431.7481351758579"/>
    <n v="30.097598253945609"/>
    <n v="0"/>
    <n v="867.427879127594"/>
    <n v="1000"/>
    <n v="0"/>
    <n v="0"/>
    <n v="0"/>
    <n v="0.45126353790613705"/>
    <n v="0"/>
  </r>
  <r>
    <x v="281"/>
    <x v="22"/>
    <n v="68.083333333333343"/>
    <n v="0"/>
    <n v="128689.67705"/>
    <n v="60046.229754499982"/>
    <n v="68643.44729549998"/>
    <n v="0"/>
    <n v="3072.8450302378642"/>
    <n v="31782.847676218869"/>
    <n v="69534.627138227181"/>
    <n v="-14777.049151841569"/>
    <n v="0"/>
    <n v="61242.996163736578"/>
    <n v="56641.583208626747"/>
    <x v="268"/>
    <d v="2021-10-20T10:30:00"/>
    <n v="0"/>
    <n v="5.0040947651040968"/>
    <n v="1.2020026538199584"/>
    <n v="0"/>
    <n v="2272.0000000000005"/>
    <n v="1060.1086048978004"/>
    <n v="1211.8913951021993"/>
    <n v="0"/>
    <n v="54.250691032411986"/>
    <n v="561.12216283139151"/>
    <n v="1227.6250627054642"/>
    <n v="-260.88693703023051"/>
    <n v="0"/>
    <n v="1081.2373647495258"/>
    <n v="1000"/>
    <n v="0"/>
    <n v="0"/>
    <n v="0"/>
    <n v="0.44014084507042245"/>
    <n v="0"/>
  </r>
  <r>
    <x v="282"/>
    <x v="24"/>
    <n v="76.5"/>
    <n v="0"/>
    <n v="118923.93575"/>
    <n v="59601.605104000002"/>
    <n v="59322.330646000017"/>
    <n v="13157.54841666667"/>
    <n v="-521.14584693607685"/>
    <n v="41297.452014970622"/>
    <n v="90068.133534935128"/>
    <n v="-3886.0044775810088"/>
    <n v="0"/>
    <n v="68405.382990172206"/>
    <n v="57879.703841659357"/>
    <x v="269"/>
    <d v="2021-10-24T09:00:00"/>
    <n v="0"/>
    <n v="5.0041966868651899"/>
    <n v="1.3217068319713576"/>
    <n v="0"/>
    <n v="2054.6742270025852"/>
    <n v="1029.7496557178526"/>
    <n v="1024.9245712847328"/>
    <n v="227.3257729974151"/>
    <n v="-9.0039480568485253"/>
    <n v="713.50489504831341"/>
    <n v="1556.1263717128404"/>
    <n v="-67.139328981570003"/>
    <n v="0"/>
    <n v="1181.8544057742208"/>
    <n v="1000"/>
    <n v="0"/>
    <n v="0"/>
    <n v="0"/>
    <n v="0.43821209465381239"/>
    <n v="0"/>
  </r>
  <r>
    <x v="283"/>
    <x v="17"/>
    <n v="76.166666666666671"/>
    <n v="0"/>
    <n v="139268.9716592535"/>
    <n v="54239.374527387612"/>
    <n v="85029.597131865841"/>
    <m/>
    <n v="0"/>
    <n v="38612.495715147168"/>
    <n v="84425.374281374185"/>
    <n v="0"/>
    <n v="0"/>
    <n v="69384.274505583729"/>
    <n v="61297.962878192542"/>
    <x v="270"/>
    <d v="2021-10-27T21:20:00"/>
    <n v="28.531473808663169"/>
    <n v="5.0042044812982729"/>
    <n v="1.2425644032905347"/>
    <n v="0"/>
    <n v="2272.0000000000009"/>
    <n v="884.84791305656745"/>
    <n v="1387.1520869434326"/>
    <n v="0"/>
    <n v="0"/>
    <n v="629.91482754289063"/>
    <n v="1377.2949428864215"/>
    <n v="0"/>
    <n v="0"/>
    <n v="1131.9181135506869"/>
    <n v="1000"/>
    <n v="-0.46545549752377774"/>
    <n v="0.46545549752377774"/>
    <n v="0"/>
    <n v="0.44014084507042239"/>
    <n v="2148.4331054633535"/>
  </r>
  <r>
    <x v="284"/>
    <x v="1"/>
    <n v="10.5"/>
    <n v="16378.198907529601"/>
    <m/>
    <m/>
    <m/>
    <m/>
    <n v="2106.981182242208"/>
    <n v="2138.133057836189"/>
    <n v="2937.8939851126711"/>
    <n v="2885.1732791453628"/>
    <n v="0"/>
    <n v="607.92488882061764"/>
    <n v="7596.5672112845996"/>
    <x v="271"/>
    <d v="2021-10-29T16:20:00"/>
    <n v="61068.951813076463"/>
    <n v="5.8111467425296031"/>
    <n v="1.3822032647065097"/>
    <n v="2156.0000000000005"/>
    <n v="0"/>
    <n v="0"/>
    <n v="0"/>
    <n v="0"/>
    <n v="277.35964464479633"/>
    <n v="281.46042789696122"/>
    <n v="386.73968167470025"/>
    <n v="379.79961196940064"/>
    <n v="0"/>
    <n v="80.02626343087617"/>
    <n v="1000"/>
    <n v="-5883.0194826894112"/>
    <n v="8039.0194826894112"/>
    <n v="0.46382189239332083"/>
    <n v="0"/>
    <n v="0.12439327982141615"/>
  </r>
  <r>
    <x v="285"/>
    <x v="5"/>
    <n v="16.666666666666661"/>
    <n v="22622.108277291842"/>
    <m/>
    <m/>
    <m/>
    <m/>
    <n v="2440.2054307819371"/>
    <n v="2593.8308402426042"/>
    <n v="3483.802491046572"/>
    <n v="3389.5304759993651"/>
    <n v="0"/>
    <n v="1666.7548613688371"/>
    <n v="13091.497845655"/>
    <x v="272"/>
    <d v="2021-10-30T19:55:00"/>
    <n v="22520.167730092009"/>
    <n v="7.2811204284852664"/>
    <n v="1.273090891749888"/>
    <n v="1728.0000000000002"/>
    <n v="0"/>
    <n v="0"/>
    <n v="0"/>
    <n v="0"/>
    <n v="186.39619847562582"/>
    <n v="198.13094504716918"/>
    <n v="266.11183320041778"/>
    <n v="258.91082257820733"/>
    <n v="0"/>
    <n v="127.31582596731087"/>
    <n v="1000"/>
    <n v="7.7867749284066576"/>
    <n v="1720.2132250715936"/>
    <n v="0.57870370370370361"/>
    <n v="0"/>
    <n v="0.58132328331470706"/>
  </r>
  <r>
    <x v="286"/>
    <x v="3"/>
    <n v="20.25"/>
    <n v="27355.37658863973"/>
    <m/>
    <m/>
    <m/>
    <m/>
    <n v="3721.536053464426"/>
    <n v="3803.183986272335"/>
    <n v="5203.2960473011353"/>
    <n v="5202.2716223739781"/>
    <n v="0"/>
    <n v="2322.509352763921"/>
    <n v="11806.37746596449"/>
    <x v="273"/>
    <d v="2021-11-02T03:15:00"/>
    <n v="27526.101937330699"/>
    <n v="6.8720524378906838"/>
    <n v="1.7151747060753264"/>
    <n v="2317.0000000000005"/>
    <n v="0"/>
    <n v="0"/>
    <n v="0"/>
    <n v="0"/>
    <n v="315.21404971109024"/>
    <n v="322.12962843481682"/>
    <n v="440.71909968161145"/>
    <n v="440.63233090515052"/>
    <n v="0"/>
    <n v="196.71650846834839"/>
    <n v="999.99999999999989"/>
    <n v="-14.460434556081509"/>
    <n v="2331.460434556082"/>
    <n v="0.43159257660768224"/>
    <n v="0"/>
    <n v="0.42891570672971918"/>
  </r>
  <r>
    <x v="287"/>
    <x v="7"/>
    <n v="52.666666666666671"/>
    <n v="103093.7920103209"/>
    <m/>
    <m/>
    <m/>
    <m/>
    <n v="-13503.253229948899"/>
    <n v="14434.914954063701"/>
    <n v="0"/>
    <n v="8.2409513281973545"/>
    <n v="46106.231826343021"/>
    <n v="29343.473062335321"/>
    <n v="45576.389040813847"/>
    <x v="273"/>
    <d v="2021-11-24T17:05:00"/>
    <n v="1251865.635312262"/>
    <n v="7.5254304444735194"/>
    <n v="1.1555690956451914"/>
    <n v="2261.9999999999995"/>
    <n v="0"/>
    <n v="0"/>
    <n v="0"/>
    <n v="0"/>
    <n v="-296.27738208607707"/>
    <n v="316.7191446680248"/>
    <n v="0"/>
    <n v="0.18081624063761498"/>
    <n v="1011.6253787691408"/>
    <n v="643.83058157718722"/>
    <n v="1000"/>
    <n v="-25205.415950640829"/>
    <n v="27467.415950640829"/>
    <n v="0.44208664898320077"/>
    <n v="0"/>
    <n v="3.6406773822372236E-2"/>
  </r>
  <r>
    <x v="288"/>
    <x v="9"/>
    <n v="19.416666666666671"/>
    <n v="36919.670274730743"/>
    <m/>
    <m/>
    <m/>
    <m/>
    <n v="3970.044918402763"/>
    <n v="3825.9239061112889"/>
    <n v="1556.5484974932299"/>
    <n v="1635.791874755163"/>
    <n v="15240.280434016569"/>
    <n v="10079.97804002482"/>
    <n v="23942.71742848945"/>
    <x v="274"/>
    <d v="2021-11-03T19:45:00"/>
    <n v="37237.576507838239"/>
    <n v="8.5886051323556334"/>
    <n v="0.81096336389798307"/>
    <n v="1542.0000000000005"/>
    <n v="0"/>
    <n v="0"/>
    <n v="0"/>
    <n v="0"/>
    <n v="165.81429949462648"/>
    <n v="159.79489034769381"/>
    <n v="65.011354794718997"/>
    <n v="68.321061702408656"/>
    <n v="636.53094012971781"/>
    <n v="421.00392614710688"/>
    <n v="1000"/>
    <n v="-13.277784113561893"/>
    <n v="1555.2777841135623"/>
    <n v="0.64850843060959773"/>
    <n v="0"/>
    <n v="0.6429719566591473"/>
  </r>
  <r>
    <x v="289"/>
    <x v="1"/>
    <n v="43.166666666666657"/>
    <n v="81327.139282255244"/>
    <m/>
    <m/>
    <m/>
    <m/>
    <n v="-19180.14117678512"/>
    <n v="8611.610266862459"/>
    <n v="0"/>
    <n v="47.147117547702067"/>
    <n v="38838.193619286692"/>
    <n v="25546.055237422399"/>
    <n v="37721.30764483082"/>
    <x v="275"/>
    <d v="2021-11-06T10:50:00"/>
    <n v="143768.58708219579"/>
    <n v="7.9250646694115039"/>
    <n v="1.1443576419223644"/>
    <n v="2156"/>
    <n v="0"/>
    <n v="0"/>
    <n v="0"/>
    <n v="0"/>
    <n v="-508.46967865954906"/>
    <n v="228.29564520790308"/>
    <n v="0"/>
    <n v="1.2498802531349393"/>
    <n v="1029.6088880314553"/>
    <n v="677.23143317178005"/>
    <n v="1000.0000000000001"/>
    <n v="-1655.3362462368736"/>
    <n v="3811.3362462368736"/>
    <n v="0.463821892393321"/>
    <n v="0"/>
    <n v="0.26237517117188253"/>
  </r>
  <r>
    <x v="290"/>
    <x v="2"/>
    <n v="94.000000000000014"/>
    <n v="199464.6191833108"/>
    <m/>
    <m/>
    <m/>
    <m/>
    <n v="7235.9496164128141"/>
    <n v="30380.303184248201"/>
    <n v="655.74787051026237"/>
    <n v="568.13612314896739"/>
    <n v="77073.532093574642"/>
    <n v="62484.486186184127"/>
    <n v="92420.986837810458"/>
    <x v="275"/>
    <d v="2021-11-27T18:15:00"/>
    <n v="1344932.307403594"/>
    <n v="7.5570958612721926"/>
    <n v="1.0170850065143815"/>
    <n v="2158.217803206875"/>
    <n v="0"/>
    <n v="0"/>
    <n v="0"/>
    <n v="0"/>
    <n v="78.29336024198895"/>
    <n v="328.71649853255281"/>
    <n v="7.0952268845715087"/>
    <n v="6.1472631118513066"/>
    <n v="833.9397222497845"/>
    <n v="676.08546850768994"/>
    <n v="1000"/>
    <n v="-12394.021395058937"/>
    <n v="14552.239198265812"/>
    <n v="0.46334526502103246"/>
    <n v="0"/>
    <n v="6.8717946865467269E-2"/>
  </r>
  <r>
    <x v="291"/>
    <x v="10"/>
    <n v="76.25"/>
    <n v="168144.57817613531"/>
    <m/>
    <m/>
    <m/>
    <m/>
    <n v="28228.092688129971"/>
    <n v="28915.284852047938"/>
    <n v="1.8682311858608891"/>
    <n v="58.728978903182849"/>
    <n v="78259.24038045315"/>
    <n v="49492.909198562527"/>
    <n v="77989.136445331766"/>
    <x v="276"/>
    <d v="2021-11-26T18:40:00"/>
    <n v="1086645.8382567191"/>
    <n v="7.5066507250254482"/>
    <n v="0.97770027308161245"/>
    <n v="2156"/>
    <n v="0"/>
    <n v="0"/>
    <n v="0"/>
    <n v="0"/>
    <n v="361.94903514436385"/>
    <n v="370.76041830924436"/>
    <n v="2.395501823732165E-2"/>
    <n v="0.75304050769109676"/>
    <n v="1003.4633533262768"/>
    <n v="634.61286346279383"/>
    <n v="1000"/>
    <n v="-11777.297479430714"/>
    <n v="13933.297479430714"/>
    <n v="0.46382189239332089"/>
    <n v="0"/>
    <n v="7.1770519611475209E-2"/>
  </r>
  <r>
    <x v="292"/>
    <x v="15"/>
    <n v="42.416666666666671"/>
    <n v="77832.948807442794"/>
    <m/>
    <m/>
    <m/>
    <m/>
    <n v="14296.91384606646"/>
    <n v="15384.326326906579"/>
    <n v="0"/>
    <n v="-70.524692573833647"/>
    <n v="48142.223917515148"/>
    <n v="35327.955636260711"/>
    <n v="33592.122920778071"/>
    <x v="277"/>
    <d v="2021-11-11T04:00:00"/>
    <n v="84480.919726088556"/>
    <n v="7.7147903817049706"/>
    <n v="1.2626968163548327"/>
    <n v="2317.0000000000005"/>
    <n v="0"/>
    <n v="0"/>
    <n v="0"/>
    <n v="0"/>
    <n v="425.6031653546745"/>
    <n v="457.9742210156881"/>
    <n v="0"/>
    <n v="-2.099441370232999"/>
    <n v="1433.1402641938198"/>
    <n v="1051.6738022058428"/>
    <n v="1000.0000000000001"/>
    <n v="-197.90267302617303"/>
    <n v="2514.9026730261735"/>
    <n v="0.4315925766076823"/>
    <n v="0"/>
    <n v="0.39762970182726937"/>
  </r>
  <r>
    <x v="293"/>
    <x v="1"/>
    <n v="255.33333333333329"/>
    <n v="554416.89650578087"/>
    <m/>
    <m/>
    <m/>
    <m/>
    <n v="20076.558454312009"/>
    <n v="81714.6001480251"/>
    <n v="6160.6902006892233"/>
    <n v="6730.8666537818544"/>
    <n v="225058.3959425033"/>
    <n v="145181.50266790029"/>
    <n v="257150.69411214319"/>
    <x v="278"/>
    <d v="2021-11-29T06:50:00"/>
    <n v="1075419.5183815169"/>
    <n v="7.4837883731121844"/>
    <n v="0.9929327012509741"/>
    <n v="2156.0000000000005"/>
    <n v="0"/>
    <n v="0"/>
    <n v="0"/>
    <n v="0"/>
    <n v="78.073125657427312"/>
    <n v="317.76931588755281"/>
    <n v="23.957509513867198"/>
    <n v="26.174794810573328"/>
    <n v="875.20042175875108"/>
    <n v="564.57752591010615"/>
    <n v="1000"/>
    <n v="-2026.0595588691172"/>
    <n v="4182.0595588691176"/>
    <n v="0.46382189239332083"/>
    <n v="0"/>
    <n v="0.23911663282729834"/>
  </r>
  <r>
    <x v="294"/>
    <x v="1"/>
    <n v="33.166666666666657"/>
    <n v="71986.957262097611"/>
    <m/>
    <m/>
    <m/>
    <m/>
    <n v="-18042.02086937031"/>
    <n v="10626.35517291398"/>
    <n v="0"/>
    <n v="70.698731942542281"/>
    <n v="29927.778241251279"/>
    <n v="13748.92189531503"/>
    <n v="33389.126744943227"/>
    <x v="279"/>
    <d v="2021-11-30T16:10:00"/>
    <n v="79949.945699575605"/>
    <n v="7.4963200907056189"/>
    <n v="0.99333734961156894"/>
    <n v="2156.0000000000005"/>
    <n v="0"/>
    <n v="0"/>
    <n v="0"/>
    <n v="0"/>
    <n v="-540.35617664372637"/>
    <n v="318.25795427618777"/>
    <n v="0"/>
    <n v="2.1174178193579016"/>
    <n v="896.3330628520805"/>
    <n v="411.77842117111675"/>
    <n v="1000"/>
    <n v="-238.49046722026014"/>
    <n v="2394.4904672202606"/>
    <n v="0.46382189239332089"/>
    <n v="0"/>
    <n v="0.41762538364201124"/>
  </r>
  <r>
    <x v="295"/>
    <x v="11"/>
    <n v="6.666666666666667"/>
    <n v="15965.770260925819"/>
    <m/>
    <m/>
    <m/>
    <m/>
    <n v="2912.6524745974011"/>
    <n v="3029.5135689513309"/>
    <n v="0"/>
    <n v="13.050888215339279"/>
    <n v="8400.513360065137"/>
    <n v="1423.356704706805"/>
    <n v="7405.2737759396196"/>
    <x v="280"/>
    <d v="2021-11-30T13:40:00"/>
    <n v="15963.44246320608"/>
    <n v="7.2343182952863936"/>
    <n v="0.90025931091531664"/>
    <n v="2156"/>
    <n v="0"/>
    <n v="0"/>
    <n v="0"/>
    <n v="0"/>
    <n v="393.32137645752721"/>
    <n v="409.10216969890905"/>
    <n v="0"/>
    <n v="1.7623775447361247"/>
    <n v="1134.3960553300726"/>
    <n v="192.20851892490663"/>
    <n v="1000"/>
    <n v="0.31434323566827516"/>
    <n v="2155.6856567643317"/>
    <n v="0.463821892393321"/>
    <n v="0"/>
    <n v="0.46388952714979453"/>
  </r>
  <r>
    <x v="296"/>
    <x v="10"/>
    <n v="8.1666666666666661"/>
    <n v="21034.250157744369"/>
    <m/>
    <m/>
    <m/>
    <m/>
    <n v="3677.155767930969"/>
    <n v="3752.7572062180311"/>
    <n v="0"/>
    <n v="-6.7129644436860758"/>
    <n v="1.059552760978292"/>
    <n v="2140.3373236070802"/>
    <n v="9756.1457132395026"/>
    <x v="280"/>
    <d v="2021-11-30T15:10:00"/>
    <n v="19556.657488452471"/>
    <n v="7.2644809406849138"/>
    <n v="0.83707920183932405"/>
    <n v="2156.0000000000005"/>
    <n v="0"/>
    <n v="0"/>
    <n v="0"/>
    <n v="0"/>
    <n v="376.90660595002316"/>
    <n v="384.65571512788915"/>
    <n v="0"/>
    <n v="-0.68807545940773507"/>
    <n v="0.10860362197547277"/>
    <n v="219.38349287901181"/>
    <n v="1000"/>
    <n v="151.45250109238782"/>
    <n v="2004.5474989076126"/>
    <n v="0.46382189239332094"/>
    <n v="0"/>
    <n v="0.49886570437714978"/>
  </r>
  <r>
    <x v="297"/>
    <x v="1"/>
    <n v="3.666666666666667"/>
    <n v="6529.4086634151399"/>
    <m/>
    <m/>
    <m/>
    <m/>
    <n v="643.67440563201944"/>
    <n v="623.77805817680132"/>
    <n v="3572.7463166499679"/>
    <n v="3679.7419964506298"/>
    <n v="0"/>
    <n v="4123.5715366189252"/>
    <n v="3028.4826824745551"/>
    <x v="281"/>
    <d v="2022-01-02T04:40:00"/>
    <n v="6219.2357982001949"/>
    <n v="8.2992780330550939"/>
    <n v="1.2107273017888469"/>
    <n v="2155.9999999999995"/>
    <n v="0"/>
    <n v="0"/>
    <n v="0"/>
    <n v="0"/>
    <n v="212.54022991674395"/>
    <n v="205.97048871585952"/>
    <n v="1179.714956709179"/>
    <n v="1215.0447541750295"/>
    <n v="0"/>
    <n v="1361.5965382537963"/>
    <n v="1000"/>
    <n v="102.41856986994708"/>
    <n v="2053.5814301300525"/>
    <n v="0.463821892393321"/>
    <n v="0"/>
    <n v="0.48695415011454907"/>
  </r>
  <r>
    <x v="298"/>
    <x v="11"/>
    <n v="18.083333333333329"/>
    <n v="32197.931116079839"/>
    <m/>
    <m/>
    <m/>
    <m/>
    <n v="4139.1978308486869"/>
    <n v="4159.0879358939164"/>
    <n v="7098.0860226836239"/>
    <n v="6850.0564407950578"/>
    <n v="4188.0631068860121"/>
    <n v="16211.9627602447"/>
    <n v="14934.105341409941"/>
    <x v="282"/>
    <d v="2022-01-02T01:05:00"/>
    <n v="30667.381041177749"/>
    <n v="7.8267277694713364"/>
    <n v="1.210874901437254"/>
    <n v="2156.0000000000005"/>
    <n v="0"/>
    <n v="0"/>
    <n v="0"/>
    <n v="0"/>
    <n v="277.16409762902487"/>
    <n v="278.49595545314759"/>
    <n v="475.29368920424986"/>
    <n v="458.68542401404665"/>
    <n v="280.43615677955393"/>
    <n v="1085.566385774142"/>
    <n v="1000"/>
    <n v="102.48689425392695"/>
    <n v="2053.5131057460735"/>
    <n v="0.46382189239332089"/>
    <n v="0"/>
    <n v="0.48697035202835215"/>
  </r>
  <r>
    <x v="299"/>
    <x v="8"/>
    <n v="8.25"/>
    <n v="14916.139834473741"/>
    <m/>
    <m/>
    <m/>
    <m/>
    <n v="1389.1620938344861"/>
    <n v="1421.734130634911"/>
    <n v="8276.9473187466938"/>
    <n v="8318.4154254877649"/>
    <n v="0"/>
    <n v="9409.1221875884712"/>
    <n v="6594.2262751873304"/>
    <x v="283"/>
    <d v="2022-01-02T14:15:00"/>
    <n v="14206.54821982246"/>
    <n v="8.0970980551554543"/>
    <n v="1.2510944659334777"/>
    <n v="2262"/>
    <n v="0"/>
    <n v="0"/>
    <n v="0"/>
    <n v="0"/>
    <n v="210.66339489465312"/>
    <n v="215.60287307467655"/>
    <n v="1255.180967915991"/>
    <n v="1261.469515656172"/>
    <n v="0"/>
    <n v="1426.8728119010709"/>
    <n v="1000"/>
    <n v="107.60801723188115"/>
    <n v="2154.3919827681189"/>
    <n v="0.44208664898320071"/>
    <n v="0"/>
    <n v="0.46416808454472969"/>
  </r>
  <r>
    <x v="300"/>
    <x v="12"/>
    <n v="21.5"/>
    <n v="43601.998459764109"/>
    <m/>
    <m/>
    <m/>
    <m/>
    <n v="-21596.40569650511"/>
    <n v="4929.1250740568476"/>
    <n v="11920.346978751521"/>
    <n v="11892.62622453961"/>
    <n v="0"/>
    <n v="5403.0893108461496"/>
    <n v="18818.298860493789"/>
    <x v="284"/>
    <d v="2022-01-04T07:55:00"/>
    <n v="74298.90956104103"/>
    <n v="7.1454322810462747"/>
    <n v="1.1425049713253328"/>
    <n v="2317"/>
    <n v="0"/>
    <n v="0"/>
    <n v="0"/>
    <n v="0"/>
    <n v="-1147.6279474891082"/>
    <n v="261.93255355322316"/>
    <n v="633.44445037890807"/>
    <n v="631.97137598374547"/>
    <n v="0"/>
    <n v="287.11890223983687"/>
    <n v="1000.0000000000001"/>
    <n v="-1631.2266761646824"/>
    <n v="3948.2266761646824"/>
    <n v="0.43159257660768235"/>
    <n v="0"/>
    <n v="0.25327826440081769"/>
  </r>
  <r>
    <x v="301"/>
    <x v="3"/>
    <n v="33.583333333333329"/>
    <n v="70040.677713397279"/>
    <m/>
    <m/>
    <m/>
    <m/>
    <n v="10110.52413918232"/>
    <n v="11675.28721811904"/>
    <n v="13608.63301805972"/>
    <n v="12288.52010729772"/>
    <n v="0"/>
    <n v="5005.083813498939"/>
    <n v="30229.036561673409"/>
    <x v="285"/>
    <d v="2022-01-06T00:20:00"/>
    <n v="67365.405117807633"/>
    <n v="7.9244839505902824"/>
    <n v="1.1109627415619572"/>
    <n v="2316.9999999999995"/>
    <n v="0"/>
    <n v="0"/>
    <n v="0"/>
    <n v="0"/>
    <n v="334.46398857452124"/>
    <n v="386.22756614485775"/>
    <n v="450.18414630235827"/>
    <n v="406.51378624742568"/>
    <n v="0"/>
    <n v="165.57205861614366"/>
    <n v="1000"/>
    <n v="88.500094607102255"/>
    <n v="2228.4999053928973"/>
    <n v="0.43159257660768241"/>
    <n v="0"/>
    <n v="0.44873235021461405"/>
  </r>
  <r>
    <x v="302"/>
    <x v="12"/>
    <n v="18.666666666666671"/>
    <n v="23782.7109435571"/>
    <m/>
    <m/>
    <m/>
    <m/>
    <n v="3356.6846582054809"/>
    <n v="3360.5662456209811"/>
    <n v="6159.6507598136614"/>
    <n v="6105.1216161636712"/>
    <n v="0"/>
    <n v="1325.724987329733"/>
    <n v="10264.441494845531"/>
    <x v="286"/>
    <d v="2022-01-11T11:35:00"/>
    <n v="35908.617973700893"/>
    <n v="8.2452302433444995"/>
    <n v="1.8185759718188725"/>
    <n v="2317.0000000000005"/>
    <n v="0"/>
    <n v="0"/>
    <n v="0"/>
    <n v="0"/>
    <n v="327.02068202065345"/>
    <n v="327.39884067813614"/>
    <n v="600.09604642462409"/>
    <n v="594.78361479574562"/>
    <n v="0"/>
    <n v="129.15705038559275"/>
    <n v="1000"/>
    <n v="-1181.350883653342"/>
    <n v="3498.3508836533424"/>
    <n v="0.43159257660768224"/>
    <n v="0"/>
    <n v="0.28584897091731859"/>
  </r>
  <r>
    <x v="303"/>
    <x v="3"/>
    <n v="36.75"/>
    <n v="47836.86536817639"/>
    <m/>
    <m/>
    <m/>
    <m/>
    <n v="7255.4534306160504"/>
    <n v="7985.9572108935481"/>
    <n v="12068.86077919216"/>
    <n v="11210.912323434801"/>
    <n v="0"/>
    <n v="5017.5112091668607"/>
    <n v="20646.03598108605"/>
    <x v="287"/>
    <d v="2022-01-13T00:20:00"/>
    <n v="51256.343698831661"/>
    <n v="9.0451587334766437"/>
    <n v="1.7800027101409144"/>
    <n v="2317.0000000000009"/>
    <n v="0"/>
    <n v="0"/>
    <n v="0"/>
    <n v="0"/>
    <n v="351.4211365931364"/>
    <n v="386.80341437986101"/>
    <n v="584.5606774224608"/>
    <n v="543.00555969703726"/>
    <n v="0"/>
    <n v="243.02540273413413"/>
    <n v="1000"/>
    <n v="-165.62396451250333"/>
    <n v="2482.6239645125042"/>
    <n v="0.43159257660768224"/>
    <n v="0"/>
    <n v="0.40279962422596011"/>
  </r>
  <r>
    <x v="304"/>
    <x v="17"/>
    <n v="292.75"/>
    <n v="0"/>
    <n v="507699.58912666672"/>
    <n v="53474.015406359991"/>
    <n v="454225.57372030691"/>
    <m/>
    <n v="0"/>
    <n v="128829.0044222321"/>
    <n v="329382.70944171562"/>
    <n v="0"/>
    <n v="0"/>
    <n v="272120.69007624529"/>
    <n v="223459.32620011739"/>
    <x v="288"/>
    <d v="2022-01-28T11:50:00"/>
    <n v="100.72823544698539"/>
    <n v="5.0037370563782364"/>
    <n v="1.3100818165800332"/>
    <n v="0"/>
    <n v="2272"/>
    <n v="239.30088896120506"/>
    <n v="2032.699111038796"/>
    <n v="0"/>
    <n v="0"/>
    <n v="576.52104574440636"/>
    <n v="1474.016390556639"/>
    <n v="0"/>
    <n v="0"/>
    <n v="1217.7638530626803"/>
    <n v="1000"/>
    <n v="-0.45076765047066752"/>
    <n v="0.45076765047066752"/>
    <n v="0"/>
    <n v="0.4401408450704225"/>
    <n v="2218.4378114885872"/>
  </r>
  <r>
    <x v="305"/>
    <x v="24"/>
    <n v="77.5"/>
    <n v="0"/>
    <n v="118987.9559413628"/>
    <n v="49488.433227131492"/>
    <n v="69499.522714231294"/>
    <n v="13164.66177126253"/>
    <n v="7219.1789584210537"/>
    <n v="29846.472648462928"/>
    <n v="91002.85341898218"/>
    <n v="28280.132831661551"/>
    <n v="0"/>
    <n v="74305.312916417373"/>
    <n v="57910.875421834047"/>
    <x v="289"/>
    <d v="2022-02-05T18:45:00"/>
    <n v="29.708788646055439"/>
    <n v="5.0041666030883789"/>
    <n v="1.3382633129869816"/>
    <n v="0"/>
    <n v="2054.6737564340283"/>
    <n v="854.5619949042067"/>
    <n v="1200.1117615298215"/>
    <n v="227.32624356597239"/>
    <n v="124.66015935409634"/>
    <n v="515.38631441944949"/>
    <n v="1571.4294207452356"/>
    <n v="488.33889361304904"/>
    <n v="0"/>
    <n v="1283.0977320781817"/>
    <n v="1000"/>
    <n v="-0.51300879894580875"/>
    <n v="0.51300879894580875"/>
    <n v="0"/>
    <n v="0.43821209465381233"/>
    <n v="1949.2843047817473"/>
  </r>
  <r>
    <x v="306"/>
    <x v="17"/>
    <n v="26.583333333333339"/>
    <n v="0"/>
    <n v="43983.944583333403"/>
    <n v="18513.02916833336"/>
    <n v="25470.91541500004"/>
    <m/>
    <n v="0"/>
    <n v="11952.24048321223"/>
    <n v="29447.702865921379"/>
    <n v="0"/>
    <n v="0"/>
    <n v="25360.699762275552"/>
    <n v="19359.130538439"/>
    <x v="290"/>
    <d v="2022-02-06T21:20:00"/>
    <n v="7.4279421019509124"/>
    <n v="5.0041666030883789"/>
    <n v="1.3731677298497547"/>
    <n v="0"/>
    <n v="2271.9999999999995"/>
    <n v="956.2944540083738"/>
    <n v="1315.7055459916257"/>
    <n v="0"/>
    <n v="0"/>
    <n v="617.39552091351231"/>
    <n v="1521.127346470998"/>
    <n v="0"/>
    <n v="0"/>
    <n v="1310.0123330394404"/>
    <n v="999.99999999999989"/>
    <n v="-0.38369192703164945"/>
    <n v="0.38369192703164945"/>
    <n v="0"/>
    <n v="0.44014084507042256"/>
    <n v="2606.2575976937701"/>
  </r>
  <r>
    <x v="307"/>
    <x v="1"/>
    <n v="7.75"/>
    <n v="16798.947013584981"/>
    <m/>
    <m/>
    <m/>
    <m/>
    <n v="-17867.409034131972"/>
    <n v="1629.7715787016409"/>
    <n v="1733.058184568147"/>
    <n v="-27810.61105946458"/>
    <n v="0"/>
    <n v="353.97018942025051"/>
    <n v="7791.7193940561147"/>
    <x v="291"/>
    <d v="2022-02-07T14:45:00"/>
    <n v="1064.621871135331"/>
    <n v="5.0041666030883789"/>
    <n v="0.99464567549905092"/>
    <n v="2155.9999999999995"/>
    <n v="0"/>
    <n v="0"/>
    <n v="0"/>
    <n v="0"/>
    <n v="-2293.1278875060693"/>
    <n v="209.16712939443204"/>
    <n v="222.42307466696045"/>
    <n v="-3569.2521320364549"/>
    <n v="0"/>
    <n v="45.429021698378328"/>
    <n v="1000"/>
    <n v="2019.3649625591654"/>
    <n v="136.63503744083417"/>
    <n v="0.46382189239332106"/>
    <n v="0"/>
    <n v="7.318766977562551"/>
  </r>
  <r>
    <x v="308"/>
    <x v="12"/>
    <n v="87.916666666666671"/>
    <n v="164960.67555680699"/>
    <m/>
    <m/>
    <m/>
    <m/>
    <n v="22547.475406330821"/>
    <n v="22451.87492231109"/>
    <n v="33677.145962955241"/>
    <n v="13061.404985690249"/>
    <n v="0"/>
    <n v="15004.66071694598"/>
    <n v="71195.803002506247"/>
    <x v="291"/>
    <d v="2022-02-12T02:00:00"/>
    <n v="198354.97706301001"/>
    <n v="8.2503956714681106"/>
    <n v="1.2348574348346322"/>
    <n v="2317"/>
    <n v="0"/>
    <n v="0"/>
    <n v="0"/>
    <n v="0"/>
    <n v="316.69669356123563"/>
    <n v="315.35391098153264"/>
    <n v="473.02150608189271"/>
    <n v="183.45751343278562"/>
    <n v="0"/>
    <n v="210.75203992597406"/>
    <n v="999.99999999999989"/>
    <n v="-469.04873739576306"/>
    <n v="2786.0487373957631"/>
    <n v="0.4315925766076823"/>
    <n v="0"/>
    <n v="0.35893126583806356"/>
  </r>
  <r>
    <x v="309"/>
    <x v="3"/>
    <n v="56.916666666666657"/>
    <n v="106633.8360354086"/>
    <m/>
    <m/>
    <m/>
    <m/>
    <n v="-13013.338997291859"/>
    <n v="14272.20193444287"/>
    <n v="21444.247907703961"/>
    <n v="21374.44086583396"/>
    <n v="14.45352213870642"/>
    <n v="9782.5547074618953"/>
    <n v="46022.372048083103"/>
    <x v="292"/>
    <d v="2022-02-14T10:55:00"/>
    <n v="93986.435745188151"/>
    <n v="7.5680598017838117"/>
    <n v="1.2367173644852867"/>
    <n v="2317.0000000000009"/>
    <n v="0"/>
    <n v="0"/>
    <n v="0"/>
    <n v="0"/>
    <n v="-282.76115328640219"/>
    <n v="310.11443563864128"/>
    <n v="465.95268677806331"/>
    <n v="464.4358800868074"/>
    <n v="0.31405426307895901"/>
    <n v="212.56085403945085"/>
    <n v="1000"/>
    <n v="274.80983111880323"/>
    <n v="2042.1901688811977"/>
    <n v="0.43159257660768213"/>
    <n v="0"/>
    <n v="0.48967036235799932"/>
  </r>
  <r>
    <x v="310"/>
    <x v="7"/>
    <n v="11.25"/>
    <n v="23640.782286823109"/>
    <m/>
    <m/>
    <m/>
    <m/>
    <n v="2926.5657069969179"/>
    <n v="3053.0149515998319"/>
    <n v="0"/>
    <n v="55.73892744051534"/>
    <n v="5230.476082422605"/>
    <n v="0.68047258976620673"/>
    <n v="10451.274220523041"/>
    <x v="293"/>
    <d v="2022-02-14T18:15:00"/>
    <n v="20246.184130386071"/>
    <n v="7.5099146929141201"/>
    <n v="1.0764237702144024"/>
    <n v="2261.9999999999991"/>
    <n v="0"/>
    <n v="0"/>
    <n v="0"/>
    <n v="0"/>
    <n v="280.01999040940444"/>
    <n v="292.11892130862503"/>
    <n v="0"/>
    <n v="5.333218348731247"/>
    <n v="500.46300308067532"/>
    <n v="6.5109055164773208E-2"/>
    <n v="1000"/>
    <n v="324.80232408131701"/>
    <n v="1937.1976759186821"/>
    <n v="0.44208664898320088"/>
    <n v="0"/>
    <n v="0.5162095806901934"/>
  </r>
  <r>
    <x v="311"/>
    <x v="18"/>
    <n v="4.333333333333333"/>
    <n v="8167.8500833207563"/>
    <m/>
    <m/>
    <m/>
    <m/>
    <n v="1079.88420459747"/>
    <n v="1103.2125151732321"/>
    <n v="0"/>
    <n v="26.220979397088229"/>
    <n v="2810.9334678328032"/>
    <n v="0.16100890009427191"/>
    <n v="3525.1834628056781"/>
    <x v="293"/>
    <d v="2022-02-14T11:20:00"/>
    <n v="7146.6721964952758"/>
    <n v="7.5595197386694828"/>
    <n v="1.2292504430065754"/>
    <n v="2317"/>
    <n v="0"/>
    <n v="0"/>
    <n v="0"/>
    <n v="0"/>
    <n v="306.33418543782534"/>
    <n v="312.95180146317551"/>
    <n v="0"/>
    <n v="7.4381885861393053"/>
    <n v="797.38643321434211"/>
    <n v="4.567390656205042E-2"/>
    <n v="1000"/>
    <n v="289.68077763894007"/>
    <n v="2027.3192223610599"/>
    <n v="0.43159257660768235"/>
    <n v="0"/>
    <n v="0.49326222973182204"/>
  </r>
  <r>
    <x v="312"/>
    <x v="1"/>
    <n v="6.416666666666667"/>
    <n v="17856.63788582003"/>
    <m/>
    <m/>
    <m/>
    <m/>
    <n v="1774.8448817407409"/>
    <n v="1880.517954656787"/>
    <n v="0"/>
    <n v="31.572301305331511"/>
    <n v="4413.4940871835461"/>
    <n v="3311.5762090817011"/>
    <n v="8282.2995759833157"/>
    <x v="294"/>
    <d v="2022-02-16T04:25:00"/>
    <n v="15755.63002285286"/>
    <n v="7.7423936602474637"/>
    <n v="0.77474457519907425"/>
    <n v="2156.0000000000005"/>
    <n v="0"/>
    <n v="0"/>
    <n v="0"/>
    <n v="0"/>
    <n v="214.29373152443867"/>
    <n v="227.0526364573721"/>
    <n v="0"/>
    <n v="3.8120211682373362"/>
    <n v="532.8826911769313"/>
    <n v="399.83777194977085"/>
    <n v="1000"/>
    <n v="253.6744588495194"/>
    <n v="1902.3255411504811"/>
    <n v="0.46382189239332094"/>
    <n v="0"/>
    <n v="0.52567238275906447"/>
  </r>
  <r>
    <x v="313"/>
    <x v="11"/>
    <n v="8.3333333333333339"/>
    <n v="23147.238856180069"/>
    <m/>
    <m/>
    <m/>
    <m/>
    <n v="4486.1893954466796"/>
    <n v="3150.7908632393351"/>
    <n v="0"/>
    <n v="-27.465274025168181"/>
    <n v="2326.098679304424"/>
    <n v="2255.5617223373511"/>
    <n v="10736.196129953651"/>
    <x v="295"/>
    <d v="2022-02-15T21:10:00"/>
    <n v="20408.601739420919"/>
    <n v="7.9531902906446694"/>
    <n v="0.77619048985921513"/>
    <n v="2155.9999999999995"/>
    <n v="0"/>
    <n v="0"/>
    <n v="0"/>
    <n v="0"/>
    <n v="417.85650533435688"/>
    <n v="293.47366842980142"/>
    <n v="0"/>
    <n v="-2.5581941399655443"/>
    <n v="216.65948080202088"/>
    <n v="210.08946698024681"/>
    <n v="1000"/>
    <n v="255.08449022446916"/>
    <n v="1900.9155097755304"/>
    <n v="0.463821892393321"/>
    <n v="0"/>
    <n v="0.52606230779719665"/>
  </r>
  <r>
    <x v="314"/>
    <x v="10"/>
    <n v="24.333333333333329"/>
    <n v="67774.135250311316"/>
    <m/>
    <m/>
    <m/>
    <m/>
    <n v="7779.8213054033986"/>
    <n v="8991.4269276940722"/>
    <n v="0"/>
    <n v="-0.32043481210308761"/>
    <n v="27837.348846290541"/>
    <n v="15970.58292732408"/>
    <n v="31435.12766712028"/>
    <x v="296"/>
    <d v="2022-02-17T04:00:00"/>
    <n v="59138.753976330947"/>
    <n v="8.9065547432851719"/>
    <n v="0.77408094508185799"/>
    <n v="2155.9999999999995"/>
    <n v="0"/>
    <n v="0"/>
    <n v="0"/>
    <n v="0"/>
    <n v="247.48814090361526"/>
    <n v="286.03118851331084"/>
    <n v="0"/>
    <n v="-1.0193526665337769E-2"/>
    <n v="885.54909466479273"/>
    <n v="508.04892846128269"/>
    <n v="1000"/>
    <n v="274.70482593307815"/>
    <n v="1881.2951740669214"/>
    <n v="0.463821892393321"/>
    <n v="0"/>
    <n v="0.53154869782514413"/>
  </r>
  <r>
    <x v="315"/>
    <x v="7"/>
    <n v="5.916666666666667"/>
    <n v="12817.076800442739"/>
    <m/>
    <m/>
    <m/>
    <m/>
    <n v="1481.3166916025079"/>
    <n v="1516.168443684837"/>
    <n v="0"/>
    <n v="48.027204320334249"/>
    <n v="2017.0549760926281"/>
    <n v="0.25931838141171071"/>
    <n v="5666.2585324680567"/>
    <x v="297"/>
    <d v="2022-02-15T12:55:00"/>
    <n v="12633.357645237331"/>
    <n v="7.9015048499293066"/>
    <n v="1.0441928536729757"/>
    <n v="2261.9999999999991"/>
    <n v="0"/>
    <n v="0"/>
    <n v="0"/>
    <n v="0"/>
    <n v="261.42765691230994"/>
    <n v="267.57840910312973"/>
    <n v="0"/>
    <n v="8.4759994703974435"/>
    <n v="355.97651687348224"/>
    <n v="4.5765363497941067E-2"/>
    <n v="999.99999999999989"/>
    <n v="32.423362639153311"/>
    <n v="2229.5766373608458"/>
    <n v="0.44208664898320088"/>
    <n v="0"/>
    <n v="0.44851564339304434"/>
  </r>
  <r>
    <x v="316"/>
    <x v="8"/>
    <n v="1"/>
    <n v="2530.121795506645"/>
    <m/>
    <m/>
    <m/>
    <m/>
    <n v="290.72180099935707"/>
    <n v="308.08131111283069"/>
    <n v="0"/>
    <n v="-17.906109320506399"/>
    <n v="1007.372898924207"/>
    <n v="519.93374420039277"/>
    <n v="1118.5330660948921"/>
    <x v="298"/>
    <d v="2022-02-17T07:00:00"/>
    <n v="2229.3610769634838"/>
    <n v="8.3587073541647143"/>
    <n v="0.89402810727024484"/>
    <n v="2261.9999999999991"/>
    <n v="0"/>
    <n v="0"/>
    <n v="0"/>
    <n v="0"/>
    <n v="259.91346148965198"/>
    <n v="275.43335145953949"/>
    <n v="0"/>
    <n v="-16.008565024386424"/>
    <n v="900.61968614054842"/>
    <n v="464.83538123340873"/>
    <n v="1000"/>
    <n v="268.88853594038119"/>
    <n v="1993.1114640596179"/>
    <n v="0.44208664898320088"/>
    <n v="0"/>
    <n v="0.50172808597627327"/>
  </r>
  <r>
    <x v="317"/>
    <x v="25"/>
    <n v="36.583333333333343"/>
    <n v="92733.962502290888"/>
    <m/>
    <m/>
    <m/>
    <m/>
    <n v="6666.176204249673"/>
    <n v="10900.25101763981"/>
    <n v="0"/>
    <n v="36.561310744851028"/>
    <n v="30779.130073172091"/>
    <n v="18422.85863874705"/>
    <n v="36901.696180776322"/>
    <x v="299"/>
    <d v="2022-02-18T19:35:00"/>
    <n v="81700.665039084546"/>
    <n v="8.4021452076338896"/>
    <n v="0.99137267712889499"/>
    <n v="2513"/>
    <n v="0"/>
    <n v="0"/>
    <n v="0"/>
    <n v="0"/>
    <n v="180.64687789940589"/>
    <n v="295.38617857133136"/>
    <n v="0"/>
    <n v="0.99077588644549586"/>
    <n v="834.08442588626224"/>
    <n v="499.24151314064284"/>
    <n v="1000"/>
    <n v="298.99160757152595"/>
    <n v="2214.0083924284741"/>
    <n v="0.39793076004775174"/>
    <n v="0"/>
    <n v="0.45166947127202728"/>
  </r>
  <r>
    <x v="318"/>
    <x v="7"/>
    <n v="18.333333333333329"/>
    <n v="37396.364002048082"/>
    <m/>
    <m/>
    <m/>
    <m/>
    <n v="-19463.077182828962"/>
    <n v="4287.8380074332681"/>
    <n v="0"/>
    <n v="42.487591390688813"/>
    <n v="16035.204788513969"/>
    <n v="6624.789924905408"/>
    <n v="16532.43324582143"/>
    <x v="300"/>
    <d v="2022-02-19T13:55:00"/>
    <n v="36292.040555383734"/>
    <n v="7.7126640717404653"/>
    <n v="1.1089313388255824"/>
    <n v="2262.0000000000005"/>
    <n v="0"/>
    <n v="0"/>
    <n v="0"/>
    <n v="0"/>
    <n v="-1177.2663402556459"/>
    <n v="259.35916048637415"/>
    <n v="0"/>
    <n v="2.5699539056918645"/>
    <n v="969.92406078922863"/>
    <n v="400.71475422892286"/>
    <n v="1000"/>
    <n v="66.797393356689554"/>
    <n v="2195.2026066433109"/>
    <n v="0.44208664898320066"/>
    <n v="0"/>
    <n v="0.45553881768075261"/>
  </r>
  <r>
    <x v="319"/>
    <x v="10"/>
    <n v="20.5"/>
    <n v="51303.855889706363"/>
    <m/>
    <m/>
    <m/>
    <m/>
    <n v="9102.7871176417502"/>
    <n v="6028.9809944397712"/>
    <n v="1286.465782059488"/>
    <n v="1273.363350108212"/>
    <n v="12428.700525773451"/>
    <n v="9810.0141619145033"/>
    <n v="23795.851525837828"/>
    <x v="301"/>
    <d v="2022-02-20T15:05:00"/>
    <n v="52130.430423530037"/>
    <n v="7.2062760014446132"/>
    <n v="0.86149470119784732"/>
    <n v="2156.0000000000005"/>
    <n v="0"/>
    <n v="0"/>
    <n v="0"/>
    <n v="0"/>
    <n v="382.53672526733629"/>
    <n v="253.3626917235313"/>
    <n v="54.062607537394804"/>
    <n v="53.511989210622637"/>
    <n v="522.30534857213308"/>
    <n v="412.25732776415543"/>
    <n v="1000"/>
    <n v="-34.736077123618088"/>
    <n v="2190.7360771236185"/>
    <n v="0.46382189239332094"/>
    <n v="0"/>
    <n v="0.4564675820343338"/>
  </r>
  <r>
    <x v="320"/>
    <x v="1"/>
    <n v="232.75"/>
    <n v="555614.76237126475"/>
    <m/>
    <m/>
    <m/>
    <m/>
    <n v="-15850.86181746544"/>
    <n v="67141.302078010747"/>
    <n v="3825.7809999593819"/>
    <n v="-21554.985726100811"/>
    <n v="203147.72077585841"/>
    <n v="117733.80948374281"/>
    <n v="257706.29052470531"/>
    <x v="302"/>
    <d v="2022-03-17T21:05:00"/>
    <n v="847809.56787055463"/>
    <n v="7.5427959199301799"/>
    <n v="0.90315994819570444"/>
    <n v="2156"/>
    <n v="0"/>
    <n v="0"/>
    <n v="0"/>
    <n v="0"/>
    <n v="-61.507469550673925"/>
    <n v="260.53419938375225"/>
    <n v="14.845508785097424"/>
    <n v="-83.641674722854376"/>
    <n v="788.2916647561749"/>
    <n v="456.85268001813142"/>
    <n v="1000"/>
    <n v="-1133.8287664781642"/>
    <n v="3289.8287664781642"/>
    <n v="0.46382189239332089"/>
    <n v="0"/>
    <n v="0.3039671882590177"/>
  </r>
  <r>
    <x v="321"/>
    <x v="11"/>
    <n v="56.499999999999993"/>
    <n v="143872.8969977698"/>
    <m/>
    <m/>
    <m/>
    <m/>
    <n v="-10293.11434643589"/>
    <n v="20641.866344407608"/>
    <n v="0"/>
    <n v="71.508555990291711"/>
    <n v="50323.079235456491"/>
    <n v="25140.637630161891"/>
    <n v="66731.39934961492"/>
    <x v="303"/>
    <d v="2022-02-23T18:10:00"/>
    <n v="152791.78803978991"/>
    <n v="7.8178066232502603"/>
    <n v="0.8466778840346022"/>
    <n v="2156.0000000000005"/>
    <n v="0"/>
    <n v="0"/>
    <n v="0"/>
    <n v="0"/>
    <n v="-154.24694291976192"/>
    <n v="309.32764104439121"/>
    <n v="0"/>
    <n v="1.0715878385173465"/>
    <n v="754.11395124215812"/>
    <n v="376.74374994665789"/>
    <n v="1000"/>
    <n v="-133.65358929898684"/>
    <n v="2289.6535892989873"/>
    <n v="0.46382189239332083"/>
    <n v="0"/>
    <n v="0.43674728992789053"/>
  </r>
  <r>
    <x v="322"/>
    <x v="9"/>
    <n v="13.41666666666667"/>
    <n v="34159.320018407438"/>
    <m/>
    <m/>
    <m/>
    <m/>
    <n v="4598.7240310011257"/>
    <n v="4540.2413882918181"/>
    <n v="0"/>
    <n v="32.624444705710687"/>
    <n v="12377.82394029062"/>
    <n v="6222.3034084241408"/>
    <n v="22152.607015828431"/>
    <x v="304"/>
    <d v="2022-02-24T20:25:00"/>
    <n v="30067.961082322421"/>
    <n v="8.4063167685705924"/>
    <n v="0.60564730178620618"/>
    <n v="1541.9999999999998"/>
    <n v="0"/>
    <n v="0"/>
    <n v="0"/>
    <n v="0"/>
    <n v="207.59290442498508"/>
    <n v="204.95291525045945"/>
    <n v="0"/>
    <n v="1.4727135583816362"/>
    <n v="558.75247240410329"/>
    <n v="280.88357293469767"/>
    <n v="1000"/>
    <n v="184.68972672885252"/>
    <n v="1357.3102732711473"/>
    <n v="0.64850843060959795"/>
    <n v="0"/>
    <n v="0.73675122018341344"/>
  </r>
  <r>
    <x v="323"/>
    <x v="11"/>
    <n v="10.33333333333333"/>
    <n v="19893.889511837089"/>
    <m/>
    <m/>
    <m/>
    <m/>
    <n v="2529.619630827558"/>
    <n v="2547.8568060550328"/>
    <n v="684.21825316011234"/>
    <n v="728.79687156184764"/>
    <n v="4987.1661832472109"/>
    <n v="3466.3453915912228"/>
    <n v="9227.2214804439209"/>
    <x v="305"/>
    <d v="2022-03-01T17:20:00"/>
    <n v="17941.95021097047"/>
    <n v="8.8629098247192264"/>
    <n v="1.1198748567197279"/>
    <n v="2155.9999999999995"/>
    <n v="0"/>
    <n v="0"/>
    <n v="0"/>
    <n v="0"/>
    <n v="274.14749241565386"/>
    <n v="276.12394602805779"/>
    <n v="74.152143698971301"/>
    <n v="78.983350850139701"/>
    <n v="540.48406595820427"/>
    <n v="375.66513374993326"/>
    <n v="1000"/>
    <n v="211.54139466615607"/>
    <n v="1944.4586053338435"/>
    <n v="0.46382189239332106"/>
    <n v="0"/>
    <n v="0.51428196890224376"/>
  </r>
  <r>
    <x v="324"/>
    <x v="7"/>
    <n v="19.416666666666671"/>
    <n v="48952.551409298132"/>
    <m/>
    <m/>
    <m/>
    <m/>
    <n v="5876.0125516016187"/>
    <n v="5835.7504735353714"/>
    <n v="938.35919613492797"/>
    <n v="916.22003105491967"/>
    <n v="10862.891019678311"/>
    <n v="5707.6491210073491"/>
    <n v="21641.269411714471"/>
    <x v="306"/>
    <d v="2022-02-27T10:50:00"/>
    <n v="43149.276861539329"/>
    <n v="8.2163597667097275"/>
    <n v="0.89720553343124976"/>
    <n v="2262"/>
    <n v="0"/>
    <n v="0"/>
    <n v="0"/>
    <n v="0"/>
    <n v="271.51884853949088"/>
    <n v="269.65841802128602"/>
    <n v="43.359711405237249"/>
    <n v="42.336704637065679"/>
    <n v="501.95258018451551"/>
    <n v="263.73910940352624"/>
    <n v="1000"/>
    <n v="268.15777010832289"/>
    <n v="1993.8422298916771"/>
    <n v="0.44208664898320071"/>
    <n v="0"/>
    <n v="0.50154419693193508"/>
  </r>
  <r>
    <x v="325"/>
    <x v="8"/>
    <n v="13.5"/>
    <n v="30554.18441370855"/>
    <m/>
    <m/>
    <m/>
    <m/>
    <n v="3900.9575751866728"/>
    <n v="3770.6734652692248"/>
    <n v="2266.3080090774911"/>
    <n v="2494.1431902984868"/>
    <n v="7475.519014484551"/>
    <n v="4246.3282810651071"/>
    <n v="13507.59699987115"/>
    <x v="307"/>
    <d v="2022-03-05T04:35:00"/>
    <n v="102580.44459092359"/>
    <n v="8.4252982081261329"/>
    <n v="0.99943757576782732"/>
    <n v="2262.0000000000005"/>
    <n v="0"/>
    <n v="0"/>
    <n v="0"/>
    <n v="0"/>
    <n v="288.79730237908967"/>
    <n v="279.15205534375906"/>
    <n v="167.78025055819401"/>
    <n v="184.64743879479664"/>
    <n v="553.4307112179805"/>
    <n v="314.3659291216353"/>
    <n v="1000"/>
    <n v="-5332.2778417139707"/>
    <n v="7594.2778417139716"/>
    <n v="0.4420866489832006"/>
    <n v="0"/>
    <n v="0.13167808985170176"/>
  </r>
  <r>
    <x v="326"/>
    <x v="7"/>
    <n v="5.833333333333333"/>
    <n v="14739.20061681277"/>
    <m/>
    <m/>
    <m/>
    <m/>
    <n v="1626.8942569456681"/>
    <n v="1648.465633184886"/>
    <n v="1.03233710106383"/>
    <n v="-7.0944658709564123"/>
    <n v="4098.1179853598214"/>
    <n v="3026.6096037563598"/>
    <n v="6516.003809377883"/>
    <x v="308"/>
    <d v="2022-03-03T12:50:00"/>
    <n v="12989.5656244724"/>
    <n v="8.178062764401945"/>
    <n v="0.89523172545386709"/>
    <n v="2261.9999999999995"/>
    <n v="0"/>
    <n v="0"/>
    <n v="0"/>
    <n v="0"/>
    <n v="249.6766890473927"/>
    <n v="252.98721139671551"/>
    <n v="0.15843101558321412"/>
    <n v="-1.0887755867708366"/>
    <n v="628.93118316809125"/>
    <n v="464.4886179164659"/>
    <n v="999.99999999999989"/>
    <n v="268.51350053268538"/>
    <n v="1993.4864994673142"/>
    <n v="0.44208664898320077"/>
    <n v="0"/>
    <n v="0.50163369567198635"/>
  </r>
  <r>
    <x v="327"/>
    <x v="7"/>
    <n v="5.1666666666666661"/>
    <n v="12921.972408414709"/>
    <m/>
    <m/>
    <m/>
    <m/>
    <n v="1361.1856977632331"/>
    <n v="1363.8620064563811"/>
    <n v="246.4282739667897"/>
    <n v="267.88079408371959"/>
    <n v="5390.5913354755703"/>
    <n v="3030.502836052352"/>
    <n v="5712.6314802894394"/>
    <x v="309"/>
    <d v="2022-03-05T09:45:00"/>
    <n v="10390.17368335969"/>
    <n v="8.2622718173801672"/>
    <n v="0.90442849052900731"/>
    <n v="2261.9999999999995"/>
    <n v="0"/>
    <n v="0"/>
    <n v="0"/>
    <n v="0"/>
    <n v="238.27647599180796"/>
    <n v="238.74496563662092"/>
    <n v="43.137435841442382"/>
    <n v="46.89271398093878"/>
    <n v="943.62665508443536"/>
    <n v="530.49156881703959"/>
    <n v="1000"/>
    <n v="443.19307726931152"/>
    <n v="1818.806922730688"/>
    <n v="0.44208664898320083"/>
    <n v="0"/>
    <n v="0.54981097086360209"/>
  </r>
  <r>
    <x v="328"/>
    <x v="11"/>
    <n v="20.5"/>
    <n v="56222.232037994327"/>
    <m/>
    <m/>
    <m/>
    <m/>
    <n v="8128.9283243804039"/>
    <n v="8369.1338431162731"/>
    <n v="0"/>
    <n v="51.850608402041587"/>
    <n v="20447.624145429982"/>
    <n v="12216.32115718786"/>
    <n v="26077.10205843893"/>
    <x v="310"/>
    <d v="2022-03-07T19:30:00"/>
    <n v="49554.106038624101"/>
    <n v="7.7274173344469226"/>
    <n v="0.7861302975330382"/>
    <n v="2155.9999999999995"/>
    <n v="0"/>
    <n v="0"/>
    <n v="0"/>
    <n v="0"/>
    <n v="311.72667523267847"/>
    <n v="320.93803308208857"/>
    <n v="0"/>
    <n v="1.9883577663593173"/>
    <n v="784.12179772149307"/>
    <n v="468.46927736874358"/>
    <n v="1000"/>
    <n v="255.70809150598529"/>
    <n v="1900.2919084940143"/>
    <n v="0.463821892393321"/>
    <n v="0"/>
    <n v="0.5262349408162782"/>
  </r>
  <r>
    <x v="329"/>
    <x v="15"/>
    <n v="8.6666666666666661"/>
    <n v="16087.510856748369"/>
    <m/>
    <m/>
    <m/>
    <m/>
    <n v="-9215.7287079547204"/>
    <n v="2700.8950314902158"/>
    <n v="10.783125"/>
    <n v="1.0274286910956221"/>
    <n v="4256.1319525554172"/>
    <n v="2814.8020163503761"/>
    <n v="6943.2502618680919"/>
    <x v="311"/>
    <d v="2022-03-09T12:05:00"/>
    <n v="14240.811892300349"/>
    <n v="7.6001476635873209"/>
    <n v="1.2482146458501535"/>
    <n v="2317"/>
    <n v="0"/>
    <n v="0"/>
    <n v="0"/>
    <n v="0"/>
    <n v="-1327.2931783212455"/>
    <n v="388.99577713961531"/>
    <n v="1.5530370638114928"/>
    <n v="0.14797517766833179"/>
    <n v="612.98841205967108"/>
    <n v="405.40120407427878"/>
    <n v="1000"/>
    <n v="265.97038775773035"/>
    <n v="2051.0296122422696"/>
    <n v="0.43159257660768235"/>
    <n v="0"/>
    <n v="0.48756000109952535"/>
  </r>
  <r>
    <x v="330"/>
    <x v="11"/>
    <n v="58.916666666666671"/>
    <n v="145044.8953521009"/>
    <m/>
    <m/>
    <m/>
    <m/>
    <n v="19748.3972031782"/>
    <n v="19757.798386187122"/>
    <n v="639.20763965707954"/>
    <n v="690.05823757619555"/>
    <n v="54982.738305102692"/>
    <n v="31876.942642806622"/>
    <n v="67274.997844202662"/>
    <x v="312"/>
    <d v="2022-03-15T11:50:00"/>
    <n v="265142.88732123713"/>
    <n v="6.5542806330602188"/>
    <n v="0.87575872990895598"/>
    <n v="2155.9999999999995"/>
    <n v="0"/>
    <n v="0"/>
    <n v="0"/>
    <n v="0"/>
    <n v="293.54734798969588"/>
    <n v="293.68709058813778"/>
    <n v="9.5014144948376611"/>
    <n v="10.257276249554877"/>
    <n v="817.2833900706064"/>
    <n v="473.83045208902342"/>
    <n v="1000.0000000000001"/>
    <n v="-1785.1801682292512"/>
    <n v="3941.1801682292507"/>
    <n v="0.46382189239332111"/>
    <n v="0"/>
    <n v="0.25373110523117604"/>
  </r>
  <r>
    <x v="331"/>
    <x v="7"/>
    <n v="8.8333333333333321"/>
    <n v="16179.469722732671"/>
    <m/>
    <m/>
    <m/>
    <m/>
    <n v="1408.824587964649"/>
    <n v="1453.6386322460651"/>
    <n v="9299.1995768857614"/>
    <n v="9576.8928987820982"/>
    <n v="959.46564080816631"/>
    <n v="9923.6252450413594"/>
    <n v="7152.7275520480398"/>
    <x v="313"/>
    <d v="2022-03-19T14:05:00"/>
    <n v="165227.80795207221"/>
    <n v="7.8822633626338652"/>
    <n v="1.2349601280149536"/>
    <n v="2262.0000000000005"/>
    <n v="0"/>
    <n v="0"/>
    <n v="0"/>
    <n v="0"/>
    <n v="196.96326718906838"/>
    <n v="203.228575626349"/>
    <n v="1300.091399989522"/>
    <n v="1338.9148166338234"/>
    <n v="134.13982761491351"/>
    <n v="1387.3903588289097"/>
    <n v="1000"/>
    <n v="-20837.972248315615"/>
    <n v="23099.972248315615"/>
    <n v="0.4420866489832006"/>
    <n v="0"/>
    <n v="4.3290095297535136E-2"/>
  </r>
  <r>
    <x v="332"/>
    <x v="25"/>
    <n v="17.5"/>
    <n v="43462.875362970903"/>
    <m/>
    <m/>
    <m/>
    <m/>
    <n v="-21768.715024072641"/>
    <n v="5425.4368142411186"/>
    <n v="0"/>
    <n v="-48.52590970995152"/>
    <n v="13958.695116002031"/>
    <n v="9298.7318034153195"/>
    <n v="17295.21502704771"/>
    <x v="314"/>
    <d v="2022-03-17T00:30:00"/>
    <n v="37737.994801667497"/>
    <n v="7.890859837375082"/>
    <n v="1.0118405566297979"/>
    <n v="2513.0000000000005"/>
    <n v="0"/>
    <n v="0"/>
    <n v="0"/>
    <n v="0"/>
    <n v="-1258.6553558327487"/>
    <n v="313.69582891894464"/>
    <n v="0"/>
    <n v="-2.8057419138219806"/>
    <n v="807.08421920006492"/>
    <n v="537.64765508108349"/>
    <n v="999.99999999999989"/>
    <n v="331.00950478790583"/>
    <n v="2181.9904952120946"/>
    <n v="0.39793076004775163"/>
    <n v="0"/>
    <n v="0.45829713841296893"/>
  </r>
  <r>
    <x v="333"/>
    <x v="11"/>
    <n v="31.916666666666661"/>
    <n v="70252.230522303711"/>
    <m/>
    <m/>
    <m/>
    <m/>
    <n v="9382.9646304184425"/>
    <n v="9310.4100486188927"/>
    <n v="16539.90804356067"/>
    <n v="-12150.224041707819"/>
    <n v="8040.8457994509563"/>
    <n v="27712.917781356849"/>
    <n v="32584.522505706729"/>
    <x v="315"/>
    <d v="2022-03-19T05:00:00"/>
    <n v="65615.430444283877"/>
    <n v="7.7396839968182816"/>
    <n v="0.97950389363775081"/>
    <n v="2156"/>
    <n v="0"/>
    <n v="0"/>
    <n v="0"/>
    <n v="0"/>
    <n v="287.95771454914353"/>
    <n v="285.73105673063958"/>
    <n v="507.60013563690967"/>
    <n v="-372.88329266079853"/>
    <n v="246.76887003769085"/>
    <n v="850.49329099431532"/>
    <n v="1000"/>
    <n v="142.30069129316735"/>
    <n v="2013.6993087068327"/>
    <n v="0.46382189239332094"/>
    <n v="0"/>
    <n v="0.49659847211358721"/>
  </r>
  <r>
    <x v="334"/>
    <x v="3"/>
    <n v="25.666666666666671"/>
    <n v="47635.549796772757"/>
    <m/>
    <m/>
    <m/>
    <m/>
    <n v="-21886.000781211849"/>
    <n v="6519.6634607856922"/>
    <n v="14583.10792255299"/>
    <n v="14764.545244054971"/>
    <n v="0"/>
    <n v="4540.6332822718296"/>
    <n v="20559.149674912711"/>
    <x v="316"/>
    <d v="2022-03-20T17:05:00"/>
    <n v="56375.589056683471"/>
    <n v="8.4818260503707137"/>
    <n v="1.2484303617861396"/>
    <n v="2317"/>
    <n v="0"/>
    <n v="0"/>
    <n v="0"/>
    <n v="0"/>
    <n v="-1064.5382288314302"/>
    <n v="317.11736934048918"/>
    <n v="709.32446882022646"/>
    <n v="718.1496062588327"/>
    <n v="0"/>
    <n v="220.8570565451223"/>
    <n v="1000"/>
    <n v="-425.11676786787302"/>
    <n v="2742.116767867873"/>
    <n v="0.4315925766076823"/>
    <n v="0"/>
    <n v="0.36468177129362289"/>
  </r>
  <r>
    <x v="335"/>
    <x v="12"/>
    <n v="2.916666666666667"/>
    <n v="2899.0861937208092"/>
    <m/>
    <m/>
    <m/>
    <m/>
    <n v="1899.7415118916981"/>
    <n v="1484.644789155594"/>
    <n v="1163.3507903897939"/>
    <n v="1094.255517473606"/>
    <n v="0"/>
    <n v="407.92669240550742"/>
    <n v="7924"/>
    <x v="317"/>
    <d v="2022-03-20T19:55:00"/>
    <n v="4111.3167141242038"/>
    <n v="6.8519345848333266"/>
    <n v="0.36808009422850418"/>
    <n v="365.86145806673511"/>
    <n v="0"/>
    <n v="0"/>
    <n v="0"/>
    <n v="0"/>
    <n v="239.74526904236473"/>
    <n v="187.36052361882813"/>
    <n v="146.81357778770746"/>
    <n v="138.09383107945555"/>
    <n v="0"/>
    <n v="51.479895558494121"/>
    <n v="1000"/>
    <n v="-152.98214543202863"/>
    <n v="518.84360349876374"/>
    <n v="2.7332750634192098"/>
    <n v="0"/>
    <n v="1.9273630690570569"/>
  </r>
  <r>
    <x v="336"/>
    <x v="24"/>
    <n v="87.916666666666657"/>
    <n v="0"/>
    <n v="144904.908"/>
    <n v="23576.28528"/>
    <n v="121328.62272"/>
    <n v="16100.54533333333"/>
    <n v="-9723.7059967770692"/>
    <n v="41821.087488473117"/>
    <n v="106745.7202044908"/>
    <n v="1074.242188361233"/>
    <n v="0"/>
    <n v="99795.986245036591"/>
    <n v="70554.536955886651"/>
    <x v="318"/>
    <d v="2022-05-04T23:20:00"/>
    <n v="36.542006380716053"/>
    <n v="5.0040539921940983"/>
    <n v="1.2460809816048466"/>
    <n v="0"/>
    <n v="2053.7999999999997"/>
    <n v="334.15689900623659"/>
    <n v="1719.6431009937633"/>
    <n v="228.19999999999996"/>
    <n v="-137.81829512759322"/>
    <n v="592.7483800881754"/>
    <n v="1512.9533097387095"/>
    <n v="15.22569964611758"/>
    <n v="0"/>
    <n v="1414.4517213320071"/>
    <n v="999.99999999999989"/>
    <n v="-0.51792567788466237"/>
    <n v="0.51792567788466237"/>
    <n v="0"/>
    <n v="0.43821209465381245"/>
    <n v="1930.7789567110276"/>
  </r>
  <r>
    <x v="337"/>
    <x v="17"/>
    <n v="256.66666666666657"/>
    <n v="0"/>
    <n v="499864.92756999971"/>
    <n v="73842.663777866634"/>
    <n v="426022.26379213308"/>
    <m/>
    <n v="0"/>
    <n v="113778.2564463892"/>
    <n v="314034.15142824361"/>
    <n v="0"/>
    <n v="0"/>
    <n v="294862.33255202719"/>
    <n v="220010.97164172519"/>
    <x v="319"/>
    <d v="2022-05-18T02:45:00"/>
    <n v="116.2088669389767"/>
    <n v="5.0041734900356323"/>
    <n v="1.1666084866196265"/>
    <n v="0"/>
    <n v="2272.0000000000005"/>
    <n v="335.63173339425555"/>
    <n v="1936.3682666057448"/>
    <n v="0"/>
    <n v="0"/>
    <n v="517.14810219405933"/>
    <n v="1427.3567771866833"/>
    <n v="0"/>
    <n v="0"/>
    <n v="1340.216491712936"/>
    <n v="1000"/>
    <n v="-0.52819578074595275"/>
    <n v="0.52819578074595275"/>
    <n v="0"/>
    <n v="0.44014084507042245"/>
    <n v="1893.2373874470077"/>
  </r>
  <r>
    <x v="338"/>
    <x v="26"/>
    <n v="10.08333333333333"/>
    <n v="0"/>
    <n v="12000"/>
    <n v="2040"/>
    <n v="9960"/>
    <n v="4000"/>
    <n v="-24257.900380887011"/>
    <n v="3885.9293274001352"/>
    <n v="8920.2310784217389"/>
    <n v="-19582.469211229381"/>
    <n v="0"/>
    <n v="7587.200111181749"/>
    <n v="7220.2166064981939"/>
    <x v="320"/>
    <d v="2022-05-19T04:55:00"/>
    <n v="3.2840731216457959"/>
    <n v="5.0041666030883789"/>
    <n v="1.3965416666666663"/>
    <n v="0"/>
    <n v="1662.0000000000002"/>
    <n v="282.54000000000002"/>
    <n v="1379.4600000000003"/>
    <n v="554.00000000000011"/>
    <n v="-3359.7192027528517"/>
    <n v="538.20121184491882"/>
    <n v="1235.4520043614109"/>
    <n v="-2712.1719857552694"/>
    <n v="0"/>
    <n v="1050.8272153986725"/>
    <n v="1000"/>
    <n v="-0.45484412734794277"/>
    <n v="0.45484412734794277"/>
    <n v="0"/>
    <n v="0.4512635379061371"/>
    <n v="2198.5553728717891"/>
  </r>
  <r>
    <x v="339"/>
    <x v="17"/>
    <n v="68.25"/>
    <n v="0"/>
    <n v="131043.69583333351"/>
    <n v="38045.113543333347"/>
    <n v="92998.582290000108"/>
    <m/>
    <n v="0"/>
    <n v="31569.730596502581"/>
    <n v="89722.060643010016"/>
    <n v="0"/>
    <n v="0"/>
    <n v="80763.083865210225"/>
    <n v="57677.683025234801"/>
    <x v="321"/>
    <d v="2022-05-23T10:45:00"/>
    <n v="29.937587150058999"/>
    <n v="5.0041666030883789"/>
    <n v="1.1832999597112746"/>
    <n v="0"/>
    <n v="2272.0000000000009"/>
    <n v="659.61584356098479"/>
    <n v="1612.384156439015"/>
    <n v="0"/>
    <n v="0"/>
    <n v="547.34741308333025"/>
    <n v="1555.5767141990664"/>
    <n v="0"/>
    <n v="0"/>
    <n v="1400.2484085547478"/>
    <n v="1000"/>
    <n v="-0.51904975338487302"/>
    <n v="0.51904975338487302"/>
    <n v="0"/>
    <n v="0.44014084507042239"/>
    <n v="1926.5975823679944"/>
  </r>
  <r>
    <x v="340"/>
    <x v="26"/>
    <n v="36.75"/>
    <n v="0"/>
    <n v="39111.818000000007"/>
    <n v="8604.5999600000032"/>
    <n v="30507.218040000011"/>
    <n v="13037.272666666669"/>
    <n v="4427.7982720215969"/>
    <n v="14476.0624013623"/>
    <n v="38447.343609183823"/>
    <n v="9093.4690677107719"/>
    <n v="0"/>
    <n v="29850.938767297572"/>
    <n v="23532.983152827921"/>
    <x v="322"/>
    <d v="2022-05-24T23:35:00"/>
    <n v="44.833573165063818"/>
    <n v="5.0041666030883789"/>
    <n v="1.5616379683501287"/>
    <n v="0"/>
    <n v="1662.0000000000002"/>
    <n v="365.6400000000001"/>
    <n v="1296.3600000000004"/>
    <n v="554.00000000000011"/>
    <n v="188.15286796691203"/>
    <n v="615.13928375981243"/>
    <n v="1633.7641241443573"/>
    <n v="386.41378394978472"/>
    <n v="0"/>
    <n v="1268.4723638069845"/>
    <n v="1000"/>
    <n v="-1.9051376901052275"/>
    <n v="1.9051376901052275"/>
    <n v="0"/>
    <n v="0.45126353790613716"/>
    <n v="524.89644459491353"/>
  </r>
  <r>
    <x v="341"/>
    <x v="1"/>
    <n v="5"/>
    <n v="8507.2994554807574"/>
    <m/>
    <m/>
    <m/>
    <m/>
    <n v="1140.465038935354"/>
    <n v="1084.7020688651789"/>
    <n v="2787.6429745448322"/>
    <n v="-5337.0362963081561"/>
    <n v="0"/>
    <n v="679.17730801689345"/>
    <n v="3945.8717325977541"/>
    <x v="323"/>
    <d v="2022-05-25T20:15:00"/>
    <n v="8767.5468414897077"/>
    <n v="7.4397445762355021"/>
    <n v="1.2671471195309898"/>
    <n v="2156"/>
    <n v="0"/>
    <n v="0"/>
    <n v="0"/>
    <n v="0"/>
    <n v="289.02739780254637"/>
    <n v="274.89542042236332"/>
    <n v="706.47075309505681"/>
    <n v="-1352.5620339398445"/>
    <n v="0"/>
    <n v="172.12351390088367"/>
    <n v="1000"/>
    <n v="-65.954345109342285"/>
    <n v="2221.9543451093423"/>
    <n v="0.463821892393321"/>
    <n v="0"/>
    <n v="0.45005425165510776"/>
  </r>
  <r>
    <x v="342"/>
    <x v="12"/>
    <n v="16.416666666666671"/>
    <n v="32333.832875642591"/>
    <m/>
    <m/>
    <m/>
    <m/>
    <n v="4205.8779567683196"/>
    <n v="4194.9029067284428"/>
    <n v="6106.9493961445496"/>
    <n v="6236.5352356836393"/>
    <n v="0"/>
    <n v="3106.239216926539"/>
    <n v="13955.04224240077"/>
    <x v="324"/>
    <d v="2022-05-26T18:20:00"/>
    <n v="28324.937064433951"/>
    <n v="7.3867488828210526"/>
    <n v="1.1763967734032752"/>
    <n v="2317.0000000000005"/>
    <n v="0"/>
    <n v="0"/>
    <n v="0"/>
    <n v="0"/>
    <n v="301.38769082255084"/>
    <n v="300.60123315017415"/>
    <n v="437.61597350019446"/>
    <n v="446.90192457710043"/>
    <n v="0"/>
    <n v="222.58902287580275"/>
    <n v="1000.0000000000001"/>
    <n v="287.27220896745666"/>
    <n v="2029.7277910325438"/>
    <n v="0.43159257660768224"/>
    <n v="0"/>
    <n v="0.49267690200531256"/>
  </r>
  <r>
    <x v="343"/>
    <x v="3"/>
    <n v="44.75"/>
    <n v="83912.820295451485"/>
    <m/>
    <m/>
    <m/>
    <m/>
    <n v="-11745.53043290741"/>
    <n v="12090.58145042045"/>
    <n v="20089.257833438449"/>
    <n v="20249.377571743429"/>
    <n v="3351.4573133785671"/>
    <n v="10238.45057458777"/>
    <n v="36216.150321731329"/>
    <x v="325"/>
    <d v="2022-05-28T15:05:00"/>
    <n v="97144.608364458589"/>
    <n v="7.4324451037988064"/>
    <n v="1.2356365765675534"/>
    <n v="2317"/>
    <n v="0"/>
    <n v="0"/>
    <n v="0"/>
    <n v="0"/>
    <n v="-324.31747517514475"/>
    <n v="333.8450206057808"/>
    <n v="554.70439720877744"/>
    <n v="559.12562190777317"/>
    <n v="92.540407624924754"/>
    <n v="282.70400038748005"/>
    <n v="1000"/>
    <n v="-365.35600695989569"/>
    <n v="2682.3560069598957"/>
    <n v="0.43159257660768235"/>
    <n v="0"/>
    <n v="0.37280659144621558"/>
  </r>
  <r>
    <x v="344"/>
    <x v="1"/>
    <n v="28.25"/>
    <n v="74519.074776554771"/>
    <m/>
    <m/>
    <m/>
    <m/>
    <n v="-17371.85105262107"/>
    <n v="9816.8650991370741"/>
    <n v="0"/>
    <n v="19.696028466370311"/>
    <n v="28898.54565360762"/>
    <n v="16256.61065331138"/>
    <n v="34563.578282261027"/>
    <x v="326"/>
    <d v="2022-06-02T11:15:00"/>
    <n v="65474.168829387912"/>
    <n v="6.9894987962931214"/>
    <n v="0.81733435610452032"/>
    <n v="2156"/>
    <n v="0"/>
    <n v="0"/>
    <n v="0"/>
    <n v="0"/>
    <n v="-502.60568829867879"/>
    <n v="284.02340229267747"/>
    <n v="0"/>
    <n v="0.56984922988945419"/>
    <n v="836.09820191675988"/>
    <n v="470.33934162004044"/>
    <n v="1000"/>
    <n v="261.6889337470293"/>
    <n v="1894.3110662529707"/>
    <n v="0.463821892393321"/>
    <n v="0"/>
    <n v="0.5278964040357127"/>
  </r>
  <r>
    <x v="345"/>
    <x v="8"/>
    <n v="36.666666666666671"/>
    <n v="62015.61996176753"/>
    <m/>
    <m/>
    <m/>
    <m/>
    <n v="8203.737724901448"/>
    <n v="8092.3500406178609"/>
    <n v="969.37879498558186"/>
    <n v="1050.3763403588489"/>
    <n v="24472.85325054745"/>
    <n v="11452.205979331689"/>
    <n v="27416.277613513499"/>
    <x v="327"/>
    <d v="2022-06-22T06:10:00"/>
    <n v="912871.20054518466"/>
    <n v="6.0341520827386974"/>
    <n v="1.3374049965336523"/>
    <n v="2262"/>
    <n v="0"/>
    <n v="0"/>
    <n v="0"/>
    <n v="0"/>
    <n v="299.22872246004033"/>
    <n v="295.16589212786266"/>
    <n v="35.357783016749671"/>
    <n v="38.312142704636088"/>
    <n v="892.63953318319068"/>
    <n v="417.71556812974819"/>
    <n v="1000"/>
    <n v="-31034.686494567366"/>
    <n v="33296.686494567366"/>
    <n v="0.44208664898320071"/>
    <n v="0"/>
    <n v="3.003301845554987E-2"/>
  </r>
  <r>
    <x v="346"/>
    <x v="7"/>
    <n v="43.5"/>
    <n v="78397.695818946668"/>
    <m/>
    <m/>
    <m/>
    <m/>
    <n v="8726.3851769196353"/>
    <n v="8777.8255017081392"/>
    <n v="12185.89157331736"/>
    <n v="12133.062366718839"/>
    <n v="3291.5250479775118"/>
    <n v="8481.6029508014017"/>
    <n v="34658.574632602416"/>
    <x v="328"/>
    <d v="2022-06-05T03:50:00"/>
    <n v="73798.48428622038"/>
    <n v="6.5708503414504493"/>
    <n v="1.2551006629995882"/>
    <n v="2262.0000000000005"/>
    <n v="0"/>
    <n v="0"/>
    <n v="0"/>
    <n v="0"/>
    <n v="251.78142117566927"/>
    <n v="253.26562314686385"/>
    <n v="351.59817454969453"/>
    <n v="350.07389932607282"/>
    <n v="94.970006206812101"/>
    <n v="244.71874682414031"/>
    <n v="1000"/>
    <n v="132.70053894253169"/>
    <n v="2129.2994610574688"/>
    <n v="0.44208664898320071"/>
    <n v="0"/>
    <n v="0.46963802804109689"/>
  </r>
  <r>
    <x v="347"/>
    <x v="1"/>
    <n v="18.666666666666671"/>
    <n v="36296.773137529031"/>
    <m/>
    <m/>
    <m/>
    <m/>
    <n v="3941.7192422425278"/>
    <n v="4041.931143010313"/>
    <n v="5245.6578889679176"/>
    <n v="5884.9050028922238"/>
    <n v="0"/>
    <n v="2256.415176863512"/>
    <n v="16835.238004419771"/>
    <x v="329"/>
    <d v="2022-06-05T22:30:00"/>
    <n v="33629.115359456722"/>
    <n v="5.9498484658737141"/>
    <n v="1.1087854333729106"/>
    <n v="2156.0000000000005"/>
    <n v="0"/>
    <n v="0"/>
    <n v="0"/>
    <n v="0"/>
    <n v="234.13504704879756"/>
    <n v="240.08755575354391"/>
    <n v="311.58798512921351"/>
    <n v="349.55876485662122"/>
    <n v="0"/>
    <n v="134.02930070077616"/>
    <n v="1000"/>
    <n v="158.45679029734924"/>
    <n v="1997.5432097026512"/>
    <n v="0.46382189239332089"/>
    <n v="0"/>
    <n v="0.50061495297959402"/>
  </r>
  <r>
    <x v="348"/>
    <x v="11"/>
    <n v="26.583333333333329"/>
    <n v="47815.662921523217"/>
    <m/>
    <m/>
    <m/>
    <m/>
    <n v="-20649.740783431109"/>
    <n v="5925.9056840173507"/>
    <n v="3093.0145168550039"/>
    <n v="-24867.11465042919"/>
    <n v="11465.49685879159"/>
    <n v="9692.5723953512934"/>
    <n v="21727.47886194515"/>
    <x v="330"/>
    <d v="2022-06-07T01:05:00"/>
    <n v="44054.820103887847"/>
    <n v="5.9114248750583478"/>
    <n v="1.2234890896565558"/>
    <n v="2200.7000087465517"/>
    <n v="0"/>
    <n v="0"/>
    <n v="0"/>
    <n v="0"/>
    <n v="-950.39746279989902"/>
    <n v="272.73784140673348"/>
    <n v="142.35496610112003"/>
    <n v="-1144.5006946472281"/>
    <n v="527.69568580149303"/>
    <n v="446.09742607217368"/>
    <n v="999.99999999999989"/>
    <n v="173.09154189179003"/>
    <n v="2027.6084668547617"/>
    <n v="0.45440087064368573"/>
    <n v="0"/>
    <n v="0.49319186437961859"/>
  </r>
  <r>
    <x v="349"/>
    <x v="10"/>
    <n v="45.166666666666671"/>
    <n v="106578.4685245835"/>
    <m/>
    <m/>
    <m/>
    <m/>
    <n v="11905.79870693986"/>
    <n v="12973.478211358421"/>
    <n v="1097.518072493611"/>
    <n v="-26683.033443572978"/>
    <n v="36028.704902006022"/>
    <n v="21110.60316004523"/>
    <n v="47116.918003794657"/>
    <x v="331"/>
    <d v="2022-06-08T22:15:00"/>
    <n v="95063.926029922979"/>
    <n v="5.5536970815501681"/>
    <n v="0.95860825750591505"/>
    <n v="2261.9999999999995"/>
    <n v="0"/>
    <n v="0"/>
    <n v="0"/>
    <n v="0"/>
    <n v="252.68627939503605"/>
    <n v="275.34649465641144"/>
    <n v="23.293503034413675"/>
    <n v="-566.31534009554719"/>
    <n v="764.6659932023648"/>
    <n v="448.0471994867118"/>
    <n v="1000"/>
    <n v="244.38233616496677"/>
    <n v="2017.6176638350328"/>
    <n v="0.44208664898320077"/>
    <n v="0"/>
    <n v="0.49563404302241643"/>
  </r>
  <r>
    <x v="350"/>
    <x v="1"/>
    <n v="139.5"/>
    <n v="270267.57998947997"/>
    <m/>
    <m/>
    <m/>
    <m/>
    <n v="-27023.27974696747"/>
    <n v="28767.114902123471"/>
    <n v="19042.92750080987"/>
    <n v="19227.309040083379"/>
    <n v="73121.454054233895"/>
    <n v="56913.073673310108"/>
    <n v="119481.68876634839"/>
    <x v="332"/>
    <d v="2022-06-16T02:55:00"/>
    <n v="317482.28509521228"/>
    <n v="6.3085233807131953"/>
    <n v="1.1675429217676885"/>
    <n v="2261.9999999999991"/>
    <n v="0"/>
    <n v="0"/>
    <n v="0"/>
    <n v="0"/>
    <n v="-226.17088882810035"/>
    <n v="240.76588805485338"/>
    <n v="159.37946389466538"/>
    <n v="160.9226421103171"/>
    <n v="611.988789321735"/>
    <n v="476.33302023882572"/>
    <n v="1000"/>
    <n v="-395.16268637667736"/>
    <n v="2657.1626863766764"/>
    <n v="0.44208664898320088"/>
    <n v="0"/>
    <n v="0.37634127753148833"/>
  </r>
  <r>
    <x v="351"/>
    <x v="10"/>
    <n v="24.583333333333329"/>
    <n v="43559.261431316852"/>
    <m/>
    <m/>
    <m/>
    <m/>
    <n v="7348.7025358640922"/>
    <n v="5415.4753632533129"/>
    <n v="4415.3338757463825"/>
    <n v="6100.7696280245436"/>
    <n v="11234.34052354863"/>
    <n v="9984.068178834048"/>
    <n v="19256.967918354039"/>
    <x v="333"/>
    <d v="2022-06-15T19:30:00"/>
    <n v="98354.98733617898"/>
    <n v="5.4659128996266864"/>
    <n v="1.2765941885327996"/>
    <n v="2262.0000000000009"/>
    <n v="0"/>
    <n v="0"/>
    <n v="0"/>
    <n v="0"/>
    <n v="381.61264883553963"/>
    <n v="281.22160177105354"/>
    <n v="229.28499930345092"/>
    <n v="316.80842248326275"/>
    <n v="583.39093522823237"/>
    <n v="518.46522366161889"/>
    <n v="999.99999999999989"/>
    <n v="-2845.5012303694848"/>
    <n v="5107.5012303694857"/>
    <n v="0.44208664898320055"/>
    <n v="0"/>
    <n v="0.19579045699567224"/>
  </r>
  <r>
    <x v="352"/>
    <x v="11"/>
    <n v="27"/>
    <n v="68301.030330799986"/>
    <m/>
    <m/>
    <m/>
    <m/>
    <n v="0"/>
    <n v="8668.0433567966247"/>
    <n v="6431.806552585258"/>
    <n v="0"/>
    <n v="14289.22976293958"/>
    <n v="13273.86669895367"/>
    <n v="30194.973621043318"/>
    <x v="334"/>
    <d v="2022-06-17T04:30:00"/>
    <n v="59522.937702811912"/>
    <n v="5.0847200097227567"/>
    <n v="0.89418856061471452"/>
    <n v="2262"/>
    <n v="0"/>
    <n v="0"/>
    <n v="0"/>
    <n v="0"/>
    <n v="0"/>
    <n v="287.0690819466634"/>
    <n v="213.00917938550006"/>
    <n v="0"/>
    <n v="473.23206644503267"/>
    <n v="439.60517619736947"/>
    <n v="1000"/>
    <n v="290.71370414678859"/>
    <n v="1971.2862958532114"/>
    <n v="0.44208664898320071"/>
    <n v="0"/>
    <n v="0.50728298680084938"/>
  </r>
  <r>
    <x v="353"/>
    <x v="8"/>
    <n v="16.166666666666661"/>
    <n v="40896.084453004667"/>
    <m/>
    <m/>
    <m/>
    <m/>
    <n v="11984.722670400321"/>
    <n v="5019.5552862911554"/>
    <n v="2558.12791187732"/>
    <n v="6745.1373371719474"/>
    <n v="9493.3044240466588"/>
    <n v="10515.182145182889"/>
    <n v="18079.612932362808"/>
    <x v="335"/>
    <d v="2022-06-17T20:40:00"/>
    <n v="35639.613024749618"/>
    <n v="5.6557226892727526"/>
    <n v="0.89419318472952802"/>
    <n v="2261.9999999999995"/>
    <n v="0"/>
    <n v="0"/>
    <n v="0"/>
    <n v="0"/>
    <n v="662.88602058219226"/>
    <n v="277.63621406440996"/>
    <n v="141.49240481239664"/>
    <n v="373.07974249260832"/>
    <n v="525.08338865228052"/>
    <n v="581.60438414920588"/>
    <n v="1000.0000000000001"/>
    <n v="290.74026351780299"/>
    <n v="1971.2597364821966"/>
    <n v="0.44208664898320077"/>
    <n v="0"/>
    <n v="0.50728982157599689"/>
  </r>
  <r>
    <x v="354"/>
    <x v="1"/>
    <n v="141.83333333333329"/>
    <n v="324534.08306712192"/>
    <m/>
    <m/>
    <m/>
    <m/>
    <n v="5440.7149054439287"/>
    <n v="39605.685554860444"/>
    <n v="13499.449511872739"/>
    <n v="-44303.331557698533"/>
    <n v="109780.36450037389"/>
    <n v="59448.028294276934"/>
    <n v="143472.1852639796"/>
    <x v="336"/>
    <d v="2022-06-24T18:30:00"/>
    <n v="342100.67292100389"/>
    <n v="5.4488610699591762"/>
    <n v="0.98857721496587692"/>
    <n v="2262.0000000000005"/>
    <n v="0"/>
    <n v="0"/>
    <n v="0"/>
    <n v="0"/>
    <n v="37.921739990461312"/>
    <n v="276.05131602330113"/>
    <n v="94.091056653487357"/>
    <n v="-308.79387162175897"/>
    <n v="765.16827494043594"/>
    <n v="414.35228845853555"/>
    <n v="999.99999999999989"/>
    <n v="-122.43899276755656"/>
    <n v="2384.438992767557"/>
    <n v="0.4420866489832006"/>
    <n v="0"/>
    <n v="0.41938586100679626"/>
  </r>
  <r>
    <x v="355"/>
    <x v="7"/>
    <n v="6.333333333333333"/>
    <n v="10675.21573132425"/>
    <m/>
    <m/>
    <m/>
    <m/>
    <n v="-19980.939392222132"/>
    <n v="1317.4118888186881"/>
    <n v="0"/>
    <n v="96.81523272774939"/>
    <n v="4114.5110982721326"/>
    <n v="1877.081394966845"/>
    <n v="4719.3703498338846"/>
    <x v="337"/>
    <d v="2022-06-22T12:30:00"/>
    <n v="9878.8064650131073"/>
    <n v="5.7106131201641732"/>
    <n v="1.3419869312770205"/>
    <n v="2262.0000000000005"/>
    <n v="0"/>
    <n v="0"/>
    <n v="0"/>
    <n v="0"/>
    <n v="-4233.8146640526811"/>
    <n v="279.14992703741916"/>
    <n v="0"/>
    <n v="20.514438484607837"/>
    <n v="871.83475618033617"/>
    <n v="397.73979489295976"/>
    <n v="999.99999999999989"/>
    <n v="168.7532885269693"/>
    <n v="2093.2467114730312"/>
    <n v="0.4420866489832006"/>
    <n v="0"/>
    <n v="0.47772677464105201"/>
  </r>
  <r>
    <x v="356"/>
    <x v="11"/>
    <n v="33.583333333333329"/>
    <n v="56533.015333171643"/>
    <m/>
    <m/>
    <m/>
    <m/>
    <n v="8575.1426901267114"/>
    <n v="8341.4895686916134"/>
    <n v="0"/>
    <n v="-84.740116083565908"/>
    <n v="23015.61260631703"/>
    <n v="10256.98994636811"/>
    <n v="24992.491305557749"/>
    <x v="338"/>
    <d v="2022-06-26T04:05:00"/>
    <n v="51639.888011138581"/>
    <n v="5.1707567133357202"/>
    <n v="1.3437369217315753"/>
    <n v="2262.0000000000005"/>
    <n v="0"/>
    <n v="0"/>
    <n v="0"/>
    <n v="0"/>
    <n v="343.10875955850787"/>
    <n v="333.75982676991708"/>
    <n v="0"/>
    <n v="-3.390623009428503"/>
    <n v="920.90109484999175"/>
    <n v="410.4028614421162"/>
    <n v="1000"/>
    <n v="195.78389613943546"/>
    <n v="2066.216103860565"/>
    <n v="0.4420866489832006"/>
    <n v="0"/>
    <n v="0.48397648151690292"/>
  </r>
  <r>
    <x v="357"/>
    <x v="1"/>
    <n v="34.666666666666671"/>
    <n v="58001.785255358343"/>
    <m/>
    <m/>
    <m/>
    <m/>
    <n v="7702.3199982055958"/>
    <n v="7757.5633229632349"/>
    <n v="22194.140084237999"/>
    <n v="22164.913130917241"/>
    <n v="7205.3814678566869"/>
    <n v="25209.674975126971"/>
    <n v="25641.814878584591"/>
    <x v="339"/>
    <d v="2022-06-27T14:45:00"/>
    <n v="53434.606058762787"/>
    <n v="5.125482846691523"/>
    <n v="1.3519583863628706"/>
    <n v="2262"/>
    <n v="0"/>
    <n v="0"/>
    <n v="0"/>
    <n v="0"/>
    <n v="300.38123411609149"/>
    <n v="302.53565746791816"/>
    <n v="865.54482158647807"/>
    <n v="864.40500549080969"/>
    <n v="281.00122795420549"/>
    <n v="983.14706250303163"/>
    <n v="999.99999999999989"/>
    <n v="178.11450625555972"/>
    <n v="2083.8854937444403"/>
    <n v="0.44208664898320071"/>
    <n v="0"/>
    <n v="0.47987281594975972"/>
  </r>
  <r>
    <x v="358"/>
    <x v="18"/>
    <n v="3"/>
    <n v="3681.0802201361262"/>
    <m/>
    <m/>
    <m/>
    <m/>
    <n v="1857.212925697276"/>
    <n v="547.96054670432795"/>
    <n v="2024.264457704159"/>
    <n v="7757.6119402346676"/>
    <n v="0"/>
    <n v="3304.115135359843"/>
    <n v="1588.7268969081249"/>
    <x v="340"/>
    <d v="2022-06-27T22:00:00"/>
    <n v="3379.0191823126411"/>
    <m/>
    <n v="1.8883044064013779"/>
    <n v="2317.0000000000005"/>
    <n v="0"/>
    <n v="0"/>
    <n v="0"/>
    <n v="0"/>
    <n v="1168.994450406587"/>
    <n v="344.90543829196349"/>
    <n v="1274.1424984014864"/>
    <n v="4882.9109366323555"/>
    <n v="0"/>
    <n v="2079.725056452492"/>
    <n v="1000"/>
    <n v="190.12772957475318"/>
    <n v="2126.8722704252473"/>
    <n v="0.43159257660768224"/>
    <n v="0"/>
    <n v="0.47017397984132819"/>
  </r>
  <r>
    <x v="359"/>
    <x v="12"/>
    <n v="27.916666666666671"/>
    <n v="31927.353473321371"/>
    <m/>
    <m/>
    <m/>
    <m/>
    <n v="4549.7046934611517"/>
    <n v="5774.5074058640121"/>
    <n v="15398.64395299155"/>
    <n v="9660.2477477602843"/>
    <n v="0"/>
    <n v="11049.84950383813"/>
    <n v="13779.608749814999"/>
    <x v="341"/>
    <d v="2022-06-29T01:55:00"/>
    <n v="31349.754565764379"/>
    <n v="5.1590881044077186"/>
    <n v="2.0259404438490658"/>
    <n v="2317.0000000000014"/>
    <n v="0"/>
    <n v="0"/>
    <n v="0"/>
    <n v="0"/>
    <n v="330.176623739207"/>
    <n v="419.06178257358283"/>
    <n v="1117.4950053061766"/>
    <n v="701.05384870887428"/>
    <n v="0"/>
    <n v="801.89863910225176"/>
    <n v="1000"/>
    <n v="41.91693088272541"/>
    <n v="2275.083069117276"/>
    <n v="0.43159257660768208"/>
    <n v="0"/>
    <n v="0.43954439008154389"/>
  </r>
  <r>
    <x v="360"/>
    <x v="24"/>
    <n v="57.583333333333343"/>
    <n v="0"/>
    <n v="87242.735155511793"/>
    <n v="19193.401734212599"/>
    <n v="68049.333421299205"/>
    <n v="9693.6372395013113"/>
    <n v="5551.3854879991159"/>
    <n v="26492.571341711271"/>
    <n v="65222.069565785692"/>
    <n v="-4031.961405230938"/>
    <n v="0"/>
    <n v="56361.626982929643"/>
    <n v="42478.690795360701"/>
    <x v="342"/>
    <d v="2022-07-03T17:25:00"/>
    <n v="28.4874016938899"/>
    <n v="5"/>
    <n v="1.3555816399977725"/>
    <n v="0"/>
    <n v="2053.7999999999997"/>
    <n v="451.83600000000007"/>
    <n v="1601.9639999999999"/>
    <n v="228.19999999999996"/>
    <n v="130.68636024454429"/>
    <n v="623.66732226607724"/>
    <n v="1535.4067732452079"/>
    <n v="-94.917270983108722"/>
    <n v="0"/>
    <n v="1326.821187932778"/>
    <n v="1000"/>
    <n v="-0.67062805280715343"/>
    <n v="0.67062805280715343"/>
    <n v="0"/>
    <n v="0.4382120946538125"/>
    <n v="1491.1395307937723"/>
  </r>
  <r>
    <x v="361"/>
    <x v="17"/>
    <n v="42.083333333333343"/>
    <n v="0"/>
    <n v="82015.215143786918"/>
    <n v="17027.014886633118"/>
    <n v="64988.200257153803"/>
    <m/>
    <n v="0"/>
    <n v="21202.542497762701"/>
    <n v="46999.131971886702"/>
    <n v="0"/>
    <n v="0"/>
    <n v="41013.451176636903"/>
    <n v="36098.246102018893"/>
    <x v="343"/>
    <d v="2022-07-05T11:30:00"/>
    <n v="18.477857639693951"/>
    <n v="5.0041666030883789"/>
    <n v="1.1657999453602184"/>
    <n v="0"/>
    <n v="2272"/>
    <n v="471.68537879963191"/>
    <n v="1800.314621200368"/>
    <n v="0"/>
    <n v="0"/>
    <n v="587.35658341519513"/>
    <n v="1301.9782689458186"/>
    <n v="0"/>
    <n v="0"/>
    <n v="1136.1618805724502"/>
    <n v="1000"/>
    <n v="-0.51187688142722609"/>
    <n v="0.51187688142722609"/>
    <n v="0"/>
    <n v="0.44014084507042256"/>
    <n v="1953.5947730473363"/>
  </r>
  <r>
    <x v="362"/>
    <x v="26"/>
    <n v="96.666666666666671"/>
    <n v="0"/>
    <n v="105295.39299999989"/>
    <n v="19197.37073999998"/>
    <n v="86098.022259999911"/>
    <n v="35098.464333333301"/>
    <n v="-6538.1688061471896"/>
    <n v="36876.304653889427"/>
    <n v="78491.283309862978"/>
    <n v="-14415.35646515537"/>
    <n v="0"/>
    <n v="51351.991929525633"/>
    <n v="63354.62876052942"/>
    <x v="344"/>
    <d v="2022-07-10T12:30:00"/>
    <n v="54.4006549678695"/>
    <n v="5.0032894234908252"/>
    <n v="1.5258027480841461"/>
    <n v="0"/>
    <n v="1662"/>
    <n v="303.01449342498773"/>
    <n v="1358.9855065750123"/>
    <n v="554"/>
    <n v="-103.199544122663"/>
    <n v="582.06172738026896"/>
    <n v="1238.9194735328297"/>
    <n v="-227.53438457737889"/>
    <n v="0"/>
    <n v="810.54838350688044"/>
    <n v="1000"/>
    <n v="-0.85866898807813175"/>
    <n v="0.85866898807813175"/>
    <n v="0"/>
    <n v="0.45126353790613716"/>
    <n v="1164.5931248060963"/>
  </r>
  <r>
    <x v="363"/>
    <x v="17"/>
    <n v="173.16666666666671"/>
    <n v="0"/>
    <n v="327531.59250000038"/>
    <n v="85423.896320833446"/>
    <n v="242107.69617916699"/>
    <m/>
    <n v="0"/>
    <n v="95125.582065763141"/>
    <n v="202429.05534083309"/>
    <n v="0"/>
    <n v="0"/>
    <n v="179434.07303422911"/>
    <n v="144160.03191021149"/>
    <x v="345"/>
    <d v="2022-07-19T08:00:00"/>
    <n v="3640.1572072119729"/>
    <n v="5"/>
    <n v="1.2012113508307329"/>
    <n v="0"/>
    <n v="2271.9999999999991"/>
    <n v="592.56296761947715"/>
    <n v="1679.4370323805224"/>
    <n v="0"/>
    <n v="0"/>
    <n v="659.86099479369625"/>
    <n v="1404.1967989221439"/>
    <n v="0"/>
    <n v="0"/>
    <n v="1244.6866905938789"/>
    <n v="999.99999999999989"/>
    <n v="-25.250807446263646"/>
    <n v="25.250807446263646"/>
    <n v="0"/>
    <n v="0.44014084507042273"/>
    <n v="39.602693978325419"/>
  </r>
  <r>
    <x v="364"/>
    <x v="26"/>
    <n v="34.75"/>
    <n v="0"/>
    <n v="36835.677999999993"/>
    <n v="13807.01442"/>
    <n v="23028.663579999989"/>
    <n v="12278.559333333331"/>
    <n v="15832.934118780109"/>
    <n v="15253.28001347238"/>
    <n v="29751.770376714408"/>
    <n v="-23368.586069931858"/>
    <n v="0"/>
    <n v="21104.130582666661"/>
    <n v="22163.464500601669"/>
    <x v="346"/>
    <d v="2022-07-20T19:45:00"/>
    <n v="0"/>
    <n v="5"/>
    <n v="1.5678956689761496"/>
    <n v="0"/>
    <n v="1662.0000000000009"/>
    <n v="622.96282332688475"/>
    <n v="1039.0371766731159"/>
    <n v="554.00000000000023"/>
    <n v="714.37090164086464"/>
    <n v="688.21731426773556"/>
    <n v="1342.3790480006742"/>
    <n v="-1054.3742414141739"/>
    <n v="0"/>
    <n v="952.20359534014869"/>
    <n v="1000"/>
    <n v="0"/>
    <n v="0"/>
    <n v="0"/>
    <n v="0.45126353790613694"/>
    <n v="0"/>
  </r>
  <r>
    <x v="365"/>
    <x v="1"/>
    <n v="9.75"/>
    <n v="15464.817150984411"/>
    <m/>
    <m/>
    <m/>
    <m/>
    <n v="2826.480244848603"/>
    <n v="2832.917910293595"/>
    <n v="1.288125"/>
    <n v="231.4290042855873"/>
    <n v="5307.0123290694246"/>
    <n v="1.616995015376519E-2"/>
    <n v="7172.9207564862754"/>
    <x v="347"/>
    <d v="2022-07-22T09:35:00"/>
    <n v="24994.416567680091"/>
    <n v="5.856621874717006"/>
    <n v="1.3592789229106348"/>
    <n v="2156"/>
    <n v="0"/>
    <n v="0"/>
    <n v="0"/>
    <n v="0"/>
    <n v="394.04872029189704"/>
    <n v="394.94621597929478"/>
    <n v="0.17958165769992424"/>
    <n v="32.264263351342947"/>
    <n v="739.86769256727655"/>
    <n v="2.2543048644644717E-3"/>
    <n v="1000"/>
    <n v="-1328.5521672713762"/>
    <n v="3484.5521672713762"/>
    <n v="0.46382189239332094"/>
    <n v="0"/>
    <n v="0.28698092380205714"/>
  </r>
  <r>
    <x v="366"/>
    <x v="11"/>
    <n v="5.75"/>
    <n v="10794.90086799667"/>
    <m/>
    <m/>
    <m/>
    <m/>
    <n v="-26252.89833413333"/>
    <n v="1686.294850405935"/>
    <n v="0"/>
    <n v="58.203574574832828"/>
    <n v="3692.2359435901649"/>
    <n v="7.8835768877389008E-4"/>
    <n v="5006.9113487925188"/>
    <x v="348"/>
    <d v="2022-07-23T06:55:00"/>
    <n v="10071.97839645923"/>
    <n v="5.0798132134580074"/>
    <n v="1.1484125840148312"/>
    <n v="2156"/>
    <n v="0"/>
    <n v="0"/>
    <n v="0"/>
    <n v="0"/>
    <n v="-5243.3319676140372"/>
    <n v="336.79343070705789"/>
    <n v="0"/>
    <n v="11.624646517631946"/>
    <n v="737.42786448188167"/>
    <n v="1.574538939987449E-4"/>
    <n v="1000"/>
    <n v="144.38491540533937"/>
    <n v="2011.6150845946606"/>
    <n v="0.463821892393321"/>
    <n v="0"/>
    <n v="0.4971129952535126"/>
  </r>
  <r>
    <x v="367"/>
    <x v="8"/>
    <n v="17.083333333333329"/>
    <n v="28215.719370791161"/>
    <m/>
    <m/>
    <m/>
    <m/>
    <n v="2963.4451639908189"/>
    <n v="2756.9577247254529"/>
    <n v="0"/>
    <n v="116.9781982971756"/>
    <n v="3654.3450548745882"/>
    <n v="660.25976441362172"/>
    <n v="12473.79282528345"/>
    <x v="349"/>
    <d v="2022-07-24T21:30:00"/>
    <n v="25990.401848955909"/>
    <n v="5"/>
    <n v="1.3695380044076637"/>
    <n v="2261.9999999999995"/>
    <n v="0"/>
    <n v="0"/>
    <n v="0"/>
    <n v="0"/>
    <n v="237.57370396469437"/>
    <n v="221.02000276429993"/>
    <n v="0"/>
    <n v="9.3779173612751912"/>
    <n v="292.9618205192171"/>
    <n v="52.931756496334003"/>
    <n v="999.99999999999989"/>
    <n v="178.39942934795999"/>
    <n v="2083.6005706520396"/>
    <n v="0.44208664898320077"/>
    <n v="0"/>
    <n v="0.4799384364187716"/>
  </r>
  <r>
    <x v="368"/>
    <x v="12"/>
    <n v="8.75"/>
    <n v="10625.19109331322"/>
    <m/>
    <m/>
    <m/>
    <m/>
    <n v="1430.583807563778"/>
    <n v="1425.74887236533"/>
    <n v="0"/>
    <n v="5.6495342362694601"/>
    <n v="2509.5729495726282"/>
    <n v="7.9222712679194E-3"/>
    <n v="4585.7536009120513"/>
    <x v="350"/>
    <d v="2022-07-23T16:45:00"/>
    <n v="9826.9565776654363"/>
    <m/>
    <n v="1.9080833296973763"/>
    <n v="2316.9999999999995"/>
    <n v="0"/>
    <n v="0"/>
    <n v="0"/>
    <n v="0"/>
    <n v="311.96264170827931"/>
    <n v="310.90830350801355"/>
    <n v="0"/>
    <n v="1.2319750967748977"/>
    <n v="547.25420682731499"/>
    <n v="1.7275832845322862E-3"/>
    <n v="1000"/>
    <n v="174.06833971389642"/>
    <n v="2142.9316602861031"/>
    <n v="0.43159257660768247"/>
    <n v="0"/>
    <n v="0.46665043899089625"/>
  </r>
  <r>
    <x v="369"/>
    <x v="15"/>
    <n v="11.66666666666667"/>
    <n v="14145.162196963891"/>
    <m/>
    <m/>
    <m/>
    <m/>
    <n v="1605.343273887634"/>
    <n v="1587.7110700523681"/>
    <n v="0"/>
    <n v="-25.6047846075802"/>
    <n v="857.55692421875017"/>
    <n v="9.4731047701998444E-3"/>
    <n v="6104.94699912123"/>
    <x v="351"/>
    <d v="2022-07-24T04:30:00"/>
    <n v="13433.066769372441"/>
    <m/>
    <n v="1.9110185016095989"/>
    <n v="2317.0000000000005"/>
    <n v="0"/>
    <n v="0"/>
    <n v="0"/>
    <n v="0"/>
    <n v="262.95777410003944"/>
    <n v="260.06959114975274"/>
    <n v="0"/>
    <n v="-4.1941043241269504"/>
    <n v="140.46918414561017"/>
    <n v="1.551709584303261E-3"/>
    <n v="1000"/>
    <n v="116.64236031761675"/>
    <n v="2200.3576396823837"/>
    <n v="0.4315925766076823"/>
    <n v="0"/>
    <n v="0.45447157405936411"/>
  </r>
  <r>
    <x v="370"/>
    <x v="7"/>
    <n v="8.0833333333333339"/>
    <n v="13453.51466433817"/>
    <m/>
    <m/>
    <m/>
    <m/>
    <n v="1356.1759732270029"/>
    <n v="1249.8818532112671"/>
    <n v="0"/>
    <n v="-49.772228198094133"/>
    <n v="6957.046118971979"/>
    <n v="2478.1440663425178"/>
    <n v="5947.6192150036113"/>
    <x v="352"/>
    <d v="2022-07-25T10:40:00"/>
    <n v="12355.806564849679"/>
    <n v="5"/>
    <n v="1.359087231566896"/>
    <n v="2262"/>
    <n v="0"/>
    <n v="0"/>
    <n v="0"/>
    <n v="0"/>
    <n v="228.01997306853133"/>
    <n v="210.1482640412292"/>
    <n v="0"/>
    <n v="-8.3684288450305431"/>
    <n v="1169.71949068662"/>
    <n v="416.66152064528444"/>
    <n v="1000"/>
    <n v="184.56260560854025"/>
    <n v="2077.4373943914597"/>
    <n v="0.44208664898320066"/>
    <n v="0"/>
    <n v="0.48136227965268163"/>
  </r>
  <r>
    <x v="371"/>
    <x v="1"/>
    <n v="14.66666666666667"/>
    <n v="27727.17369208653"/>
    <m/>
    <m/>
    <m/>
    <m/>
    <n v="-25317.05229738741"/>
    <n v="2534.055224045585"/>
    <n v="0"/>
    <n v="4.5930644214706717"/>
    <n v="8107.8654943123611"/>
    <n v="6709.7317948455511"/>
    <n v="12860.47017258188"/>
    <x v="353"/>
    <d v="2022-07-26T01:20:00"/>
    <n v="26156.689544598979"/>
    <n v="5.0189260429059956"/>
    <n v="1.1404456034535615"/>
    <n v="2155.9999999999995"/>
    <n v="0"/>
    <n v="0"/>
    <n v="0"/>
    <n v="0"/>
    <n v="-1968.5946126108649"/>
    <n v="197.04219130713523"/>
    <n v="0"/>
    <n v="0.3571459176712638"/>
    <n v="630.44860611691138"/>
    <n v="521.73300857619415"/>
    <n v="1000"/>
    <n v="122.1171641792514"/>
    <n v="2033.8828358207481"/>
    <n v="0.463821892393321"/>
    <n v="0"/>
    <n v="0.49167040617482888"/>
  </r>
  <r>
    <x v="372"/>
    <x v="10"/>
    <n v="64.333333333333343"/>
    <n v="121210.2668571134"/>
    <m/>
    <m/>
    <m/>
    <m/>
    <n v="16703.12987329586"/>
    <n v="16074.49212293118"/>
    <n v="57.025943006679007"/>
    <n v="-6.6437936817322907"/>
    <n v="48226.471394804452"/>
    <n v="28913.811965743669"/>
    <n v="56219.975351165776"/>
    <x v="354"/>
    <d v="2022-07-29T05:40:00"/>
    <n v="151531.13573082371"/>
    <n v="5.019318163394928"/>
    <n v="1.1443145062140148"/>
    <n v="2155.9999999999995"/>
    <n v="0"/>
    <n v="0"/>
    <n v="0"/>
    <n v="0"/>
    <n v="297.10311626718823"/>
    <n v="285.92136553823411"/>
    <n v="1.0143359660063693"/>
    <n v="-0.11817496610827889"/>
    <n v="857.81736995735685"/>
    <n v="514.29784138359844"/>
    <n v="1000"/>
    <n v="-539.32554549015049"/>
    <n v="2695.32554549015"/>
    <n v="0.463821892393321"/>
    <n v="0"/>
    <n v="0.37101269702771578"/>
  </r>
  <r>
    <x v="373"/>
    <x v="1"/>
    <n v="33.5"/>
    <n v="63469.433799710787"/>
    <m/>
    <m/>
    <m/>
    <m/>
    <n v="7311.1933493789029"/>
    <n v="7047.9524238409131"/>
    <n v="6788.0236027352439"/>
    <n v="6650.2842432500338"/>
    <n v="15455.03379812879"/>
    <n v="11027.50042241715"/>
    <n v="29438.512894114469"/>
    <x v="355"/>
    <d v="2022-07-31T11:25:00"/>
    <n v="158950.66380478471"/>
    <n v="5.0020833015441886"/>
    <n v="1.1379650908486458"/>
    <n v="2156"/>
    <n v="0"/>
    <n v="0"/>
    <n v="0"/>
    <n v="0"/>
    <n v="248.35471056829783"/>
    <n v="239.41265135203156"/>
    <n v="230.58310136624965"/>
    <n v="225.90421829968184"/>
    <n v="524.99369970616476"/>
    <n v="374.59434388147491"/>
    <n v="1000"/>
    <n v="-3243.4121366287873"/>
    <n v="5399.4121366287873"/>
    <n v="0.463821892393321"/>
    <n v="0"/>
    <n v="0.18520534730367269"/>
  </r>
  <r>
    <x v="374"/>
    <x v="11"/>
    <n v="5.833333333333333"/>
    <n v="11017.05002857205"/>
    <m/>
    <m/>
    <m/>
    <m/>
    <n v="1326.1262443160999"/>
    <n v="1369.5803483328859"/>
    <n v="1534.2754270737919"/>
    <n v="1557.0313120902949"/>
    <n v="2310.8922099187921"/>
    <n v="1763.8926269607409"/>
    <n v="5109.9489928441799"/>
    <x v="356"/>
    <d v="2022-08-01T12:50:00"/>
    <n v="10258.47409035584"/>
    <n v="5.0558035582691048"/>
    <n v="1.1415639063133818"/>
    <n v="2156"/>
    <n v="0"/>
    <n v="0"/>
    <n v="0"/>
    <n v="0"/>
    <n v="259.51848955305962"/>
    <n v="268.02231299193113"/>
    <n v="300.25259140988402"/>
    <n v="304.70584232263673"/>
    <n v="452.23390940983882"/>
    <n v="345.18791272297307"/>
    <n v="1000.0000000000001"/>
    <n v="148.45078478836081"/>
    <n v="2007.5492152116392"/>
    <n v="0.46382189239332106"/>
    <n v="0"/>
    <n v="0.49811979323982764"/>
  </r>
  <r>
    <x v="375"/>
    <x v="7"/>
    <n v="6.666666666666667"/>
    <n v="11225.363949345199"/>
    <m/>
    <m/>
    <m/>
    <m/>
    <n v="-26655.597078397979"/>
    <n v="1318.2598337078541"/>
    <n v="511.63242647096212"/>
    <n v="614.3698992802058"/>
    <n v="3667.209840106374"/>
    <n v="1891.487814743959"/>
    <n v="4962.5835319828457"/>
    <x v="357"/>
    <d v="2022-07-30T13:15:00"/>
    <n v="10676.949632023639"/>
    <m/>
    <n v="1.3433862873443541"/>
    <n v="2262.0000000000005"/>
    <n v="0"/>
    <n v="0"/>
    <n v="0"/>
    <n v="0"/>
    <n v="-5371.3145394144103"/>
    <n v="265.63982756399696"/>
    <n v="103.09799788227136"/>
    <n v="123.80041470752407"/>
    <n v="738.97191180197763"/>
    <n v="381.14981895089591"/>
    <n v="1000"/>
    <n v="110.5098410509645"/>
    <n v="2151.490158949036"/>
    <n v="0.4420866489832006"/>
    <n v="0"/>
    <n v="0.46479413156529709"/>
  </r>
  <r>
    <x v="376"/>
    <x v="8"/>
    <n v="20.25"/>
    <n v="34123.503916443158"/>
    <m/>
    <m/>
    <m/>
    <m/>
    <n v="4458.4083699798639"/>
    <n v="4452.5067677246852"/>
    <n v="0"/>
    <n v="-45.57598747510383"/>
    <n v="11122.892306713749"/>
    <n v="6288.3040812207591"/>
    <n v="15085.54549798548"/>
    <x v="358"/>
    <d v="2022-07-30T06:35:00"/>
    <n v="34624.685750736091"/>
    <n v="5"/>
    <n v="1.3423445643847736"/>
    <n v="2262.0000000000005"/>
    <n v="0"/>
    <n v="0"/>
    <n v="0"/>
    <n v="0"/>
    <n v="295.54174030864436"/>
    <n v="295.1505312366246"/>
    <n v="0"/>
    <n v="-3.0211693359839082"/>
    <n v="737.32118657552667"/>
    <n v="416.84300259877892"/>
    <n v="1000"/>
    <n v="-33.222652396616922"/>
    <n v="2295.2226523966174"/>
    <n v="0.44208664898320066"/>
    <n v="0"/>
    <n v="0.43568757869996766"/>
  </r>
  <r>
    <x v="377"/>
    <x v="9"/>
    <n v="31.5"/>
    <n v="69407.125805223506"/>
    <m/>
    <m/>
    <m/>
    <m/>
    <n v="7847.0654950543731"/>
    <n v="7661.8202740948436"/>
    <n v="4611.6071684933622"/>
    <n v="4768.3699694881616"/>
    <n v="17641.571077753641"/>
    <n v="12436.392848982159"/>
    <n v="45011.10622906842"/>
    <x v="359"/>
    <d v="2022-08-02T20:20:00"/>
    <n v="82291.866362869128"/>
    <n v="5.346253180213667"/>
    <n v="0.69982727906511943"/>
    <n v="1542.0000000000002"/>
    <n v="0"/>
    <n v="0"/>
    <n v="0"/>
    <n v="0"/>
    <n v="174.33620616030751"/>
    <n v="170.22066143192893"/>
    <n v="102.45487291567966"/>
    <n v="105.93763115310243"/>
    <n v="391.93818050089641"/>
    <n v="276.29609425041565"/>
    <n v="1000"/>
    <n v="-286.25691828308322"/>
    <n v="1828.2569182830835"/>
    <n v="0.64850843060959795"/>
    <n v="0"/>
    <n v="0.54696907748561963"/>
  </r>
  <r>
    <x v="378"/>
    <x v="11"/>
    <n v="2.5"/>
    <n v="5979.385725172021"/>
    <m/>
    <m/>
    <m/>
    <m/>
    <n v="1085.438493889867"/>
    <n v="955.40910085852761"/>
    <n v="1059.964054279741"/>
    <n v="954.06833388128121"/>
    <n v="295.34488798097328"/>
    <n v="549.17411639631348"/>
    <n v="2773.3700023988958"/>
    <x v="360"/>
    <d v="2022-08-02T22:55:00"/>
    <n v="5244.4097895131636"/>
    <n v="5.016231309122114"/>
    <n v="0.90143038896272853"/>
    <n v="2156.0000000000009"/>
    <n v="0"/>
    <n v="0"/>
    <n v="0"/>
    <n v="0"/>
    <n v="391.37889749690447"/>
    <n v="344.49391896217327"/>
    <n v="382.19352389435909"/>
    <n v="344.01047572305026"/>
    <n v="106.49314290033689"/>
    <n v="198.01689494055665"/>
    <n v="1000.0000000000001"/>
    <n v="265.01185742368421"/>
    <n v="1890.9881425763167"/>
    <n v="0.46382189239332083"/>
    <n v="0"/>
    <n v="0.52882404573810904"/>
  </r>
  <r>
    <x v="379"/>
    <x v="1"/>
    <n v="74.333333333333343"/>
    <n v="151202.46981061349"/>
    <m/>
    <m/>
    <m/>
    <m/>
    <n v="13285.176007072079"/>
    <n v="17795.69157613234"/>
    <n v="18966.068615451419"/>
    <n v="12389.10901643185"/>
    <n v="27094.49046623729"/>
    <n v="21491.63603516735"/>
    <n v="70131.015682102749"/>
    <x v="361"/>
    <d v="2022-08-10T16:10:00"/>
    <n v="243405.4515223894"/>
    <n v="5.0217971002545641"/>
    <n v="1.0599209580862097"/>
    <n v="2155.9999999999995"/>
    <n v="0"/>
    <n v="0"/>
    <n v="0"/>
    <n v="0"/>
    <n v="189.43367464250801"/>
    <n v="253.74923495759026"/>
    <n v="270.43767199127433"/>
    <n v="176.65663181880194"/>
    <n v="386.34105328024981"/>
    <n v="306.44980435741729"/>
    <n v="1000.0000000000001"/>
    <n v="-1314.7247450361092"/>
    <n v="3470.7247450361087"/>
    <n v="0.46382189239332106"/>
    <n v="0"/>
    <n v="0.28812426033790711"/>
  </r>
  <r>
    <x v="380"/>
    <x v="8"/>
    <n v="13.33333333333333"/>
    <n v="34243.650333061443"/>
    <m/>
    <m/>
    <m/>
    <m/>
    <n v="3669.301707134025"/>
    <n v="3520.9198719710112"/>
    <n v="770.90759243034506"/>
    <n v="927.05326149034317"/>
    <n v="7210.6991751307214"/>
    <n v="3692.1144782018482"/>
    <n v="15138.660624695591"/>
    <x v="362"/>
    <d v="2022-08-11T07:45:00"/>
    <n v="29372.98403564074"/>
    <n v="5.1538131768953068"/>
    <n v="0.88074722486233403"/>
    <n v="2262.0000000000009"/>
    <n v="0"/>
    <n v="0"/>
    <n v="0"/>
    <n v="0"/>
    <n v="242.37954718056886"/>
    <n v="232.57803046508351"/>
    <n v="50.923104199374734"/>
    <n v="61.237469051789674"/>
    <n v="476.31024658601291"/>
    <n v="243.88646854127421"/>
    <n v="1000.0000000000001"/>
    <n v="321.73693685128364"/>
    <n v="1940.2630631487173"/>
    <n v="0.44208664898320049"/>
    <n v="0"/>
    <n v="0.51539403032141939"/>
  </r>
  <r>
    <x v="381"/>
    <x v="1"/>
    <n v="11.08333333333333"/>
    <n v="28404.361325331229"/>
    <m/>
    <m/>
    <m/>
    <m/>
    <n v="2727.0084158656618"/>
    <n v="2636.3220100795888"/>
    <n v="3738.4049177618949"/>
    <n v="-20768.448449054129"/>
    <n v="3563.3065327494928"/>
    <n v="2921.8652775351702"/>
    <n v="13174.564622138791"/>
    <x v="363"/>
    <d v="2022-08-12T11:05:00"/>
    <n v="63463.156375542363"/>
    <n v="5.0509573365296294"/>
    <n v="0.84126752201804722"/>
    <n v="2156"/>
    <n v="0"/>
    <n v="0"/>
    <n v="0"/>
    <n v="0"/>
    <n v="206.99040113121802"/>
    <n v="200.106955007034"/>
    <n v="283.75927592171109"/>
    <n v="-1576.4049169529619"/>
    <n v="270.46863672152352"/>
    <n v="221.78078451451913"/>
    <n v="1000"/>
    <n v="-2661.0970499395225"/>
    <n v="4817.0970499395225"/>
    <n v="0.463821892393321"/>
    <n v="0"/>
    <n v="0.20759390762379487"/>
  </r>
  <r>
    <x v="382"/>
    <x v="7"/>
    <n v="16.25"/>
    <n v="41037.010371879303"/>
    <m/>
    <m/>
    <m/>
    <m/>
    <n v="3410.2492279740909"/>
    <n v="3546.339349796378"/>
    <n v="1743.196741102118"/>
    <n v="1435.8503254346931"/>
    <n v="7946.0541073190152"/>
    <n v="5084.17041428626"/>
    <n v="18141.91439959297"/>
    <x v="364"/>
    <d v="2022-08-12T00:00:00"/>
    <n v="35447.409759044829"/>
    <n v="5.0361184095081528"/>
    <n v="0.89571583472825689"/>
    <n v="2262.0000000000005"/>
    <n v="0"/>
    <n v="0"/>
    <n v="0"/>
    <n v="0"/>
    <n v="187.97626054561269"/>
    <n v="195.47768067277087"/>
    <n v="96.086703018576046"/>
    <n v="79.145469094866186"/>
    <n v="437.99424538665511"/>
    <n v="280.24442747896148"/>
    <n v="1000"/>
    <n v="308.10423253677618"/>
    <n v="1953.8957674632243"/>
    <n v="0.44208664898320066"/>
    <n v="0"/>
    <n v="0.51179802763906734"/>
  </r>
  <r>
    <x v="383"/>
    <x v="9"/>
    <n v="23.333333333333339"/>
    <n v="43683.17773100044"/>
    <m/>
    <m/>
    <m/>
    <m/>
    <n v="4735.0970369739189"/>
    <n v="4573.4221337439158"/>
    <n v="4588.2406590772434"/>
    <n v="4906.8957926497633"/>
    <n v="4636.9775255299419"/>
    <n v="4374.4205073982803"/>
    <n v="28328.909034371231"/>
    <x v="365"/>
    <d v="2022-08-14T09:30:00"/>
    <n v="71884.62339213572"/>
    <n v="5.0198113243534879"/>
    <n v="0.82365802738902505"/>
    <n v="1542"/>
    <n v="0"/>
    <n v="0"/>
    <n v="0"/>
    <n v="0"/>
    <n v="167.14717221298091"/>
    <n v="161.44010798986366"/>
    <n v="161.96319644750065"/>
    <n v="173.21160467903186"/>
    <n v="163.68358978822428"/>
    <n v="154.41542426116135"/>
    <n v="1000"/>
    <n v="-995.50059011869143"/>
    <n v="2537.5005901186914"/>
    <n v="0.64850843060959784"/>
    <n v="0"/>
    <n v="0.39408857830185773"/>
  </r>
  <r>
    <x v="384"/>
    <x v="7"/>
    <n v="9.9166666666666661"/>
    <n v="20605.584388285759"/>
    <m/>
    <m/>
    <m/>
    <m/>
    <n v="2143.6390450159729"/>
    <n v="2264.2294003339598"/>
    <n v="55.416837284605862"/>
    <n v="-3569.9337916740028"/>
    <n v="5430.1261133108083"/>
    <n v="2375.8511995146018"/>
    <n v="9109.4537525578053"/>
    <x v="366"/>
    <d v="2022-08-12T18:15:00"/>
    <n v="21448.74649642143"/>
    <n v="5.1368612015473492"/>
    <n v="1.0886126584573972"/>
    <n v="2262.0000000000005"/>
    <n v="0"/>
    <n v="0"/>
    <n v="0"/>
    <n v="0"/>
    <n v="235.32026214130235"/>
    <n v="248.55819699377651"/>
    <n v="6.0834424093810897"/>
    <n v="-391.89328895507225"/>
    <n v="596.09788477010557"/>
    <n v="260.81159903221385"/>
    <n v="1000"/>
    <n v="-92.559019567877385"/>
    <n v="2354.5590195678778"/>
    <n v="0.44208664898320066"/>
    <n v="0"/>
    <n v="0.42470797788008974"/>
  </r>
  <r>
    <x v="385"/>
    <x v="1"/>
    <n v="7.25"/>
    <n v="13746.818821842569"/>
    <m/>
    <m/>
    <m/>
    <m/>
    <n v="1146.4357796821789"/>
    <n v="1263.349361702099"/>
    <n v="2896.1794788621228"/>
    <n v="2972.4475202167819"/>
    <n v="0"/>
    <n v="2012.1586744326989"/>
    <n v="6376.0755203351446"/>
    <x v="367"/>
    <d v="2022-08-14T16:45:00"/>
    <n v="12735.56036021199"/>
    <m/>
    <n v="1.137063069105386"/>
    <n v="2155.9999999999995"/>
    <n v="0"/>
    <n v="0"/>
    <n v="0"/>
    <n v="0"/>
    <n v="179.80272912795095"/>
    <n v="198.139021044044"/>
    <n v="454.22603129862102"/>
    <n v="466.18762759894997"/>
    <n v="0"/>
    <n v="315.57949212103028"/>
    <n v="1000"/>
    <n v="158.6020206952353"/>
    <n v="1997.3979793047642"/>
    <n v="0.46382189239332106"/>
    <n v="0"/>
    <n v="0.50065135259026883"/>
  </r>
  <r>
    <x v="386"/>
    <x v="10"/>
    <n v="6.083333333333333"/>
    <n v="11540.084380156441"/>
    <m/>
    <m/>
    <m/>
    <m/>
    <n v="1276.1290720337399"/>
    <n v="1279.7199481712471"/>
    <n v="6167.9747202925646"/>
    <n v="6056.5511130053619"/>
    <n v="0"/>
    <n v="7267.4326289677738"/>
    <n v="5352.5437755827652"/>
    <x v="368"/>
    <d v="2022-08-15T00:05:00"/>
    <n v="10794.024250199591"/>
    <n v="5.0062499841054278"/>
    <n v="1.136531262216721"/>
    <n v="2156"/>
    <n v="0"/>
    <n v="0"/>
    <n v="0"/>
    <n v="0"/>
    <n v="238.41543862848644"/>
    <n v="239.08631144860013"/>
    <n v="1152.3445634260167"/>
    <n v="1131.5276188182033"/>
    <n v="0"/>
    <n v="1357.7530485823113"/>
    <n v="1000"/>
    <n v="139.38421827771435"/>
    <n v="2016.6157817222856"/>
    <n v="0.463821892393321"/>
    <n v="0"/>
    <n v="0.49588028074735813"/>
  </r>
  <r>
    <x v="387"/>
    <x v="8"/>
    <n v="15.33333333333333"/>
    <n v="25883.235922921569"/>
    <m/>
    <m/>
    <m/>
    <m/>
    <n v="-24884.288537623699"/>
    <n v="2517.1602660781391"/>
    <n v="15772.0932291794"/>
    <n v="-11779.64069775809"/>
    <n v="0"/>
    <n v="17962.75704807432"/>
    <n v="11442.633034005999"/>
    <x v="369"/>
    <d v="2022-08-15T15:20:00"/>
    <n v="58194.75240469251"/>
    <n v="5.2468291368624449"/>
    <n v="1.3400179213791688"/>
    <n v="2262"/>
    <n v="0"/>
    <n v="0"/>
    <n v="0"/>
    <n v="0"/>
    <n v="-2174.6995174686517"/>
    <n v="219.98086092575636"/>
    <n v="1378.3622337889203"/>
    <n v="-1029.4519332002126"/>
    <n v="0"/>
    <n v="1569.8097627260588"/>
    <n v="1000"/>
    <n v="-2823.7833360333552"/>
    <n v="5085.7833360333552"/>
    <n v="0.44208664898320071"/>
    <n v="0"/>
    <n v="0.19662654382362021"/>
  </r>
  <r>
    <x v="388"/>
    <x v="3"/>
    <n v="11.5"/>
    <n v="12283.548264630799"/>
    <m/>
    <m/>
    <m/>
    <m/>
    <n v="3099.3116379952712"/>
    <n v="2904.0522494986062"/>
    <n v="9016.4294681743449"/>
    <n v="9164.8194929921938"/>
    <n v="0"/>
    <n v="9179.0400067225964"/>
    <n v="5301.488245416831"/>
    <x v="370"/>
    <d v="2022-08-16T02:50:00"/>
    <n v="12970.04662157287"/>
    <n v="5.5529604207456504"/>
    <n v="2.1692022065580963"/>
    <n v="2317"/>
    <n v="0"/>
    <n v="0"/>
    <n v="0"/>
    <n v="0"/>
    <n v="584.61162121308951"/>
    <n v="547.78056935411996"/>
    <n v="1700.7355389251506"/>
    <n v="1728.7257971222018"/>
    <n v="0"/>
    <n v="1731.4081597102345"/>
    <n v="1000"/>
    <n v="-129.49163049367417"/>
    <n v="2446.4916304936742"/>
    <n v="0.4315925766076823"/>
    <n v="0"/>
    <n v="0.40874858819697307"/>
  </r>
  <r>
    <x v="389"/>
    <x v="17"/>
    <n v="46.249999999999993"/>
    <n v="0"/>
    <n v="89895.248333333482"/>
    <n v="22481.306465000041"/>
    <n v="67413.941868333437"/>
    <m/>
    <n v="0"/>
    <n v="21272.96485255205"/>
    <n v="59685.469580986253"/>
    <n v="0"/>
    <n v="0"/>
    <n v="49456.753881556477"/>
    <n v="39566.570569248892"/>
    <x v="371"/>
    <d v="2022-08-19T10:55:00"/>
    <n v="43.59375"/>
    <n v="5.0038460951585044"/>
    <n v="1.1689160656229696"/>
    <n v="0"/>
    <n v="2272"/>
    <n v="568.18941195961258"/>
    <n v="1703.8105880403875"/>
    <n v="0"/>
    <n v="0"/>
    <n v="537.64995415309966"/>
    <n v="1508.4822546479111"/>
    <n v="0"/>
    <n v="0"/>
    <n v="1249.9631170964872"/>
    <n v="1000"/>
    <n v="-1.1017823726648936"/>
    <n v="1.1017823726648936"/>
    <n v="0"/>
    <n v="0.44014084507042256"/>
    <n v="907.62025678563771"/>
  </r>
  <r>
    <x v="390"/>
    <x v="24"/>
    <n v="114.25"/>
    <n v="0"/>
    <n v="186108.61350000021"/>
    <n v="43721.187835500037"/>
    <n v="142387.4256645001"/>
    <n v="20678.73483333335"/>
    <n v="96.470147920448653"/>
    <n v="52615.597619998021"/>
    <n v="135267.1304119066"/>
    <n v="2351.2955306546669"/>
    <n v="0"/>
    <n v="113049.9707124469"/>
    <n v="90616.717061057629"/>
    <x v="372"/>
    <d v="2022-08-24T05:10:00"/>
    <n v="1447.1666545603009"/>
    <n v="5.0031249523162842"/>
    <n v="1.2608048901508786"/>
    <n v="0"/>
    <n v="2053.8000000000006"/>
    <n v="482.48479147661754"/>
    <n v="1571.3152085233821"/>
    <n v="228.2"/>
    <n v="1.0645954857915121"/>
    <n v="580.63897398253334"/>
    <n v="1492.7392516412119"/>
    <n v="25.947701560081477"/>
    <n v="0"/>
    <n v="1247.561977292487"/>
    <n v="1000"/>
    <n v="-15.970195141644767"/>
    <n v="15.970195141644767"/>
    <n v="0"/>
    <n v="0.43821209465381233"/>
    <n v="62.616642510043263"/>
  </r>
  <r>
    <x v="391"/>
    <x v="17"/>
    <n v="50.5"/>
    <n v="0"/>
    <n v="96154.09499999987"/>
    <n v="21325.863184999969"/>
    <n v="74828.23181499989"/>
    <m/>
    <n v="0"/>
    <n v="24012.474859281599"/>
    <n v="60480.463861624528"/>
    <n v="0"/>
    <n v="0"/>
    <n v="48875.115118362271"/>
    <n v="42321.344630281637"/>
    <x v="373"/>
    <d v="2022-08-26T09:50:00"/>
    <n v="0"/>
    <n v="5.0037499427795407"/>
    <n v="1.1932513118656063"/>
    <n v="0"/>
    <n v="2271.9999999999995"/>
    <n v="503.90325192411188"/>
    <n v="1768.0967480758877"/>
    <n v="0"/>
    <n v="0"/>
    <n v="567.38449756391412"/>
    <n v="1429.0770860420569"/>
    <n v="0"/>
    <n v="0"/>
    <n v="1154.8573313379864"/>
    <n v="999.99999999999989"/>
    <n v="0"/>
    <n v="0"/>
    <n v="0"/>
    <n v="0.44014084507042256"/>
    <n v="0"/>
  </r>
  <r>
    <x v="392"/>
    <x v="1"/>
    <n v="14.91666666666667"/>
    <n v="21084.868144206401"/>
    <m/>
    <m/>
    <m/>
    <m/>
    <n v="-25281.251236519831"/>
    <n v="2206.0152496686928"/>
    <n v="4921.5045445638443"/>
    <n v="4916.1308867796979"/>
    <n v="0"/>
    <n v="871.71510993665868"/>
    <n v="9779.623443509463"/>
    <x v="374"/>
    <d v="2022-09-17T14:05:00"/>
    <n v="88492.663383872001"/>
    <n v="5.4867944728833038"/>
    <n v="1.5252802679807225"/>
    <n v="2156"/>
    <n v="0"/>
    <n v="0"/>
    <n v="0"/>
    <n v="0"/>
    <n v="-2585.0945471012469"/>
    <n v="225.57261661570212"/>
    <n v="503.24069970507367"/>
    <n v="502.69122478764086"/>
    <n v="0"/>
    <n v="89.13585630080658"/>
    <n v="1000"/>
    <n v="-6892.6779879651476"/>
    <n v="9048.6779879651476"/>
    <n v="0.463821892393321"/>
    <n v="0"/>
    <n v="0.11051338121767756"/>
  </r>
  <r>
    <x v="393"/>
    <x v="12"/>
    <n v="23.083333333333329"/>
    <n v="27994.743835152909"/>
    <m/>
    <m/>
    <m/>
    <m/>
    <n v="3575.0176164006639"/>
    <n v="3517.946930018009"/>
    <n v="3744.109863556911"/>
    <n v="3780.5378174856301"/>
    <n v="0"/>
    <n v="2674.32615893206"/>
    <n v="12082.323623285671"/>
    <x v="375"/>
    <d v="2022-09-18T23:35:00"/>
    <n v="25954.173010540901"/>
    <n v="5.5401695774943303"/>
    <n v="1.9105044735638392"/>
    <n v="2317.0000000000009"/>
    <n v="0"/>
    <n v="0"/>
    <n v="0"/>
    <n v="0"/>
    <n v="295.8882519510326"/>
    <n v="291.16476595925985"/>
    <n v="309.88326254902421"/>
    <n v="312.89824170903557"/>
    <n v="0"/>
    <n v="221.34204001769677"/>
    <n v="999.99999999999989"/>
    <n v="168.88893959762163"/>
    <n v="2148.1110604023793"/>
    <n v="0.43159257660768219"/>
    <n v="0"/>
    <n v="0.46552527866630983"/>
  </r>
  <r>
    <x v="394"/>
    <x v="3"/>
    <n v="75.833333333333329"/>
    <n v="92630.346538658239"/>
    <m/>
    <m/>
    <m/>
    <m/>
    <n v="12805.712201629771"/>
    <n v="12799.91565168202"/>
    <n v="20402.890735145589"/>
    <n v="-291.66848758043852"/>
    <n v="0"/>
    <n v="8787.6533424613153"/>
    <n v="39978.569934682018"/>
    <x v="376"/>
    <d v="2022-09-22T05:50:00"/>
    <n v="90180.948991923404"/>
    <n v="5.2999528985458122"/>
    <n v="1.8968495735898436"/>
    <n v="2317.0000000000005"/>
    <n v="0"/>
    <n v="0"/>
    <n v="0"/>
    <n v="0"/>
    <n v="320.314414011108"/>
    <n v="320.16942258301987"/>
    <n v="510.34568691377251"/>
    <n v="-7.2956208302841681"/>
    <n v="0"/>
    <n v="219.80909664399709"/>
    <n v="1000"/>
    <n v="61.267762972430774"/>
    <n v="2255.7322370275697"/>
    <n v="0.43159257660768235"/>
    <n v="0"/>
    <n v="0.44331502808051504"/>
  </r>
  <r>
    <x v="395"/>
    <x v="8"/>
    <n v="31.166666666666671"/>
    <n v="78168.563316043437"/>
    <m/>
    <m/>
    <m/>
    <m/>
    <n v="7833.6064960991089"/>
    <n v="7431.4742037110636"/>
    <n v="1123.2479321807141"/>
    <n v="1083.605190580975"/>
    <n v="11395.066774578079"/>
    <n v="96.416175188571842"/>
    <n v="34557.278212220801"/>
    <x v="377"/>
    <d v="2022-09-24T10:40:00"/>
    <n v="89485.587918541045"/>
    <n v="7.4211130237484602"/>
    <n v="0.90188429989387653"/>
    <n v="2261.9999999999995"/>
    <n v="0"/>
    <n v="0"/>
    <n v="0"/>
    <n v="0"/>
    <n v="226.6847072848706"/>
    <n v="215.04801848320926"/>
    <n v="32.503946788942706"/>
    <n v="31.356786374390158"/>
    <n v="329.74433647810667"/>
    <n v="2.7900396147077151"/>
    <n v="1000.0000000000001"/>
    <n v="-327.48599391995731"/>
    <n v="2589.4859939199569"/>
    <n v="0.44208664898320077"/>
    <n v="0"/>
    <n v="0.38617702599974396"/>
  </r>
  <r>
    <x v="396"/>
    <x v="5"/>
    <n v="13.33333333333333"/>
    <n v="24779.481413320711"/>
    <m/>
    <m/>
    <m/>
    <m/>
    <n v="2063.772215596608"/>
    <n v="2089.1321297305271"/>
    <n v="6241.4065095303549"/>
    <n v="6290.9016376116897"/>
    <n v="0"/>
    <n v="2822.1791194426341"/>
    <n v="14339.97766974578"/>
    <x v="378"/>
    <d v="2022-09-22T21:35:00"/>
    <n v="23341.115604792139"/>
    <n v="5.2021023861276428"/>
    <n v="0.92980154086737188"/>
    <n v="1728.0000000000002"/>
    <n v="0"/>
    <n v="0"/>
    <n v="0"/>
    <n v="0"/>
    <n v="143.91739395457475"/>
    <n v="145.68587049742339"/>
    <n v="435.24520423057277"/>
    <n v="438.69675270723178"/>
    <n v="0"/>
    <n v="196.80498703961135"/>
    <n v="1000"/>
    <n v="100.30460588256074"/>
    <n v="1627.6953941174395"/>
    <n v="0.57870370370370361"/>
    <n v="0"/>
    <n v="0.61436556472055071"/>
  </r>
  <r>
    <x v="397"/>
    <x v="1"/>
    <n v="38.75"/>
    <n v="73127.067395158097"/>
    <m/>
    <m/>
    <m/>
    <m/>
    <n v="7118.3787990409892"/>
    <n v="7018.0804760833844"/>
    <n v="2.9053125"/>
    <n v="-50.616973170846791"/>
    <n v="29742.59683447831"/>
    <n v="12679.556192717821"/>
    <n v="33917.934784396137"/>
    <x v="379"/>
    <d v="2022-09-26T15:20:00"/>
    <n v="117439.4270032458"/>
    <n v="5.5391377326386504"/>
    <n v="1.1424634266891405"/>
    <n v="2156.0000000000009"/>
    <n v="0"/>
    <n v="0"/>
    <n v="0"/>
    <n v="0"/>
    <n v="209.87064348964378"/>
    <n v="206.91355534158393"/>
    <n v="8.5657116757491436E-2"/>
    <n v="-1.4923365320618813"/>
    <n v="876.89881543617219"/>
    <n v="373.83043140206223"/>
    <n v="999.99999999999989"/>
    <n v="-1306.4580697428987"/>
    <n v="3462.4580697428996"/>
    <n v="0.46382189239332078"/>
    <n v="0"/>
    <n v="0.28881216172366636"/>
  </r>
  <r>
    <x v="398"/>
    <x v="9"/>
    <n v="12.41666666666667"/>
    <n v="30875.266170360701"/>
    <m/>
    <m/>
    <m/>
    <m/>
    <n v="2497.5221324491699"/>
    <n v="2582.2135257212772"/>
    <n v="0"/>
    <n v="36.93350781416882"/>
    <n v="5277.394998927708"/>
    <n v="2368.0046276814951"/>
    <n v="20022.870408794231"/>
    <x v="380"/>
    <d v="2022-09-25T11:25:00"/>
    <n v="72125.555142243844"/>
    <n v="6.2465671499357898"/>
    <n v="0.62012420862561013"/>
    <n v="1541.9999999999998"/>
    <n v="0"/>
    <n v="0"/>
    <n v="0"/>
    <n v="0"/>
    <n v="124.73347134845537"/>
    <n v="128.96320422606067"/>
    <n v="0"/>
    <n v="1.8445660916802058"/>
    <n v="263.56835414615813"/>
    <n v="118.26499294733713"/>
    <n v="1000"/>
    <n v="-2060.1586151087322"/>
    <n v="3602.1586151087322"/>
    <n v="0.64850843060959806"/>
    <n v="0"/>
    <n v="0.2776113177819669"/>
  </r>
  <r>
    <x v="399"/>
    <x v="11"/>
    <n v="51.333333333333329"/>
    <n v="138677.6538917094"/>
    <m/>
    <m/>
    <m/>
    <m/>
    <n v="13517.54413995168"/>
    <n v="13460.408513842631"/>
    <n v="0"/>
    <n v="-30.72088693357955"/>
    <n v="45577.76512750917"/>
    <n v="29220.01070945133"/>
    <n v="64321.731860718617"/>
    <x v="381"/>
    <d v="2022-09-28T18:40:00"/>
    <n v="126521.0568493231"/>
    <n v="5.9485337319292189"/>
    <n v="0.79807138036161429"/>
    <n v="2156.0000000000009"/>
    <n v="0"/>
    <n v="0"/>
    <n v="0"/>
    <n v="0"/>
    <n v="210.15516449747312"/>
    <n v="209.26688577026522"/>
    <n v="0"/>
    <n v="-0.47761286963016064"/>
    <n v="708.59045316445497"/>
    <n v="454.27897950142159"/>
    <n v="1000"/>
    <n v="188.99673082046411"/>
    <n v="1967.0032691795368"/>
    <n v="0.46382189239332078"/>
    <n v="0"/>
    <n v="0.50838756379754935"/>
  </r>
  <r>
    <x v="400"/>
    <x v="9"/>
    <n v="12.58333333333333"/>
    <n v="30629.849970227518"/>
    <m/>
    <m/>
    <m/>
    <m/>
    <n v="2901.7961002825891"/>
    <n v="2852.0123776507471"/>
    <n v="0"/>
    <n v="-33.431914157858962"/>
    <n v="11415.42164196643"/>
    <n v="7036.0630972126391"/>
    <n v="19863.715933999691"/>
    <x v="382"/>
    <d v="2022-09-29T07:15:00"/>
    <n v="30880.666542147021"/>
    <n v="5.5861835748678672"/>
    <n v="0.63348335100760744"/>
    <n v="1541.9999999999998"/>
    <n v="0"/>
    <n v="0"/>
    <n v="0"/>
    <n v="0"/>
    <n v="146.0852596726746"/>
    <n v="143.57899534643997"/>
    <n v="0"/>
    <n v="-1.6830644512306627"/>
    <n v="574.68711694709884"/>
    <n v="354.21686056078636"/>
    <n v="1000"/>
    <n v="-12.626870659693395"/>
    <n v="1554.6268706596932"/>
    <n v="0.64850843060959806"/>
    <n v="0"/>
    <n v="0.64324116537086373"/>
  </r>
  <r>
    <x v="401"/>
    <x v="1"/>
    <n v="21.083333333333339"/>
    <n v="50248.851763839128"/>
    <m/>
    <m/>
    <m/>
    <m/>
    <n v="4751.5113681222592"/>
    <n v="4799.5560432938264"/>
    <n v="0"/>
    <n v="39.783753358918261"/>
    <n v="16307.675733189841"/>
    <n v="11465.16341066216"/>
    <n v="23306.51751569533"/>
    <x v="383"/>
    <d v="2022-10-03T05:30:00"/>
    <n v="112229.16133824149"/>
    <n v="6.1050508937835692"/>
    <n v="0.90461105221469362"/>
    <n v="2155.9999999999995"/>
    <n v="0"/>
    <n v="0"/>
    <n v="0"/>
    <n v="0"/>
    <n v="203.8704995253986"/>
    <n v="205.93192612588547"/>
    <n v="0"/>
    <n v="1.7069797464218606"/>
    <n v="699.70452351827112"/>
    <n v="491.92949581339923"/>
    <n v="1000"/>
    <n v="-2659.3552439854179"/>
    <n v="4815.3552439854175"/>
    <n v="0.463821892393321"/>
    <n v="0"/>
    <n v="0.20766899830475483"/>
  </r>
  <r>
    <x v="402"/>
    <x v="11"/>
    <n v="18.833333333333329"/>
    <n v="35624.364149719637"/>
    <m/>
    <m/>
    <m/>
    <m/>
    <n v="-23623.759669100811"/>
    <n v="3909.8950886071461"/>
    <n v="0"/>
    <n v="-29271.921369419098"/>
    <n v="18566.217347479382"/>
    <n v="8965.529799577982"/>
    <n v="16523.359995231749"/>
    <x v="384"/>
    <d v="2022-09-30T02:10:00"/>
    <n v="33017.801088284301"/>
    <n v="5.6755461740889093"/>
    <n v="1.1398004606065706"/>
    <n v="2155.9999999999991"/>
    <n v="0"/>
    <n v="0"/>
    <n v="0"/>
    <n v="0"/>
    <n v="-1429.7188753327453"/>
    <n v="236.62833042041385"/>
    <n v="0"/>
    <n v="-1771.5477589222944"/>
    <n v="1123.6345000555064"/>
    <n v="542.59725637916392"/>
    <n v="1000"/>
    <n v="157.75018290393268"/>
    <n v="1998.2498170960664"/>
    <n v="0.46382189239332117"/>
    <n v="0"/>
    <n v="0.50043792895386752"/>
  </r>
  <r>
    <x v="403"/>
    <x v="9"/>
    <n v="11.41666666666667"/>
    <n v="32088.83068682711"/>
    <m/>
    <m/>
    <m/>
    <m/>
    <n v="2885.2165439498731"/>
    <n v="2820.9841710659002"/>
    <n v="0"/>
    <n v="13.41219966258222"/>
    <n v="12792.829086164331"/>
    <n v="6222.1346313935192"/>
    <n v="20809.877228811361"/>
    <x v="385"/>
    <d v="2022-10-02T07:10:00"/>
    <n v="27771.329844977012"/>
    <n v="6.0211870384469268"/>
    <n v="0.5486176848203721"/>
    <n v="1541.9999999999995"/>
    <n v="0"/>
    <n v="0"/>
    <n v="0"/>
    <n v="0"/>
    <n v="138.64649523041294"/>
    <n v="135.5598661178181"/>
    <n v="0"/>
    <n v="0.64451123450228598"/>
    <n v="614.74793654489258"/>
    <n v="298.9991033094106"/>
    <n v="1000"/>
    <n v="207.47363352401248"/>
    <n v="1334.5263664759871"/>
    <n v="0.64850843060959806"/>
    <n v="0"/>
    <n v="0.74932951878698872"/>
  </r>
  <r>
    <x v="404"/>
    <x v="11"/>
    <n v="51.166666666666671"/>
    <n v="105593.99532177221"/>
    <m/>
    <m/>
    <m/>
    <m/>
    <n v="13660.192462136491"/>
    <n v="13641.962027800089"/>
    <n v="0"/>
    <n v="-7.9711649306233312"/>
    <n v="47083.664258022567"/>
    <n v="25384.627436351449"/>
    <n v="48976.806735515871"/>
    <x v="386"/>
    <d v="2022-10-04T23:55:00"/>
    <n v="161909.88595732141"/>
    <n v="6.6277342945679489"/>
    <n v="1.0447121827067343"/>
    <n v="2155.9999999999995"/>
    <n v="0"/>
    <n v="0"/>
    <n v="0"/>
    <n v="0"/>
    <n v="278.91145569992227"/>
    <n v="278.5392298332003"/>
    <n v="0"/>
    <n v="-0.1627538719228705"/>
    <n v="961.34614313022416"/>
    <n v="518.29894859077467"/>
    <n v="1000"/>
    <n v="-1149.8481503636158"/>
    <n v="3305.8481503636153"/>
    <n v="0.463821892393321"/>
    <n v="0"/>
    <n v="0.30249423280074383"/>
  </r>
  <r>
    <x v="405"/>
    <x v="1"/>
    <n v="18.083333333333329"/>
    <n v="34184.317795706949"/>
    <m/>
    <m/>
    <m/>
    <m/>
    <n v="-24718.163163487039"/>
    <n v="2973.0394843467038"/>
    <n v="771.52206093749999"/>
    <n v="811.68620386759471"/>
    <n v="12311.112840788859"/>
    <n v="7691.2323177305461"/>
    <n v="15855.434970179471"/>
    <x v="387"/>
    <d v="2022-10-05T18:00:00"/>
    <n v="31829.027753785809"/>
    <n v="7.8869731336901836"/>
    <n v="1.1405132288924293"/>
    <n v="2156.0000000000009"/>
    <n v="0"/>
    <n v="0"/>
    <n v="0"/>
    <n v="0"/>
    <n v="-1558.9709907029596"/>
    <n v="187.50917208757289"/>
    <n v="48.659785265340275"/>
    <n v="51.1929319753255"/>
    <n v="776.4601137681376"/>
    <n v="485.08491455428594"/>
    <n v="1000"/>
    <n v="148.54780372477444"/>
    <n v="2007.4521962752265"/>
    <n v="0.46382189239332083"/>
    <n v="0"/>
    <n v="0.4981438670646669"/>
  </r>
  <r>
    <x v="406"/>
    <x v="9"/>
    <n v="28.083333333333329"/>
    <n v="61229.666137308093"/>
    <m/>
    <m/>
    <m/>
    <m/>
    <n v="6618.6602525356338"/>
    <n v="6327.0970798847002"/>
    <n v="1.9040625"/>
    <n v="-3.4896403170563421"/>
    <n v="22557.271102993731"/>
    <n v="14841.94689497149"/>
    <n v="39707.954693455307"/>
    <x v="388"/>
    <d v="2022-10-11T10:20:00"/>
    <n v="353222.58988805348"/>
    <n v="8.4400813251139386"/>
    <n v="0.70724703778213094"/>
    <n v="1542.0000000000002"/>
    <n v="0"/>
    <n v="0"/>
    <n v="0"/>
    <n v="0"/>
    <n v="166.68348454690178"/>
    <n v="159.34079528219914"/>
    <n v="4.7951663960013255E-2"/>
    <n v="-8.7882650818867467E-2"/>
    <n v="568.07940064240165"/>
    <n v="373.77767274973115"/>
    <n v="1000"/>
    <n v="-7353.5120608685465"/>
    <n v="8895.5120608685465"/>
    <n v="0.64850843060959784"/>
    <n v="0"/>
    <n v="0.11241623789135319"/>
  </r>
  <r>
    <x v="407"/>
    <x v="10"/>
    <n v="34.083333333333329"/>
    <n v="68711.076186594801"/>
    <m/>
    <m/>
    <m/>
    <m/>
    <n v="11695.136719113811"/>
    <n v="7011.0728317689936"/>
    <n v="0"/>
    <n v="9.3781320311165928"/>
    <n v="29416.441181499689"/>
    <n v="17190.353327728011"/>
    <n v="31869.701385248049"/>
    <x v="389"/>
    <d v="2022-10-10T21:10:00"/>
    <n v="270567.82936240197"/>
    <n v="8.5471659693490754"/>
    <n v="1.0694588230158295"/>
    <n v="2156"/>
    <n v="0"/>
    <n v="0"/>
    <n v="0"/>
    <n v="0"/>
    <n v="366.96725136330559"/>
    <n v="219.99179556211033"/>
    <n v="0"/>
    <n v="0.29426482280933997"/>
    <n v="923.02217789577617"/>
    <n v="539.39486661412957"/>
    <n v="1000"/>
    <n v="-6333.8137604653948"/>
    <n v="8489.8137604653948"/>
    <n v="0.46382189239332089"/>
    <n v="0"/>
    <n v="0.11778821399554257"/>
  </r>
  <r>
    <x v="408"/>
    <x v="11"/>
    <n v="70.166666666666671"/>
    <n v="132552.75145694069"/>
    <m/>
    <m/>
    <m/>
    <m/>
    <n v="9947.983970219113"/>
    <n v="14806.643972290711"/>
    <n v="2961.422101572814"/>
    <n v="2918.774795735686"/>
    <n v="50760.080301487782"/>
    <n v="32071.548372216908"/>
    <n v="61480.868022699768"/>
    <x v="390"/>
    <d v="2022-10-10T07:00:00"/>
    <n v="123004.0683800814"/>
    <n v="8.406232016558473"/>
    <n v="1.1412764478334945"/>
    <n v="2156"/>
    <n v="0"/>
    <n v="0"/>
    <n v="0"/>
    <n v="0"/>
    <n v="161.80617304469661"/>
    <n v="240.83335919759381"/>
    <n v="48.16818950050294"/>
    <n v="47.474521580567561"/>
    <n v="825.62400196995122"/>
    <n v="521.65087129829647"/>
    <n v="1000"/>
    <n v="155.31145515599701"/>
    <n v="2000.688544844003"/>
    <n v="0.463821892393321"/>
    <n v="0"/>
    <n v="0.49982792303035434"/>
  </r>
  <r>
    <x v="409"/>
    <x v="1"/>
    <n v="29.583333333333339"/>
    <n v="75806.535772288742"/>
    <m/>
    <m/>
    <m/>
    <m/>
    <n v="6487.4430665759273"/>
    <n v="6555.8920455826028"/>
    <n v="0"/>
    <n v="56.510119513532693"/>
    <n v="27565.52092158037"/>
    <n v="18619.2676611764"/>
    <n v="35160.730877684953"/>
    <x v="391"/>
    <d v="2022-10-12T15:55:00"/>
    <n v="74560.643384648094"/>
    <n v="7.8733923074304846"/>
    <n v="0.8413742432216802"/>
    <n v="2155.9999999999995"/>
    <n v="0"/>
    <n v="0"/>
    <n v="0"/>
    <n v="0"/>
    <n v="184.50819720284133"/>
    <n v="186.45494225898909"/>
    <n v="0"/>
    <n v="1.6071941083965722"/>
    <n v="783.98600465597985"/>
    <n v="529.5472305723107"/>
    <n v="999.99999999999989"/>
    <n v="35.434200499835242"/>
    <n v="2120.5657995001643"/>
    <n v="0.46382189239332106"/>
    <n v="0"/>
    <n v="0.47157225691167365"/>
  </r>
  <r>
    <x v="410"/>
    <x v="11"/>
    <n v="31.166666666666661"/>
    <n v="75951.41173875978"/>
    <m/>
    <m/>
    <m/>
    <m/>
    <n v="-19380.68331685361"/>
    <n v="8089.1844882517062"/>
    <n v="0"/>
    <n v="-41.817123694940513"/>
    <n v="31116.955463635761"/>
    <n v="19782.236426556221"/>
    <n v="35227.92752261585"/>
    <x v="392"/>
    <d v="2022-10-13T23:05:00"/>
    <n v="72063.105098567117"/>
    <n v="5.9410476114063977"/>
    <n v="0.88471473794926159"/>
    <n v="2156.0000000000005"/>
    <n v="0"/>
    <n v="0"/>
    <n v="0"/>
    <n v="0"/>
    <n v="-550.15110680046314"/>
    <n v="229.62419469775961"/>
    <n v="0"/>
    <n v="-1.1870446726704116"/>
    <n v="883.30360744778693"/>
    <n v="561.5498219092309"/>
    <n v="1000"/>
    <n v="110.37568524848461"/>
    <n v="2045.6243147515158"/>
    <n v="0.46382189239332094"/>
    <n v="0"/>
    <n v="0.48884831529853562"/>
  </r>
  <r>
    <x v="411"/>
    <x v="1"/>
    <n v="38.083333333333329"/>
    <n v="72970.409012709308"/>
    <m/>
    <m/>
    <m/>
    <m/>
    <n v="7945.5763775834503"/>
    <n v="7853.2644368684623"/>
    <n v="5534.2443364073806"/>
    <n v="5516.3294289200876"/>
    <n v="23713.204404889559"/>
    <n v="17589.202446059739"/>
    <n v="33845.273196989467"/>
    <x v="393"/>
    <d v="2022-10-15T13:15:00"/>
    <n v="91864.923135269622"/>
    <n v="5.2150119729262503"/>
    <n v="1.1252186712063781"/>
    <n v="2156.0000000000005"/>
    <n v="0"/>
    <n v="0"/>
    <n v="0"/>
    <n v="0"/>
    <n v="234.76177401015067"/>
    <n v="232.03430479524124"/>
    <n v="163.51601903747229"/>
    <n v="162.98670118020394"/>
    <n v="700.63563283628173"/>
    <n v="519.69450338561001"/>
    <n v="1000.0000000000001"/>
    <n v="-558.26153367380675"/>
    <n v="2714.2615336738072"/>
    <n v="0.46382189239332083"/>
    <n v="0"/>
    <n v="0.36842433479373671"/>
  </r>
  <r>
    <x v="412"/>
    <x v="15"/>
    <n v="17.916666666666661"/>
    <n v="32963.306595615468"/>
    <m/>
    <m/>
    <m/>
    <m/>
    <n v="2847.1137698080752"/>
    <n v="3112.3692405814322"/>
    <n v="16958.68386901325"/>
    <n v="15630.95723000207"/>
    <n v="0"/>
    <n v="16976.005788402101"/>
    <n v="14226.718427110691"/>
    <x v="394"/>
    <d v="2022-10-16T09:00:00"/>
    <n v="31380.481281059288"/>
    <n v="5.0730404934405167"/>
    <n v="1.2593674893097158"/>
    <n v="2317"/>
    <n v="0"/>
    <n v="0"/>
    <n v="0"/>
    <n v="0"/>
    <n v="200.12441972440843"/>
    <n v="218.76930063158105"/>
    <n v="1192.0306116902177"/>
    <n v="1098.7043364979681"/>
    <n v="0"/>
    <n v="1193.2481742277487"/>
    <n v="1000"/>
    <n v="111.25723213442689"/>
    <n v="2205.7427678655731"/>
    <n v="0.43159257660768241"/>
    <n v="0"/>
    <n v="0.45336202143265691"/>
  </r>
  <r>
    <x v="413"/>
    <x v="3"/>
    <n v="15.16666666666667"/>
    <n v="25530.14338004723"/>
    <m/>
    <m/>
    <m/>
    <m/>
    <n v="3436.3060227805058"/>
    <n v="3142.7134965915038"/>
    <n v="13767.79445704214"/>
    <n v="15051.884895890549"/>
    <n v="0"/>
    <n v="11328.97337316518"/>
    <n v="11018.620362558149"/>
    <x v="395"/>
    <d v="2022-10-17T00:10:00"/>
    <n v="26562.808292301761"/>
    <n v="5.0332089395665411"/>
    <n v="1.3764578656511117"/>
    <n v="2316.9999999999995"/>
    <n v="0"/>
    <n v="0"/>
    <n v="0"/>
    <n v="0"/>
    <n v="311.86354640706691"/>
    <n v="285.21842056294173"/>
    <n v="1249.5025696525338"/>
    <n v="1366.0407928235411"/>
    <n v="0"/>
    <n v="1028.1662313788054"/>
    <n v="1000"/>
    <n v="-93.719982926681041"/>
    <n v="2410.7199829266806"/>
    <n v="0.43159257660768241"/>
    <n v="0"/>
    <n v="0.41481383449021408"/>
  </r>
  <r>
    <x v="414"/>
    <x v="17"/>
    <n v="61.916666666666657"/>
    <n v="0"/>
    <n v="114531.6533333332"/>
    <n v="35232.221199999971"/>
    <n v="79299.432133333263"/>
    <m/>
    <n v="0"/>
    <n v="23207.753445826591"/>
    <n v="63852.259426744997"/>
    <n v="0"/>
    <n v="0"/>
    <n v="57188.695110776389"/>
    <n v="50410.058685445969"/>
    <x v="396"/>
    <d v="2022-11-04T10:50:00"/>
    <n v="0"/>
    <n v="5.0041453449093556"/>
    <n v="1.2282601584144315"/>
    <n v="0"/>
    <n v="2271.9999999999995"/>
    <n v="698.91252100787517"/>
    <n v="1573.0874789921249"/>
    <n v="0"/>
    <n v="0"/>
    <n v="460.37941734289166"/>
    <n v="1266.657113517306"/>
    <n v="0"/>
    <n v="0"/>
    <n v="1134.4699173557499"/>
    <n v="1000.0000000000001"/>
    <n v="0"/>
    <n v="0"/>
    <n v="0"/>
    <n v="0.44014084507042267"/>
    <n v="0"/>
  </r>
  <r>
    <x v="415"/>
    <x v="26"/>
    <n v="45.333333333333343"/>
    <n v="0"/>
    <n v="49565.153999999988"/>
    <n v="14720.850737999999"/>
    <n v="34844.303261999987"/>
    <n v="16521.718000000001"/>
    <n v="21752.645572608501"/>
    <n v="13088.86149515264"/>
    <n v="32331.918732105249"/>
    <n v="7130.3029756460464"/>
    <n v="0"/>
    <n v="27630.475259739491"/>
    <n v="29822.595667870031"/>
    <x v="397"/>
    <d v="2022-11-06T08:10:00"/>
    <n v="42.578125"/>
    <n v="5.0041666030883789"/>
    <n v="1.5201001897421731"/>
    <n v="0"/>
    <n v="1661.9999999999998"/>
    <n v="493.61400000000009"/>
    <n v="1168.3859999999997"/>
    <n v="554.00000000000011"/>
    <n v="729.40148519815625"/>
    <n v="438.89075387405614"/>
    <n v="1084.1416720456257"/>
    <n v="239.09062293085441"/>
    <n v="0"/>
    <n v="926.49464746315618"/>
    <n v="1000"/>
    <n v="-1.4277135858389547"/>
    <n v="1.4277135858389547"/>
    <n v="0"/>
    <n v="0.45126353790613721"/>
    <n v="700.42059550226861"/>
  </r>
  <r>
    <x v="416"/>
    <x v="17"/>
    <n v="227.75"/>
    <n v="0"/>
    <n v="441629.91457609629"/>
    <n v="127653.2842037253"/>
    <n v="313976.63037237112"/>
    <m/>
    <n v="0"/>
    <n v="90626.918289816924"/>
    <n v="253756.62758749709"/>
    <n v="0"/>
    <n v="0"/>
    <n v="221682.89901522151"/>
    <n v="194379.36380990161"/>
    <x v="398"/>
    <d v="2022-11-17T11:00:00"/>
    <n v="372.23529411764707"/>
    <n v="5.0041958937955027"/>
    <n v="1.1716778753465522"/>
    <n v="0"/>
    <n v="2271.9999999999991"/>
    <n v="656.72240973361329"/>
    <n v="1615.2775902663866"/>
    <n v="0"/>
    <n v="0"/>
    <n v="466.2373438903108"/>
    <n v="1305.4710264185503"/>
    <n v="0"/>
    <n v="0"/>
    <n v="1140.4651948136948"/>
    <n v="999.99999999999989"/>
    <n v="-1.9149938904095001"/>
    <n v="1.9149938904095001"/>
    <n v="0"/>
    <n v="0.44014084507042273"/>
    <n v="522.19487749183429"/>
  </r>
  <r>
    <x v="417"/>
    <x v="26"/>
    <n v="71.333333333333343"/>
    <n v="0"/>
    <n v="77542.65649730216"/>
    <n v="44577.633618435248"/>
    <n v="32965.022878866897"/>
    <n v="25847.552165767389"/>
    <n v="31349.941268354789"/>
    <n v="21916.86367603522"/>
    <n v="52881.601762350867"/>
    <n v="-2027.513517606614"/>
    <n v="0"/>
    <n v="44668.812185900511"/>
    <n v="46656.231346150511"/>
    <x v="399"/>
    <d v="2022-11-20T11:25:00"/>
    <n v="0"/>
    <n v="5.0041824456856734"/>
    <n v="1.528913315010362"/>
    <n v="0"/>
    <n v="1662.0000000000002"/>
    <n v="955.44865781606336"/>
    <n v="706.55134218393653"/>
    <n v="554.00000000000011"/>
    <n v="671.93470976608126"/>
    <n v="469.75212192837188"/>
    <n v="1133.4306315915933"/>
    <n v="-43.45643570232123"/>
    <n v="0"/>
    <n v="957.40292126243548"/>
    <n v="1000"/>
    <n v="0"/>
    <n v="0"/>
    <n v="0"/>
    <n v="0.4512635379061371"/>
    <n v="0"/>
  </r>
  <r>
    <x v="418"/>
    <x v="17"/>
    <n v="27.583333333333329"/>
    <n v="0"/>
    <n v="55553.369999999974"/>
    <n v="30199.016499999991"/>
    <n v="25354.35349999999"/>
    <m/>
    <n v="0"/>
    <n v="11801.524423730771"/>
    <n v="28932.17490818282"/>
    <n v="0"/>
    <n v="0"/>
    <n v="28377.103900332841"/>
    <n v="24451.307218309848"/>
    <x v="400"/>
    <d v="2022-11-21T15:00:00"/>
    <n v="0"/>
    <n v="5.004320210575508"/>
    <n v="1.1280923791541961"/>
    <n v="0"/>
    <n v="2272"/>
    <n v="1235.06756634206"/>
    <n v="1036.93243365794"/>
    <n v="0"/>
    <n v="0"/>
    <n v="482.65413044638552"/>
    <n v="1183.2567743665486"/>
    <n v="0"/>
    <n v="0"/>
    <n v="1160.5556973691469"/>
    <n v="1000"/>
    <n v="0"/>
    <n v="0"/>
    <n v="0"/>
    <n v="0.44014084507042256"/>
    <n v="0"/>
  </r>
  <r>
    <x v="419"/>
    <x v="26"/>
    <n v="29.833333333333329"/>
    <n v="0"/>
    <n v="33000"/>
    <n v="15408"/>
    <n v="17592"/>
    <n v="11000"/>
    <n v="-9984.0982260405399"/>
    <n v="10268.0743038451"/>
    <n v="25405.89702397184"/>
    <n v="15307.015049821661"/>
    <n v="0"/>
    <n v="19280.23013114581"/>
    <n v="19855.595667870031"/>
    <x v="401"/>
    <d v="2022-11-23T00:05:00"/>
    <n v="0"/>
    <n v="5.0042602346184548"/>
    <n v="1.5025151515151516"/>
    <n v="0"/>
    <n v="1662.0000000000005"/>
    <n v="776.00290909090927"/>
    <n v="885.99709090909107"/>
    <n v="554.00000000000011"/>
    <n v="-502.83549247513281"/>
    <n v="517.1375603936533"/>
    <n v="1279.5333592073093"/>
    <n v="770.91693978192745"/>
    <n v="0"/>
    <n v="971.02249933225278"/>
    <n v="999.99999999999989"/>
    <n v="0"/>
    <n v="0"/>
    <n v="0"/>
    <n v="0.4512635379061371"/>
    <n v="0"/>
  </r>
  <r>
    <x v="420"/>
    <x v="17"/>
    <n v="15.91666666666667"/>
    <n v="0"/>
    <n v="32498.552253436861"/>
    <n v="14984.348514046589"/>
    <n v="17514.203739390268"/>
    <m/>
    <n v="0"/>
    <n v="6939.5867846575038"/>
    <n v="18807.122280792129"/>
    <n v="0"/>
    <n v="0"/>
    <n v="17434.368143899261"/>
    <n v="14303.940252392989"/>
    <x v="402"/>
    <d v="2022-11-23T17:10:00"/>
    <n v="0"/>
    <n v="5.0041666030883789"/>
    <n v="1.1127470043790122"/>
    <n v="0"/>
    <n v="2271.9999999999991"/>
    <n v="1047.5678903608234"/>
    <n v="1224.4321096391755"/>
    <n v="0"/>
    <n v="0"/>
    <n v="485.15210929355914"/>
    <n v="1314.8210876821704"/>
    <n v="0"/>
    <n v="0"/>
    <n v="1218.8507387663735"/>
    <n v="1000"/>
    <n v="0"/>
    <n v="0"/>
    <n v="0"/>
    <n v="0.44014084507042267"/>
    <n v="0"/>
  </r>
  <r>
    <x v="421"/>
    <x v="24"/>
    <n v="9.75"/>
    <n v="0"/>
    <n v="12150"/>
    <n v="5467.4999999999991"/>
    <n v="6682.5000000000009"/>
    <n v="1350"/>
    <n v="1884.2869281602859"/>
    <n v="3996.8564037047172"/>
    <n v="8859.5482440207143"/>
    <n v="-7451.1395980389916"/>
    <n v="0"/>
    <n v="9383.3376446938473"/>
    <n v="5915.8632778264682"/>
    <x v="403"/>
    <d v="2022-11-24T03:00:00"/>
    <n v="0"/>
    <n v="5.0041666030883789"/>
    <n v="1.6481111111111111"/>
    <n v="0"/>
    <n v="2053.7999999999997"/>
    <n v="924.20999999999981"/>
    <n v="1129.5900000000001"/>
    <n v="228.2"/>
    <n v="318.51427926383496"/>
    <n v="675.61676394475296"/>
    <n v="1497.5917846559457"/>
    <n v="-1259.5185602018503"/>
    <n v="0"/>
    <n v="1586.1315929771379"/>
    <n v="1000"/>
    <n v="0"/>
    <n v="0"/>
    <n v="0"/>
    <n v="0.43821209465381245"/>
    <n v="0"/>
  </r>
  <r>
    <x v="422"/>
    <x v="1"/>
    <n v="6"/>
    <n v="8499.7833345444506"/>
    <m/>
    <m/>
    <m/>
    <m/>
    <n v="1455.2469059639679"/>
    <n v="1341.7943443302261"/>
    <n v="695.38183038275577"/>
    <n v="753.88309652325347"/>
    <n v="0"/>
    <n v="372.63287510601089"/>
    <n v="3942.3855911616188"/>
    <x v="404"/>
    <d v="2022-11-24T23:15:00"/>
    <n v="16061.48911696789"/>
    <n v="6.1113670784882386"/>
    <n v="1.5219211467927742"/>
    <n v="2156"/>
    <n v="0"/>
    <n v="0"/>
    <n v="0"/>
    <n v="0"/>
    <n v="369.12850666521979"/>
    <n v="340.35086454718606"/>
    <n v="176.38605212583033"/>
    <n v="191.22510446805961"/>
    <n v="0"/>
    <n v="94.519642102338111"/>
    <n v="1000"/>
    <n v="-1918.0533226825723"/>
    <n v="4074.0533226825723"/>
    <n v="0.46382189239332094"/>
    <n v="0"/>
    <n v="0.24545579568937675"/>
  </r>
  <r>
    <x v="423"/>
    <x v="11"/>
    <n v="5"/>
    <n v="13983.199289135689"/>
    <m/>
    <m/>
    <m/>
    <m/>
    <n v="1424.6729256165761"/>
    <n v="1540.153574699513"/>
    <n v="2073.6354138330762"/>
    <n v="2014.632676458561"/>
    <n v="0"/>
    <n v="722.37221434159164"/>
    <n v="6485.7139559998559"/>
    <x v="405"/>
    <d v="2022-11-25T02:30:00"/>
    <n v="13550.31112218421"/>
    <n v="6.8416618486047138"/>
    <n v="0.77092514932370093"/>
    <n v="2156"/>
    <n v="0"/>
    <n v="0"/>
    <n v="0"/>
    <n v="0"/>
    <n v="219.66323758367855"/>
    <n v="237.46862491133075"/>
    <n v="319.72353821043572"/>
    <n v="310.62619938624471"/>
    <n v="0"/>
    <n v="111.37898144171682"/>
    <n v="1000"/>
    <n v="66.744874949506539"/>
    <n v="2089.2551250504935"/>
    <n v="0.46382189239332094"/>
    <n v="0"/>
    <n v="0.47863948639390402"/>
  </r>
  <r>
    <x v="424"/>
    <x v="12"/>
    <n v="47.833333333333329"/>
    <n v="88512.261101911863"/>
    <m/>
    <m/>
    <m/>
    <m/>
    <n v="9633.4837039702634"/>
    <n v="9670.3806106379998"/>
    <n v="17506.766193390271"/>
    <n v="-10348.0282165437"/>
    <n v="0"/>
    <n v="9621.4109622470314"/>
    <n v="38201.234830346068"/>
    <x v="406"/>
    <d v="2022-11-27T03:35:00"/>
    <n v="83764.911422242134"/>
    <n v="7.3782332988177064"/>
    <n v="1.2521410249109479"/>
    <n v="2317.0000000000005"/>
    <n v="0"/>
    <n v="0"/>
    <n v="0"/>
    <n v="0"/>
    <n v="252.17728554464617"/>
    <n v="253.14314193205348"/>
    <n v="458.27749472337354"/>
    <n v="-270.88203463840642"/>
    <n v="0"/>
    <n v="251.86125540120059"/>
    <n v="1000.0000000000001"/>
    <n v="124.27215247760932"/>
    <n v="2192.7278475223911"/>
    <n v="0.43159257660768224"/>
    <n v="0"/>
    <n v="0.45605294844497951"/>
  </r>
  <r>
    <x v="425"/>
    <x v="11"/>
    <n v="63.416666666666671"/>
    <n v="143874.92625112561"/>
    <m/>
    <m/>
    <m/>
    <m/>
    <n v="17289.401270402759"/>
    <n v="17356.76008892641"/>
    <n v="6961.6658913807078"/>
    <n v="6983.7643669756126"/>
    <n v="47958.757328747532"/>
    <n v="34583.538627575697"/>
    <n v="66732.340561746547"/>
    <x v="407"/>
    <d v="2022-12-03T22:30:00"/>
    <n v="164964.89478410239"/>
    <n v="9.302143587249283"/>
    <n v="0.95031383783082013"/>
    <n v="2156.0000000000009"/>
    <n v="0"/>
    <n v="0"/>
    <n v="0"/>
    <n v="0"/>
    <n v="259.08579145976614"/>
    <n v="260.09517938107433"/>
    <n v="104.32221967307098"/>
    <n v="104.65337058743846"/>
    <n v="718.67338872030018"/>
    <n v="518.24255430657354"/>
    <n v="1000"/>
    <n v="-316.03819610466826"/>
    <n v="2472.0381961046692"/>
    <n v="0.46382189239332078"/>
    <n v="0"/>
    <n v="0.40452449382689826"/>
  </r>
  <r>
    <x v="426"/>
    <x v="1"/>
    <n v="320.00000000000011"/>
    <n v="667287.44866134739"/>
    <m/>
    <m/>
    <m/>
    <m/>
    <n v="-44453.51591518247"/>
    <n v="64525.703671147712"/>
    <n v="9614.1768287063751"/>
    <n v="9763.110856318699"/>
    <n v="231205.2260959234"/>
    <n v="157689.81179989781"/>
    <n v="309502.52720841719"/>
    <x v="408"/>
    <d v="2022-12-29T09:10:00"/>
    <n v="1526703.6737812189"/>
    <n v="7.8001783523470323"/>
    <n v="1.0339172441862292"/>
    <n v="2156"/>
    <n v="0"/>
    <n v="0"/>
    <n v="0"/>
    <n v="0"/>
    <n v="-143.62892709191914"/>
    <n v="208.4819928714071"/>
    <n v="31.063322537047473"/>
    <n v="31.544527097655255"/>
    <n v="747.0220943954721"/>
    <n v="509.49442391373566"/>
    <n v="1000"/>
    <n v="-2776.7664221402165"/>
    <n v="4932.7664221402165"/>
    <n v="0.463821892393321"/>
    <n v="0"/>
    <n v="0.20272599884551651"/>
  </r>
  <r>
    <x v="427"/>
    <x v="2"/>
    <n v="0.5"/>
    <n v="946.20138414823361"/>
    <m/>
    <m/>
    <m/>
    <m/>
    <n v="90.633419239836144"/>
    <n v="102.8453387203095"/>
    <n v="0"/>
    <n v="-10.262299471079929"/>
    <n v="258.71710552189012"/>
    <n v="277.17664372037149"/>
    <n v="438.86891658081328"/>
    <x v="409"/>
    <d v="2022-12-04T07:30:00"/>
    <n v="876.22658099240209"/>
    <n v="8.812427653053593"/>
    <n v="1.1392923515646842"/>
    <n v="2156.0000000000005"/>
    <n v="0"/>
    <n v="0"/>
    <n v="0"/>
    <n v="0"/>
    <n v="206.51592267220164"/>
    <n v="234.34181559625577"/>
    <n v="0"/>
    <n v="-23.383518593735335"/>
    <n v="589.50883908008552"/>
    <n v="631.57046044597735"/>
    <n v="1000"/>
    <n v="159.44351607536646"/>
    <n v="1996.556483924634"/>
    <n v="0.46382189239332089"/>
    <n v="0"/>
    <n v="0.50086236380064664"/>
  </r>
  <r>
    <x v="428"/>
    <x v="7"/>
    <n v="1.75"/>
    <n v="4457.1310788921546"/>
    <m/>
    <m/>
    <m/>
    <m/>
    <n v="455.60392406435568"/>
    <n v="462.58233351324537"/>
    <n v="0"/>
    <n v="15.09410331401995"/>
    <n v="1655.70880185754"/>
    <n v="1079.62407673702"/>
    <n v="1970.4381427463111"/>
    <x v="410"/>
    <d v="2022-12-06T00:00:00"/>
    <n v="4240.9906848393948"/>
    <n v="6.6559300813251792"/>
    <n v="0.88812734692646889"/>
    <n v="2261.9999999999995"/>
    <n v="0"/>
    <n v="0"/>
    <n v="0"/>
    <n v="0"/>
    <n v="231.21960247346547"/>
    <n v="234.76115462752779"/>
    <n v="0"/>
    <n v="7.6602776745797483"/>
    <n v="840.27443741516549"/>
    <n v="547.91066682879307"/>
    <n v="1000"/>
    <n v="109.69153984783952"/>
    <n v="2152.30846015216"/>
    <n v="0.44208664898320083"/>
    <n v="0"/>
    <n v="0.4646174182344216"/>
  </r>
  <r>
    <x v="429"/>
    <x v="8"/>
    <n v="10.33333333333333"/>
    <n v="26601.265295146499"/>
    <m/>
    <m/>
    <m/>
    <m/>
    <n v="3007.606161215755"/>
    <n v="2988.694780562621"/>
    <n v="0"/>
    <n v="-24.804910261835289"/>
    <n v="9792.5176608954735"/>
    <n v="6430.4803156385406"/>
    <n v="11760.06423304443"/>
    <x v="411"/>
    <d v="2022-12-05T22:15:00"/>
    <n v="25301.73079929145"/>
    <n v="7.0754767310455309"/>
    <n v="0.87868000791167877"/>
    <n v="2262"/>
    <n v="0"/>
    <n v="0"/>
    <n v="0"/>
    <n v="0"/>
    <n v="255.74742634183301"/>
    <n v="254.1393245255185"/>
    <n v="0"/>
    <n v="-2.1092495559791535"/>
    <n v="832.69253184686056"/>
    <n v="546.806563995597"/>
    <n v="1000.0000000000001"/>
    <n v="110.50403042897551"/>
    <n v="2151.4959695710245"/>
    <n v="0.44208664898320071"/>
    <n v="0"/>
    <n v="0.46479287627918953"/>
  </r>
  <r>
    <x v="430"/>
    <x v="9"/>
    <n v="12.08333333333333"/>
    <n v="31008.030294892371"/>
    <m/>
    <m/>
    <m/>
    <m/>
    <n v="2926.56967836379"/>
    <n v="3011.5921223824939"/>
    <n v="0"/>
    <n v="18.096870956739512"/>
    <n v="9225.9559083657241"/>
    <n v="5912.8299730551425"/>
    <n v="20108.96906283552"/>
    <x v="412"/>
    <d v="2022-12-11T14:35:00"/>
    <n v="29493.186565585002"/>
    <n v="7.3935803561143469"/>
    <n v="0.60089273077977912"/>
    <n v="1542"/>
    <n v="0"/>
    <n v="0"/>
    <n v="0"/>
    <n v="0"/>
    <n v="145.53554034615044"/>
    <n v="149.76362602041004"/>
    <n v="0"/>
    <n v="0.89994026547016404"/>
    <n v="458.7980557102112"/>
    <n v="294.03943854998346"/>
    <n v="1000.0000000000001"/>
    <n v="75.331744982741839"/>
    <n v="1466.6682550172582"/>
    <n v="0.64850843060959795"/>
    <n v="0"/>
    <n v="0.68181744343285944"/>
  </r>
  <r>
    <x v="431"/>
    <x v="10"/>
    <n v="27.666666666666671"/>
    <n v="52145.204484202302"/>
    <m/>
    <m/>
    <m/>
    <m/>
    <n v="5795.9293114360262"/>
    <n v="5688.1774749175074"/>
    <n v="0.11812499999999999"/>
    <n v="-29450.37285901991"/>
    <n v="17160.118690192608"/>
    <n v="10040.293045509239"/>
    <n v="24186.08742309939"/>
    <x v="413"/>
    <d v="2022-12-13T10:45:00"/>
    <n v="65296.103139915351"/>
    <n v="7.7076315662410142"/>
    <n v="1.1439083214527326"/>
    <n v="2156.0000000000009"/>
    <n v="0"/>
    <n v="0"/>
    <n v="0"/>
    <n v="0"/>
    <n v="239.6389796350654"/>
    <n v="235.18386316113717"/>
    <n v="4.8840061616242415E-3"/>
    <n v="-1217.6575873488641"/>
    <n v="709.50370723474305"/>
    <n v="415.12679871983192"/>
    <n v="1000"/>
    <n v="-543.73815928379645"/>
    <n v="2699.7381592837974"/>
    <n v="0.46382189239332083"/>
    <n v="0"/>
    <n v="0.37040629164766331"/>
  </r>
  <r>
    <x v="432"/>
    <x v="10"/>
    <n v="36.583333333333329"/>
    <n v="76529.799312480725"/>
    <m/>
    <m/>
    <m/>
    <m/>
    <n v="8309.8373423948287"/>
    <n v="8293.8131209719359"/>
    <n v="3591.9499146837838"/>
    <n v="3621.842190669227"/>
    <n v="22989.608084050149"/>
    <n v="16086.776505911999"/>
    <n v="35496.196341595882"/>
    <x v="414"/>
    <d v="2022-12-19T01:00:00"/>
    <n v="103335.9804021642"/>
    <n v="7.4474319880551629"/>
    <n v="1.0306268587562295"/>
    <n v="2156"/>
    <n v="0"/>
    <n v="0"/>
    <n v="0"/>
    <n v="0"/>
    <n v="234.10500839091384"/>
    <n v="233.65357350282935"/>
    <n v="101.19253004228489"/>
    <n v="102.03465621540428"/>
    <n v="647.66398807384314"/>
    <n v="453.19719192168378"/>
    <n v="1000"/>
    <n v="-755.18460715383526"/>
    <n v="2911.1846071538353"/>
    <n v="0.46382189239332094"/>
    <n v="0"/>
    <n v="0.3435027780590203"/>
  </r>
  <r>
    <x v="433"/>
    <x v="9"/>
    <n v="15.33333333333333"/>
    <n v="34381.748604185152"/>
    <m/>
    <m/>
    <m/>
    <m/>
    <n v="4034.945815219437"/>
    <n v="4001.6892313334602"/>
    <n v="0"/>
    <n v="53.69742935734223"/>
    <n v="13382.9039060294"/>
    <n v="8842.3027545940622"/>
    <n v="22296.853828913849"/>
    <x v="415"/>
    <d v="2022-12-22T14:10:00"/>
    <n v="41064.773116145938"/>
    <n v="8.2428977923256266"/>
    <n v="0.68769044507299737"/>
    <n v="1541.9999999999998"/>
    <n v="0"/>
    <n v="0"/>
    <n v="0"/>
    <n v="0"/>
    <n v="180.96480544654457"/>
    <n v="179.47326838301274"/>
    <n v="0"/>
    <n v="2.4082962452625991"/>
    <n v="600.21490066346837"/>
    <n v="396.57176848545538"/>
    <n v="1000"/>
    <n v="-299.72948485200436"/>
    <n v="1841.7294848520041"/>
    <n v="0.64850843060959795"/>
    <n v="0"/>
    <n v="0.54296790501801462"/>
  </r>
  <r>
    <x v="434"/>
    <x v="10"/>
    <n v="32.833333333333343"/>
    <n v="82639.62438336105"/>
    <m/>
    <m/>
    <m/>
    <m/>
    <n v="10193.80061885828"/>
    <n v="10107.286135957889"/>
    <n v="0"/>
    <n v="1.6771494801730571"/>
    <n v="31128.343239868562"/>
    <n v="22696.072945824191"/>
    <n v="38330.066968163752"/>
    <x v="416"/>
    <d v="2022-12-25T03:10:00"/>
    <n v="82379.401500709675"/>
    <n v="8.9788137661455441"/>
    <n v="0.85659472916142065"/>
    <n v="2156"/>
    <n v="0"/>
    <n v="0"/>
    <n v="0"/>
    <n v="0"/>
    <n v="265.94789482953587"/>
    <n v="263.69080294988305"/>
    <n v="0"/>
    <n v="4.3755453951230157E-2"/>
    <n v="812.11293645072919"/>
    <n v="592.1219225803892"/>
    <n v="1000"/>
    <n v="6.789001513290259"/>
    <n v="2149.2109984867097"/>
    <n v="0.46382189239332094"/>
    <n v="0"/>
    <n v="0.46528702891624613"/>
  </r>
  <r>
    <x v="435"/>
    <x v="7"/>
    <n v="8.1666666666666679"/>
    <n v="12698.17824090351"/>
    <m/>
    <m/>
    <m/>
    <m/>
    <n v="2878.1545740609572"/>
    <n v="3018.3382604402059"/>
    <n v="6.0821899965265713E-3"/>
    <n v="143.26348514143211"/>
    <n v="6319.3753786127336"/>
    <n v="3986.7095859547589"/>
    <n v="5613.6950667124274"/>
    <x v="417"/>
    <d v="2022-12-26T14:00:00"/>
    <n v="49363.372081821122"/>
    <n v="5.0043674032372163"/>
    <n v="1.4547756102914489"/>
    <n v="2262"/>
    <n v="0"/>
    <n v="0"/>
    <n v="0"/>
    <n v="0"/>
    <n v="512.70233595828415"/>
    <n v="537.67406753852208"/>
    <n v="1.0834557139721005E-3"/>
    <n v="25.520353962747773"/>
    <n v="1125.7069191529094"/>
    <n v="710.17565766882899"/>
    <n v="1000.0000000000001"/>
    <n v="-6531.3832342500227"/>
    <n v="8793.3832342500227"/>
    <n v="0.44208664898320077"/>
    <n v="0"/>
    <n v="0.11372187170292128"/>
  </r>
  <r>
    <x v="436"/>
    <x v="18"/>
    <n v="19.333333333333329"/>
    <n v="24288.00263331801"/>
    <m/>
    <m/>
    <m/>
    <m/>
    <n v="4375.7758781573348"/>
    <n v="4397.6748161298592"/>
    <n v="3.789941576086957"/>
    <n v="20.582734382259101"/>
    <n v="10535.653078763189"/>
    <n v="5011.5084795065404"/>
    <n v="10482.521637167891"/>
    <x v="418"/>
    <d v="2022-12-28T07:05:00"/>
    <n v="23589.485713755272"/>
    <n v="5.0043045700780606"/>
    <n v="1.8443399405714656"/>
    <n v="2317.0000000000009"/>
    <n v="0"/>
    <n v="0"/>
    <n v="0"/>
    <n v="0"/>
    <n v="417.43542533145268"/>
    <n v="419.52451598449539"/>
    <n v="0.36154865282118342"/>
    <n v="1.9635289193469321"/>
    <n v="1005.0685744741904"/>
    <n v="478.08234058274945"/>
    <n v="1000.0000000000001"/>
    <n v="66.636344167991865"/>
    <n v="2250.363655832009"/>
    <n v="0.43159257660768219"/>
    <n v="0"/>
    <n v="0.44437262280183687"/>
  </r>
  <r>
    <x v="437"/>
    <x v="7"/>
    <n v="13.91666666666667"/>
    <n v="23062.807596823968"/>
    <m/>
    <m/>
    <m/>
    <m/>
    <n v="-24166.943670622531"/>
    <n v="2583.9692339823901"/>
    <n v="0"/>
    <n v="-38.460483868931313"/>
    <n v="13651.14670262216"/>
    <n v="5053.2014204101624"/>
    <n v="10195.759326624209"/>
    <x v="419"/>
    <d v="2022-12-28T21:00:00"/>
    <n v="22428.347269302019"/>
    <n v="5.0044420809785199"/>
    <n v="1.3649465646296737"/>
    <n v="2262.0000000000005"/>
    <n v="0"/>
    <n v="0"/>
    <n v="0"/>
    <n v="0"/>
    <n v="-2370.2936580226387"/>
    <n v="253.43568352333168"/>
    <n v="0"/>
    <n v="-3.7722039758725341"/>
    <n v="1338.9043685029806"/>
    <n v="495.6179582637584"/>
    <n v="1000"/>
    <n v="62.227864271490034"/>
    <n v="2199.7721357285104"/>
    <n v="0.4420866489832006"/>
    <n v="0"/>
    <n v="0.45459253881712819"/>
  </r>
  <r>
    <x v="438"/>
    <x v="1"/>
    <n v="86.25"/>
    <n v="197922.28622098899"/>
    <m/>
    <m/>
    <m/>
    <m/>
    <n v="-2369.546764090454"/>
    <n v="24261.761780115499"/>
    <n v="36934.966457954171"/>
    <n v="28745.3890835893"/>
    <n v="42887.636890247537"/>
    <n v="47276.680749991632"/>
    <n v="91800.689341831603"/>
    <x v="420"/>
    <d v="2023-01-09T14:45:00"/>
    <n v="373426.72803858161"/>
    <n v="9.5096619965054945"/>
    <n v="0.93953542852861482"/>
    <n v="2156.0000000000005"/>
    <n v="0"/>
    <n v="0"/>
    <n v="0"/>
    <n v="0"/>
    <n v="-25.811862428038459"/>
    <n v="264.28735943118824"/>
    <n v="402.33866131900271"/>
    <n v="313.12824870576048"/>
    <n v="467.18207888995192"/>
    <n v="514.99265516352352"/>
    <n v="1000.0000000000001"/>
    <n v="-1911.7987356726635"/>
    <n v="4067.798735672664"/>
    <n v="0.46382189239332083"/>
    <n v="0"/>
    <n v="0.24583320488068267"/>
  </r>
  <r>
    <x v="439"/>
    <x v="11"/>
    <n v="13.08333333333333"/>
    <n v="31014.094779545791"/>
    <m/>
    <m/>
    <m/>
    <m/>
    <n v="3601.5233274586999"/>
    <n v="3521.6905650541489"/>
    <n v="1228.9740553191491"/>
    <n v="1238.858482779051"/>
    <n v="8361.6558613361558"/>
    <n v="6120.5833993932238"/>
    <n v="14385.01613151474"/>
    <x v="421"/>
    <d v="2022-12-29T22:20:00"/>
    <n v="31555.83146991779"/>
    <n v="8.0726655626539863"/>
    <n v="0.90951120344386138"/>
    <n v="2156.0000000000009"/>
    <n v="0"/>
    <n v="0"/>
    <n v="0"/>
    <n v="0"/>
    <n v="250.36630439144736"/>
    <n v="244.81658782007327"/>
    <n v="85.434318883154305"/>
    <n v="86.121452451134601"/>
    <n v="581.27538995367638"/>
    <n v="425.48324891928553"/>
    <n v="1000"/>
    <n v="-37.659790258083831"/>
    <n v="2193.6597902580847"/>
    <n v="0.46382189239332078"/>
    <n v="0"/>
    <n v="0.45585920134058239"/>
  </r>
  <r>
    <x v="440"/>
    <x v="9"/>
    <n v="17.083333333333329"/>
    <n v="31618.28708856973"/>
    <m/>
    <m/>
    <m/>
    <m/>
    <n v="3801.3693461430048"/>
    <n v="3874.0639054098242"/>
    <n v="0"/>
    <n v="6.7088335672949029"/>
    <n v="14833.867814513171"/>
    <n v="8351.8320388497632"/>
    <n v="20504.725738372061"/>
    <x v="422"/>
    <d v="2023-01-01T05:25:00"/>
    <n v="30059.612941923791"/>
    <n v="5.0041666030883789"/>
    <n v="0.83314127442163155"/>
    <n v="1542.0000000000007"/>
    <n v="0"/>
    <n v="0"/>
    <n v="0"/>
    <n v="0"/>
    <n v="185.38991423958487"/>
    <n v="188.93517303476983"/>
    <n v="0"/>
    <n v="0.32718475013494819"/>
    <n v="723.43653866842124"/>
    <n v="407.31254567430483"/>
    <n v="1000"/>
    <n v="76.015361850418458"/>
    <n v="1465.9846381495822"/>
    <n v="0.64850843060959762"/>
    <n v="0"/>
    <n v="0.68213538803669549"/>
  </r>
  <r>
    <x v="441"/>
    <x v="11"/>
    <n v="18.166666666666661"/>
    <n v="33359.37626213672"/>
    <m/>
    <m/>
    <m/>
    <m/>
    <n v="5686.9831493173924"/>
    <n v="5738.6263848809776"/>
    <n v="0"/>
    <n v="208.40181753674611"/>
    <n v="14924.26414354095"/>
    <n v="9721.0169329783675"/>
    <n v="15472.80902696508"/>
    <x v="423"/>
    <d v="2023-01-02T11:00:00"/>
    <n v="49262.064354016293"/>
    <n v="5.0043619126081467"/>
    <n v="1.1741026878187979"/>
    <n v="2156.0000000000005"/>
    <n v="0"/>
    <n v="0"/>
    <n v="0"/>
    <n v="0"/>
    <n v="367.54691015745493"/>
    <n v="370.88458694733743"/>
    <n v="0"/>
    <n v="13.468906465112831"/>
    <n v="964.54781530178786"/>
    <n v="628.26451978029093"/>
    <n v="1000"/>
    <n v="-1027.7828714983375"/>
    <n v="3183.782871498338"/>
    <n v="0.46382189239332083"/>
    <n v="0"/>
    <n v="0.31409177081519518"/>
  </r>
  <r>
    <x v="442"/>
    <x v="9"/>
    <n v="16"/>
    <n v="34862.377896062193"/>
    <m/>
    <m/>
    <m/>
    <m/>
    <n v="-23040.32603008482"/>
    <n v="3758.878136048284"/>
    <n v="3197.5583917222871"/>
    <n v="3164.8137465813661"/>
    <n v="0"/>
    <n v="2893.8192868414599"/>
    <n v="22608.545976694029"/>
    <x v="424"/>
    <d v="2023-01-03T21:35:00"/>
    <n v="41360.95600625845"/>
    <n v="7.190454263918399"/>
    <n v="0.70769699283154097"/>
    <n v="1542"/>
    <n v="0"/>
    <n v="0"/>
    <n v="0"/>
    <n v="0"/>
    <n v="-1019.0980903343315"/>
    <n v="166.2591720813499"/>
    <n v="141.43140363907008"/>
    <n v="139.98307320797224"/>
    <n v="0"/>
    <n v="127.99670044347599"/>
    <n v="1000"/>
    <n v="-287.43901164167323"/>
    <n v="1829.4390116416732"/>
    <n v="0.64850843060959795"/>
    <n v="0"/>
    <n v="0.54661565301520265"/>
  </r>
  <r>
    <x v="443"/>
    <x v="7"/>
    <n v="3.916666666666667"/>
    <n v="9553.7278641506455"/>
    <m/>
    <m/>
    <m/>
    <m/>
    <n v="1175.7947666511011"/>
    <n v="1182.0197021658339"/>
    <n v="0"/>
    <n v="-6.4136817729973927"/>
    <n v="3746.2440083361739"/>
    <n v="1983.7987022333291"/>
    <n v="4222.0735633380173"/>
    <x v="425"/>
    <d v="2023-01-02T08:30:00"/>
    <n v="0"/>
    <n v="5.0041666030883789"/>
    <n v="0.92766424078364651"/>
    <n v="2262.8046908300112"/>
    <n v="0"/>
    <n v="0"/>
    <n v="0"/>
    <n v="0"/>
    <n v="278.48751306964556"/>
    <n v="279.96189181301622"/>
    <n v="0"/>
    <n v="-1.5190833785299245"/>
    <n v="887.29955841279866"/>
    <n v="469.86360433400796"/>
    <n v="1000"/>
    <n v="2262.8046908300112"/>
    <n v="0"/>
    <n v="0.44192943564793197"/>
    <n v="0"/>
    <n v="0"/>
  </r>
  <r>
    <x v="444"/>
    <x v="11"/>
    <n v="16.083333333333339"/>
    <n v="38642.225388876061"/>
    <m/>
    <m/>
    <m/>
    <m/>
    <n v="4842.540401439891"/>
    <n v="4826.0308211963111"/>
    <n v="7205.074074232909"/>
    <n v="7306.7249561828976"/>
    <n v="0"/>
    <n v="3165.9762570502971"/>
    <n v="17923.110106157721"/>
    <x v="426"/>
    <d v="2023-01-04T22:50:00"/>
    <n v="36940.655806983763"/>
    <n v="9.8528117938199191"/>
    <n v="0.89735170057386959"/>
    <n v="2156.0000000000005"/>
    <n v="0"/>
    <n v="0"/>
    <n v="0"/>
    <n v="0"/>
    <n v="270.18415736765309"/>
    <n v="269.26302369465805"/>
    <n v="401.99909678385063"/>
    <n v="407.67059471852355"/>
    <n v="0"/>
    <n v="176.64212507195302"/>
    <n v="1000"/>
    <n v="94.937182878081785"/>
    <n v="2061.0628171219187"/>
    <n v="0.46382189239332078"/>
    <n v="0"/>
    <n v="0.48518657058517334"/>
  </r>
  <r>
    <x v="445"/>
    <x v="7"/>
    <n v="12.08333333333333"/>
    <n v="27260.405871604009"/>
    <m/>
    <m/>
    <m/>
    <m/>
    <n v="3193.6254782888868"/>
    <n v="3230.8915963878549"/>
    <n v="248.86535019476179"/>
    <n v="205.59986636833119"/>
    <n v="12276.692293096299"/>
    <n v="6156.8543640883217"/>
    <n v="12051.46148169938"/>
    <x v="427"/>
    <d v="2023-01-06T04:15:00"/>
    <n v="26030.820757700039"/>
    <n v="11.738375879666251"/>
    <n v="1.0026446461852241"/>
    <n v="2262.0000000000009"/>
    <n v="0"/>
    <n v="0"/>
    <n v="0"/>
    <n v="0"/>
    <n v="264.99901967396511"/>
    <n v="268.09126853984401"/>
    <n v="20.650221599485974"/>
    <n v="17.060160436187985"/>
    <n v="1018.6890869409441"/>
    <n v="510.8803088685757"/>
    <n v="999.99999999999989"/>
    <n v="102.02788398495431"/>
    <n v="2159.9721160150466"/>
    <n v="0.44208664898320049"/>
    <n v="0"/>
    <n v="0.46296893954580748"/>
  </r>
  <r>
    <x v="446"/>
    <x v="8"/>
    <n v="8.0833333333333339"/>
    <n v="18128.2985111491"/>
    <m/>
    <m/>
    <m/>
    <m/>
    <n v="1931.972125967171"/>
    <n v="1946.5791569488731"/>
    <n v="1600.2633981056319"/>
    <n v="1635.7253829008509"/>
    <n v="3957.335048134943"/>
    <n v="2990.9791892708781"/>
    <n v="8014.2787405610507"/>
    <x v="428"/>
    <d v="2023-01-05T16:15:00"/>
    <n v="17279.096222136919"/>
    <n v="13.02209913132009"/>
    <n v="1.0086164450985204"/>
    <n v="2262.0000000000005"/>
    <n v="0"/>
    <n v="0"/>
    <n v="0"/>
    <n v="0"/>
    <n v="241.06625043988933"/>
    <n v="242.88887621253363"/>
    <n v="199.67653358580381"/>
    <n v="204.101384023778"/>
    <n v="493.78555154395644"/>
    <n v="373.2062841953873"/>
    <n v="1000"/>
    <n v="105.96116213356618"/>
    <n v="2156.0388378664343"/>
    <n v="0.4420866489832006"/>
    <n v="0"/>
    <n v="0.46381353732457647"/>
  </r>
  <r>
    <x v="447"/>
    <x v="11"/>
    <n v="18.5"/>
    <n v="38719.153168617508"/>
    <m/>
    <m/>
    <m/>
    <m/>
    <n v="4179.0721213286379"/>
    <n v="4050.508391234152"/>
    <n v="0"/>
    <n v="-19200.355067369881"/>
    <n v="14005.48475176869"/>
    <n v="12152.745281719081"/>
    <n v="17958.790894535021"/>
    <x v="429"/>
    <d v="2023-01-07T07:05:00"/>
    <n v="44772.574435343573"/>
    <n v="9.365521981415764"/>
    <n v="1.0301361661062423"/>
    <n v="2156.0000000000005"/>
    <n v="0"/>
    <n v="0"/>
    <n v="0"/>
    <n v="0"/>
    <n v="232.70342340253859"/>
    <n v="225.54460459065473"/>
    <n v="0"/>
    <n v="-1069.1340625394039"/>
    <n v="779.86791171061805"/>
    <n v="676.70175309058482"/>
    <n v="1000"/>
    <n v="-337.07287435303624"/>
    <n v="2493.0728743530367"/>
    <n v="0.46382189239332094"/>
    <n v="0"/>
    <n v="0.40111141968102487"/>
  </r>
  <r>
    <x v="448"/>
    <x v="7"/>
    <n v="0.33333333333333331"/>
    <n v="864.70757248228813"/>
    <m/>
    <m/>
    <m/>
    <m/>
    <n v="117.8001332167327"/>
    <n v="107.71129653127031"/>
    <n v="446.91304421317778"/>
    <n v="401.37622324187561"/>
    <n v="0"/>
    <n v="332.45979066822872"/>
    <n v="382.27567306909287"/>
    <x v="430"/>
    <d v="2023-01-09T15:05:00"/>
    <n v="822.32502070255669"/>
    <n v="13.79148236840172"/>
    <n v="0.87197108478594276"/>
    <n v="2262"/>
    <n v="0"/>
    <n v="0"/>
    <n v="0"/>
    <n v="0"/>
    <n v="308.15492984676899"/>
    <n v="281.76340824021639"/>
    <n v="1169.0857559026581"/>
    <n v="1049.965382362509"/>
    <n v="0"/>
    <n v="869.68597295004849"/>
    <n v="999.99999999999989"/>
    <n v="110.8690789541065"/>
    <n v="2151.1309210458935"/>
    <n v="0.44208664898320066"/>
    <n v="0"/>
    <n v="0.46487175197769626"/>
  </r>
  <r>
    <x v="449"/>
    <x v="12"/>
    <n v="3.166666666666667"/>
    <n v="3827.264057521576"/>
    <m/>
    <m/>
    <m/>
    <m/>
    <n v="3173.0307930298309"/>
    <n v="3066.558164700411"/>
    <n v="3210.7299507915109"/>
    <n v="3480.2091481650841"/>
    <n v="0"/>
    <n v="812.29811230159351"/>
    <n v="1651.8187559437099"/>
    <x v="431"/>
    <d v="2023-01-09T18:20:00"/>
    <n v="5525.6909565599008"/>
    <n v="13.42264546317737"/>
    <n v="1.9170787686434161"/>
    <n v="2317"/>
    <n v="0"/>
    <n v="0"/>
    <n v="0"/>
    <n v="0"/>
    <n v="1920.9315680745062"/>
    <n v="1856.4737527444033"/>
    <n v="1943.7543854241869"/>
    <n v="2106.8952847534329"/>
    <n v="0"/>
    <n v="491.75983102184534"/>
    <n v="1000"/>
    <n v="-1028.21625733871"/>
    <n v="3345.21625733871"/>
    <n v="0.43159257660768235"/>
    <n v="0"/>
    <n v="0.29893433580152184"/>
  </r>
  <r>
    <x v="146"/>
    <x v="3"/>
    <n v="6.25"/>
    <n v="11580.820865753871"/>
    <m/>
    <m/>
    <m/>
    <m/>
    <n v="4302.4935553824052"/>
    <n v="4346.7673429388542"/>
    <n v="7429.0408486976448"/>
    <n v="7321.7111951390734"/>
    <n v="0"/>
    <n v="4287.8734351709199"/>
    <n v="4998.1963166827218"/>
    <x v="432"/>
    <d v="2023-01-09T13:15:00"/>
    <n v="13268.44206446842"/>
    <n v="12.51315261378433"/>
    <n v="1.2504510835516949"/>
    <n v="2317.0000000000009"/>
    <n v="0"/>
    <n v="0"/>
    <n v="0"/>
    <n v="0"/>
    <n v="860.80923652833815"/>
    <n v="869.66718942800196"/>
    <n v="1486.3443486406036"/>
    <n v="1464.8706715862768"/>
    <n v="0"/>
    <n v="857.88415730272072"/>
    <n v="1000"/>
    <n v="-337.64604104918681"/>
    <n v="2654.6460410491877"/>
    <n v="0.43159257660768219"/>
    <n v="0"/>
    <n v="0.3766980548581057"/>
  </r>
  <r>
    <x v="450"/>
    <x v="17"/>
    <n v="89.666666666666657"/>
    <n v="0"/>
    <n v="164869.22416666671"/>
    <n v="40545.690485000006"/>
    <n v="124323.5336816667"/>
    <m/>
    <n v="0"/>
    <n v="46877.77728946117"/>
    <n v="104411.9260428415"/>
    <n v="0"/>
    <n v="0"/>
    <n v="93795.922433709318"/>
    <n v="72565.679650821636"/>
    <x v="433"/>
    <d v="2023-03-06T01:50:00"/>
    <n v="0"/>
    <n v="5.0042499351501464"/>
    <n v="1.2356621904202256"/>
    <n v="0"/>
    <n v="2271.9999999999995"/>
    <n v="558.74472174865002"/>
    <n v="1713.2552782513494"/>
    <n v="0"/>
    <n v="0"/>
    <n v="646.00479889435439"/>
    <n v="1438.8609952426632"/>
    <n v="0"/>
    <n v="0"/>
    <n v="1292.5658918244185"/>
    <n v="1000.0000000000001"/>
    <n v="0"/>
    <n v="0"/>
    <n v="0"/>
    <n v="0.44014084507042267"/>
    <n v="0"/>
  </r>
  <r>
    <x v="451"/>
    <x v="1"/>
    <n v="72.666666666666671"/>
    <n v="133412.4802255579"/>
    <m/>
    <m/>
    <m/>
    <m/>
    <n v="-36385.569752966752"/>
    <n v="19206.19240839026"/>
    <n v="5657.2504900916292"/>
    <n v="-22465.44016114304"/>
    <n v="33763.544686585323"/>
    <n v="18437.33756058817"/>
    <n v="61879.629047104791"/>
    <x v="434"/>
    <d v="2023-03-20T19:55:00"/>
    <n v="725463.9079612369"/>
    <n v="7.6441895268741993"/>
    <n v="1.1743229199281469"/>
    <n v="2155.9999999999995"/>
    <n v="0"/>
    <n v="0"/>
    <n v="0"/>
    <n v="0"/>
    <n v="-588.0056217736676"/>
    <n v="310.37988921636685"/>
    <n v="91.423471297559743"/>
    <n v="-363.05065991978745"/>
    <n v="545.63262913039466"/>
    <n v="297.95488183280912"/>
    <n v="1000"/>
    <n v="-9567.7921288925336"/>
    <n v="11723.792128892534"/>
    <n v="0.46382189239332106"/>
    <n v="0"/>
    <n v="8.5296633461758864E-2"/>
  </r>
  <r>
    <x v="452"/>
    <x v="12"/>
    <n v="6.75"/>
    <n v="11934.63461561067"/>
    <m/>
    <m/>
    <m/>
    <m/>
    <n v="1546.051736600127"/>
    <n v="1515.895303206953"/>
    <n v="3927.058957111672"/>
    <n v="3904.5720480898331"/>
    <n v="0"/>
    <n v="1624.1630360125371"/>
    <n v="5150.8997046226468"/>
    <x v="435"/>
    <d v="2023-03-10T02:25:00"/>
    <n v="12167.76396240832"/>
    <n v="6.9608036761705714"/>
    <n v="1.3104506760134058"/>
    <n v="2316.9999999999995"/>
    <n v="0"/>
    <n v="0"/>
    <n v="0"/>
    <n v="0"/>
    <n v="300.15178420434614"/>
    <n v="294.29718886712567"/>
    <n v="762.40252816170243"/>
    <n v="758.036900735166"/>
    <n v="0"/>
    <n v="315.31637755535036"/>
    <n v="1000"/>
    <n v="-45.259927423636327"/>
    <n v="2362.2599274236359"/>
    <n v="0.43159257660768247"/>
    <n v="0"/>
    <n v="0.4233234405710109"/>
  </r>
  <r>
    <x v="453"/>
    <x v="3"/>
    <n v="62.416666666666671"/>
    <n v="99873.533578501854"/>
    <m/>
    <m/>
    <m/>
    <m/>
    <n v="12699.39163984152"/>
    <n v="12741.504080125909"/>
    <n v="20091.144860413569"/>
    <n v="20072.560140456451"/>
    <n v="0"/>
    <n v="11194.9578536183"/>
    <n v="43104.675692059493"/>
    <x v="436"/>
    <d v="2023-03-13T04:50:00"/>
    <n v="134230.69507796669"/>
    <n v="7.2857228857644021"/>
    <n v="1.4480254326136766"/>
    <n v="2317"/>
    <n v="0"/>
    <n v="0"/>
    <n v="0"/>
    <n v="0"/>
    <n v="294.61749650005913"/>
    <n v="295.59447729409732"/>
    <n v="466.10128803531751"/>
    <n v="465.67013480985565"/>
    <n v="0"/>
    <n v="259.71562652727658"/>
    <n v="1000"/>
    <n v="-797.06344956433441"/>
    <n v="3114.0634495643344"/>
    <n v="0.4315925766076823"/>
    <n v="0"/>
    <n v="0.32112383584859283"/>
  </r>
  <r>
    <x v="454"/>
    <x v="11"/>
    <n v="115"/>
    <n v="237167.64027830589"/>
    <m/>
    <m/>
    <m/>
    <m/>
    <n v="6631.2611634661171"/>
    <n v="33571.470567025972"/>
    <n v="3830.5797870282659"/>
    <n v="3911.233676458914"/>
    <n v="81394.774747881282"/>
    <n v="45509.354005218069"/>
    <n v="110003.54372834229"/>
    <x v="437"/>
    <d v="2023-03-23T15:50:00"/>
    <n v="644886.35025377944"/>
    <n v="7.8305767079743749"/>
    <n v="1.0454208664767803"/>
    <n v="2155.9999999999991"/>
    <n v="0"/>
    <n v="0"/>
    <n v="0"/>
    <n v="0"/>
    <n v="60.282250359518009"/>
    <n v="305.1853552093915"/>
    <n v="34.822330783161135"/>
    <n v="35.555524339450791"/>
    <n v="739.92866037923829"/>
    <n v="413.70807214724874"/>
    <n v="1000"/>
    <n v="-3706.4143222726489"/>
    <n v="5862.414322272648"/>
    <n v="0.46382189239332117"/>
    <n v="0"/>
    <n v="0.17057818588508356"/>
  </r>
  <r>
    <x v="455"/>
    <x v="7"/>
    <n v="1.083333333333333"/>
    <n v="1032.1152902027379"/>
    <m/>
    <m/>
    <m/>
    <m/>
    <n v="309.4243495033524"/>
    <n v="322.45538176728752"/>
    <n v="0"/>
    <n v="-4.5696663000995841"/>
    <n v="170.95740440098029"/>
    <n v="88.201606088485093"/>
    <n v="456.28439001005222"/>
    <x v="438"/>
    <d v="2023-03-16T08:05:00"/>
    <n v="0"/>
    <n v="8.509108666741886"/>
    <n v="2.3742502637652509"/>
    <n v="2261.9999999999995"/>
    <n v="0"/>
    <n v="0"/>
    <n v="0"/>
    <n v="0"/>
    <n v="678.13924008343918"/>
    <n v="706.6982540432374"/>
    <n v="0"/>
    <n v="-10.014952078459032"/>
    <n v="374.67291922306174"/>
    <n v="193.30401832625034"/>
    <n v="1000"/>
    <n v="2261.9999999999995"/>
    <n v="0"/>
    <n v="0.44208664898320077"/>
    <n v="0"/>
    <n v="0"/>
  </r>
  <r>
    <x v="456"/>
    <x v="8"/>
    <n v="15.58333333333333"/>
    <n v="33064.696030342609"/>
    <m/>
    <m/>
    <m/>
    <m/>
    <n v="5156.6372512776434"/>
    <n v="5174.8734654674436"/>
    <n v="0.32906249999999998"/>
    <n v="70.610557126400408"/>
    <n v="10441.09396891866"/>
    <n v="6830.7968869599481"/>
    <n v="14617.4606677023"/>
    <x v="439"/>
    <d v="2023-03-17T16:45:00"/>
    <n v="45625.557723569043"/>
    <n v="7.9812057235624074"/>
    <n v="1.0660766385891602"/>
    <n v="2262.0000000000005"/>
    <n v="0"/>
    <n v="0"/>
    <n v="0"/>
    <n v="0"/>
    <n v="352.7724389689231"/>
    <n v="354.02000272875546"/>
    <n v="2.2511604955235014E-2"/>
    <n v="4.8305624849339575"/>
    <n v="714.28917828310341"/>
    <n v="467.30393481083826"/>
    <n v="1000"/>
    <n v="-859.30531839774449"/>
    <n v="3121.3053183977449"/>
    <n v="0.4420866489832006"/>
    <n v="0"/>
    <n v="0.32037878323076979"/>
  </r>
  <r>
    <x v="457"/>
    <x v="7"/>
    <n v="8"/>
    <n v="19436.094524278269"/>
    <m/>
    <m/>
    <m/>
    <m/>
    <n v="2637.5295725408141"/>
    <n v="2633.334373627963"/>
    <n v="0"/>
    <n v="0.94437379536316257"/>
    <n v="6559.1340946278397"/>
    <n v="3944.4173921533879"/>
    <n v="8592.437897558917"/>
    <x v="440"/>
    <d v="2023-03-18T00:30:00"/>
    <n v="20037.060176263869"/>
    <n v="7.8297996914113748"/>
    <n v="0.93105124475473644"/>
    <n v="2261.9999999999995"/>
    <n v="0"/>
    <n v="0"/>
    <n v="0"/>
    <n v="0"/>
    <n v="306.95939894894411"/>
    <n v="306.47115580271861"/>
    <n v="0"/>
    <n v="0.1099075497108284"/>
    <n v="763.36124541456013"/>
    <n v="459.0568403495804"/>
    <n v="999.99999999999989"/>
    <n v="-69.941227292004442"/>
    <n v="2331.941227292004"/>
    <n v="0.44208664898320071"/>
    <n v="0"/>
    <n v="0.42882727415959043"/>
  </r>
  <r>
    <x v="458"/>
    <x v="1"/>
    <n v="120.6666666666667"/>
    <n v="268626.52485047688"/>
    <m/>
    <m/>
    <m/>
    <m/>
    <n v="-27848.548020585869"/>
    <n v="29607.07031716124"/>
    <n v="3731.0864930103971"/>
    <n v="3731.0496307207259"/>
    <n v="101285.1156976277"/>
    <n v="65039.97087867884"/>
    <n v="124594.86310318969"/>
    <x v="441"/>
    <d v="2023-03-31T10:45:00"/>
    <n v="426143.52916238282"/>
    <n v="7.3624857275101334"/>
    <n v="0.96847224405014476"/>
    <n v="2155.9999999999991"/>
    <n v="0"/>
    <n v="0"/>
    <n v="0"/>
    <n v="0"/>
    <n v="-223.51281045609119"/>
    <n v="237.62673339622845"/>
    <n v="29.945748966554941"/>
    <n v="29.945453109336167"/>
    <n v="812.91566261237574"/>
    <n v="522.01165649030509"/>
    <n v="1000"/>
    <n v="-1264.2335357072475"/>
    <n v="3420.2335357072466"/>
    <n v="0.46382189239332111"/>
    <n v="0"/>
    <n v="0.29237769572165107"/>
  </r>
  <r>
    <x v="459"/>
    <x v="10"/>
    <n v="15.41666666666667"/>
    <n v="34703.559792091757"/>
    <m/>
    <m/>
    <m/>
    <m/>
    <n v="6265.4796570142107"/>
    <n v="4298.1208554482964"/>
    <n v="0.68343750000000003"/>
    <n v="11.084518582570981"/>
    <n v="14443.7317150974"/>
    <n v="8881.2192621475024"/>
    <n v="16096.27077555277"/>
    <x v="442"/>
    <d v="2023-03-24T20:00:00"/>
    <n v="36579.693238783613"/>
    <n v="8.1251252976790909"/>
    <n v="0.95777878501408586"/>
    <n v="2155.9999999999991"/>
    <n v="0"/>
    <n v="0"/>
    <n v="0"/>
    <n v="0"/>
    <n v="389.25038876273777"/>
    <n v="267.0258791854036"/>
    <n v="4.2459368976198758E-2"/>
    <n v="0.68863892370686852"/>
    <n v="897.33404193440458"/>
    <n v="551.75632828172957"/>
    <n v="1000"/>
    <n v="-116.55702571438815"/>
    <n v="2272.5570257143872"/>
    <n v="0.46382189239332117"/>
    <n v="0"/>
    <n v="0.44003296229085653"/>
  </r>
  <r>
    <x v="460"/>
    <x v="11"/>
    <n v="40.416666666666657"/>
    <n v="79515.035078142071"/>
    <m/>
    <m/>
    <m/>
    <m/>
    <n v="7399.0400551032317"/>
    <n v="10355.600958986941"/>
    <n v="1842.784071712038"/>
    <n v="1808.1303809650251"/>
    <n v="27505.087587937462"/>
    <n v="17129.417904346908"/>
    <n v="36880.814043665152"/>
    <x v="443"/>
    <d v="2023-03-26T13:25:00"/>
    <n v="101506.696728561"/>
    <n v="7.6006028180006071"/>
    <n v="1.0958724126537778"/>
    <n v="2156.0000000000005"/>
    <n v="0"/>
    <n v="0"/>
    <n v="0"/>
    <n v="0"/>
    <n v="200.62030209916503"/>
    <n v="280.78558533785065"/>
    <n v="49.965927257740795"/>
    <n v="49.026314300554311"/>
    <n v="745.78309349063534"/>
    <n v="464.45335734906729"/>
    <n v="999.99999999999989"/>
    <n v="-596.29002831612706"/>
    <n v="2752.2900283161275"/>
    <n v="0.46382189239332094"/>
    <n v="0"/>
    <n v="0.36333380192922754"/>
  </r>
  <r>
    <x v="461"/>
    <x v="8"/>
    <n v="4.416666666666667"/>
    <n v="9856.058553143208"/>
    <m/>
    <m/>
    <m/>
    <m/>
    <n v="869.1122240156019"/>
    <n v="798.92690487646757"/>
    <n v="4232.576921692108"/>
    <n v="4383.8457967352933"/>
    <n v="0"/>
    <n v="5362.7086020688203"/>
    <n v="4357.2318979412948"/>
    <x v="444"/>
    <d v="2023-04-01T11:25:00"/>
    <n v="10598.211510417461"/>
    <n v="8.6150218002252643"/>
    <n v="1.0136404878412493"/>
    <n v="2262"/>
    <n v="0"/>
    <n v="0"/>
    <n v="0"/>
    <n v="0"/>
    <n v="199.46430311093613"/>
    <n v="183.35652625097703"/>
    <n v="971.39124582557008"/>
    <n v="1006.1079830996769"/>
    <n v="0"/>
    <n v="1230.7604294833591"/>
    <n v="1000"/>
    <n v="-170.32670618814336"/>
    <n v="2432.3267061881434"/>
    <n v="0.44208664898320077"/>
    <n v="0"/>
    <n v="0.41112898092837408"/>
  </r>
  <r>
    <x v="462"/>
    <x v="5"/>
    <n v="11.75"/>
    <n v="20336.377294453239"/>
    <m/>
    <m/>
    <m/>
    <m/>
    <n v="2015.036925414563"/>
    <n v="2111.9909575752731"/>
    <n v="5395.289416475538"/>
    <n v="5847.6274533312062"/>
    <n v="0"/>
    <n v="4146.972085925604"/>
    <n v="11768.736860216"/>
    <x v="445"/>
    <d v="2023-04-02T12:50:00"/>
    <n v="20480.79471825693"/>
    <n v="7.0395796819890109"/>
    <n v="0.99840791238358473"/>
    <n v="1727.9999999999993"/>
    <n v="0"/>
    <n v="0"/>
    <n v="0"/>
    <n v="0"/>
    <n v="171.21947319821197"/>
    <n v="179.45774322772226"/>
    <n v="458.44252280924178"/>
    <n v="496.87808664488063"/>
    <n v="0"/>
    <n v="352.37189302314744"/>
    <n v="1000"/>
    <n v="-12.271276477587662"/>
    <n v="1740.271276477587"/>
    <n v="0.57870370370370394"/>
    <n v="0"/>
    <n v="0.57462305648350387"/>
  </r>
  <r>
    <x v="463"/>
    <x v="15"/>
    <n v="13.66666666666667"/>
    <n v="23876.24168367208"/>
    <m/>
    <m/>
    <m/>
    <m/>
    <n v="2539.7653209601708"/>
    <n v="2307.4090477465302"/>
    <n v="12546.281268057721"/>
    <n v="13185.390554864531"/>
    <n v="0"/>
    <n v="16601.154042609411"/>
    <n v="10304.80866796378"/>
    <x v="446"/>
    <d v="2023-04-02T01:25:00"/>
    <n v="23656.105378478082"/>
    <n v="8.2733456929383795"/>
    <n v="1.3262416709544971"/>
    <n v="2317.0000000000005"/>
    <n v="0"/>
    <n v="0"/>
    <n v="0"/>
    <n v="0"/>
    <n v="246.46409290993907"/>
    <n v="223.91575837016217"/>
    <n v="1217.5171487717544"/>
    <n v="1279.5376391466714"/>
    <n v="0"/>
    <n v="1611.0104105299979"/>
    <n v="1000"/>
    <n v="21.362483505237378"/>
    <n v="2295.6375164947631"/>
    <n v="0.4315925766076823"/>
    <n v="0"/>
    <n v="0.4356088419076336"/>
  </r>
  <r>
    <x v="464"/>
    <x v="3"/>
    <n v="12.91666666666667"/>
    <n v="21167.9791091201"/>
    <m/>
    <m/>
    <m/>
    <m/>
    <n v="2915.6943270951738"/>
    <n v="3261.969669335725"/>
    <n v="6566.9788074641056"/>
    <n v="5964.4547453684527"/>
    <n v="0"/>
    <n v="2358.4677719559891"/>
    <n v="9135.9426452827338"/>
    <x v="447"/>
    <d v="2023-04-03T01:50:00"/>
    <n v="22355.76939580416"/>
    <n v="7.3111781723324558"/>
    <n v="1.4138296581071554"/>
    <n v="2317.0000000000009"/>
    <n v="0"/>
    <n v="0"/>
    <n v="0"/>
    <n v="0"/>
    <n v="319.14542815137611"/>
    <n v="357.04795837570362"/>
    <n v="718.80692145707701"/>
    <n v="652.85597523405511"/>
    <n v="0"/>
    <n v="258.15264647855071"/>
    <n v="1000"/>
    <n v="-130.01288786520172"/>
    <n v="2447.0128878652026"/>
    <n v="0.43159257660768224"/>
    <n v="0"/>
    <n v="0.40866151746033896"/>
  </r>
  <r>
    <x v="465"/>
    <x v="17"/>
    <n v="21.916666666666671"/>
    <n v="0"/>
    <n v="38075.218333333338"/>
    <n v="2665.2652833333332"/>
    <n v="35409.953049999996"/>
    <m/>
    <n v="0"/>
    <n v="11961.70589692109"/>
    <n v="29364.84133822691"/>
    <n v="0"/>
    <n v="0"/>
    <n v="18318.060131433351"/>
    <n v="16758.45877347418"/>
    <x v="448"/>
    <d v="2023-04-29T07:30:00"/>
    <n v="0"/>
    <n v="5.0041666030883789"/>
    <n v="1.3077972719876285"/>
    <n v="0"/>
    <n v="2272"/>
    <n v="159.04"/>
    <n v="2112.9599999999996"/>
    <n v="0"/>
    <n v="0"/>
    <n v="713.77123986213212"/>
    <n v="1752.2399723718336"/>
    <n v="0"/>
    <n v="0"/>
    <n v="1093.0635316194921"/>
    <n v="1000"/>
    <n v="0"/>
    <n v="0"/>
    <n v="0"/>
    <n v="0.4401408450704225"/>
    <n v="0"/>
  </r>
  <r>
    <x v="466"/>
    <x v="24"/>
    <n v="301.18666666666672"/>
    <n v="0"/>
    <n v="450595.53638653911"/>
    <n v="35233.952893557733"/>
    <n v="415361.58349298133"/>
    <n v="50066.170709615457"/>
    <n v="3920.4425699113708"/>
    <n v="94786.289907378523"/>
    <n v="304498.0286574944"/>
    <n v="19566.01863440848"/>
    <n v="0"/>
    <n v="273092.92538115132"/>
    <n v="219396.01537955939"/>
    <x v="449"/>
    <d v="2023-05-24T12:00:00"/>
    <n v="157037.14653612909"/>
    <n v="5.1208689657792652"/>
    <n v="1.372799164768822"/>
    <n v="0"/>
    <n v="2053.8000000000002"/>
    <n v="160.59522700356388"/>
    <n v="1893.2047729964358"/>
    <n v="228.2"/>
    <n v="17.869251468076705"/>
    <n v="432.03286870728436"/>
    <n v="1387.8922464963955"/>
    <n v="89.181285268827182"/>
    <n v="0"/>
    <n v="1244.7487932207666"/>
    <n v="1000"/>
    <n v="-715.77027624887239"/>
    <n v="715.77027624887239"/>
    <n v="0"/>
    <n v="0.43821209465381245"/>
    <n v="1.3970962935771607"/>
  </r>
  <r>
    <x v="467"/>
    <x v="17"/>
    <n v="162.33333333333329"/>
    <n v="0"/>
    <n v="307276.11499999999"/>
    <n v="29916.80330000001"/>
    <n v="277359.31170000002"/>
    <m/>
    <n v="0"/>
    <n v="62012.918154714243"/>
    <n v="169940.4911152198"/>
    <n v="0"/>
    <n v="0"/>
    <n v="156231.50166614621"/>
    <n v="135244.76892605639"/>
    <x v="450"/>
    <d v="2023-05-31T11:50:00"/>
    <n v="10190.041782736969"/>
    <n v="5.0041984092188248"/>
    <n v="1.2002928809918503"/>
    <n v="0"/>
    <n v="2271.9999999999991"/>
    <n v="221.20488309870748"/>
    <n v="2050.7951169012922"/>
    <n v="0"/>
    <n v="0"/>
    <n v="458.52359871026977"/>
    <n v="1256.5402156746848"/>
    <n v="0"/>
    <n v="0"/>
    <n v="1155.1759295885529"/>
    <n v="999.99999999999989"/>
    <n v="-75.345182395248614"/>
    <n v="75.345182395248614"/>
    <n v="0"/>
    <n v="0.44014084507042273"/>
    <n v="13.272248711990134"/>
  </r>
  <r>
    <x v="468"/>
    <x v="26"/>
    <n v="28.5"/>
    <n v="0"/>
    <n v="26717.83450000003"/>
    <n v="7213.8153150000071"/>
    <n v="19504.019185000019"/>
    <n v="8905.9448333333421"/>
    <n v="-8423.558040815713"/>
    <n v="7986.1216907580929"/>
    <n v="26017.15831517048"/>
    <n v="12421.21027544901"/>
    <n v="0"/>
    <n v="14096.579883812819"/>
    <n v="16075.712695547551"/>
    <x v="451"/>
    <d v="2023-06-04T15:00:00"/>
    <n v="1868.030763582083"/>
    <n v="5.0039061903953552"/>
    <n v="1.7728607458811809"/>
    <n v="0"/>
    <n v="1662"/>
    <n v="448.73999999999995"/>
    <n v="1213.26"/>
    <n v="553.99999999999989"/>
    <n v="-523.99282074434961"/>
    <n v="496.78181253948321"/>
    <n v="1618.4139893453298"/>
    <n v="772.66933732208838"/>
    <n v="0"/>
    <n v="876.88677639263312"/>
    <n v="1000"/>
    <n v="-116.2020495737938"/>
    <n v="116.2020495737938"/>
    <n v="0"/>
    <n v="0.45126353790613721"/>
    <n v="8.6057001891774085"/>
  </r>
  <r>
    <x v="469"/>
    <x v="17"/>
    <n v="69.916666666666671"/>
    <n v="0"/>
    <n v="122978.27"/>
    <n v="33204.13289999999"/>
    <n v="89774.137099999964"/>
    <m/>
    <n v="0"/>
    <n v="31161.655448786281"/>
    <n v="72825.095314148159"/>
    <n v="0"/>
    <n v="0"/>
    <n v="64636.44905587488"/>
    <n v="54127.759683098571"/>
    <x v="452"/>
    <d v="2023-06-08T05:05:00"/>
    <n v="6625.551668407501"/>
    <n v="5.0040508641137018"/>
    <n v="1.2916970344977754"/>
    <n v="0"/>
    <n v="2272.0000000000009"/>
    <n v="613.44000000000005"/>
    <n v="1658.56"/>
    <n v="0"/>
    <n v="0"/>
    <n v="575.70562002248414"/>
    <n v="1345.429697081807"/>
    <n v="0"/>
    <n v="0"/>
    <n v="1194.1460247810267"/>
    <n v="1000"/>
    <n v="-122.40579893197267"/>
    <n v="122.40579893197267"/>
    <n v="0"/>
    <n v="0.44014084507042234"/>
    <n v="8.169547592722731"/>
  </r>
  <r>
    <x v="470"/>
    <x v="24"/>
    <n v="110"/>
    <n v="0"/>
    <n v="160662.30750000011"/>
    <n v="120482.25750000001"/>
    <n v="40180.050000000003"/>
    <n v="17851.3675"/>
    <n v="-12074.96845205293"/>
    <n v="37785.75475232902"/>
    <n v="111050.91972573291"/>
    <n v="35939.23573501085"/>
    <n v="0"/>
    <n v="103976.2641630888"/>
    <n v="78226.851446099929"/>
    <x v="453"/>
    <d v="2023-06-15T19:45:00"/>
    <n v="12025.94395742533"/>
    <n v="5.0038460951585044"/>
    <n v="1.4061667824607831"/>
    <n v="0"/>
    <n v="2053.8000000000011"/>
    <n v="1540.1649852035141"/>
    <n v="513.63501479648539"/>
    <n v="228.19999999999996"/>
    <n v="-154.35835942307938"/>
    <n v="483.02793802667952"/>
    <n v="1419.6010407276779"/>
    <n v="459.42326797818004"/>
    <n v="0"/>
    <n v="1329.1633530045729"/>
    <n v="999.99999999999989"/>
    <n v="-153.73166291514977"/>
    <n v="153.73166291514977"/>
    <n v="0"/>
    <n v="0.43821209465381228"/>
    <n v="6.5048408443479682"/>
  </r>
  <r>
    <x v="471"/>
    <x v="17"/>
    <n v="71.416666666666671"/>
    <n v="0"/>
    <n v="132078.07750000001"/>
    <n v="132078.07750000001"/>
    <n v="0"/>
    <m/>
    <n v="0"/>
    <n v="30384.632937627379"/>
    <n v="76314.453998647106"/>
    <n v="0"/>
    <n v="0"/>
    <n v="70701.28411133906"/>
    <n v="58132.956646126739"/>
    <x v="454"/>
    <d v="2023-06-18T19:10:00"/>
    <n v="32.174999999999997"/>
    <n v="5.0038460951585044"/>
    <n v="1.2285056667838516"/>
    <n v="0"/>
    <n v="2272.0000000000009"/>
    <n v="2272.0000000000009"/>
    <n v="0"/>
    <n v="0"/>
    <n v="0"/>
    <n v="522.67482492913655"/>
    <n v="1312.7571415848804"/>
    <n v="0"/>
    <n v="0"/>
    <n v="1216.1996944645291"/>
    <n v="1000"/>
    <n v="-0.55347262303995926"/>
    <n v="0.55347262303995926"/>
    <n v="0"/>
    <n v="0.44014084507042234"/>
    <n v="1806.7740993357186"/>
  </r>
  <r>
    <x v="472"/>
    <x v="1"/>
    <n v="14.58333333333333"/>
    <n v="23892.36632614168"/>
    <m/>
    <m/>
    <m/>
    <m/>
    <n v="2916.2721309276658"/>
    <n v="2950.0738976188418"/>
    <n v="4663.6525009754923"/>
    <n v="4692.9977347167551"/>
    <n v="0"/>
    <n v="688.17096615223386"/>
    <n v="11081.802563145489"/>
    <x v="455"/>
    <d v="2023-06-23T18:35:00"/>
    <n v="68936.965892405889"/>
    <n v="7.3020272274388276"/>
    <n v="1.3159712285285434"/>
    <n v="2156.0000000000005"/>
    <n v="0"/>
    <n v="0"/>
    <n v="0"/>
    <n v="0"/>
    <n v="263.15864357900119"/>
    <n v="266.208848317677"/>
    <n v="420.83880076381263"/>
    <n v="423.48685676138609"/>
    <n v="0"/>
    <n v="62.099190292459205"/>
    <n v="999.99999999999989"/>
    <n v="-4064.7357963286636"/>
    <n v="6220.735796328664"/>
    <n v="0.46382189239332083"/>
    <n v="0"/>
    <n v="0.16075268790392563"/>
  </r>
  <r>
    <x v="473"/>
    <x v="12"/>
    <n v="29.916666666666671"/>
    <n v="55615.254496342917"/>
    <m/>
    <m/>
    <m/>
    <m/>
    <n v="5427.7934298486634"/>
    <n v="5374.5508714680254"/>
    <n v="9437.3965002897239"/>
    <n v="9458.4969979550115"/>
    <n v="0"/>
    <n v="4804.92681697225"/>
    <n v="24003.130986768629"/>
    <x v="456"/>
    <d v="2023-06-26T09:35:00"/>
    <n v="109273.2897829741"/>
    <n v="6.4301641023037783"/>
    <n v="1.2463651797408344"/>
    <n v="2317.0000000000005"/>
    <n v="0"/>
    <n v="0"/>
    <n v="0"/>
    <n v="0"/>
    <n v="226.12855934672248"/>
    <n v="223.91040878919785"/>
    <n v="393.17356162793715"/>
    <n v="394.05263434878009"/>
    <n v="0"/>
    <n v="200.17916911010047"/>
    <n v="1000"/>
    <n v="-2235.4598371441366"/>
    <n v="4552.4598371441371"/>
    <n v="0.4315925766076823"/>
    <n v="0"/>
    <n v="0.21966146561928224"/>
  </r>
  <r>
    <x v="474"/>
    <x v="10"/>
    <n v="22.75"/>
    <n v="61620.348517945473"/>
    <m/>
    <m/>
    <m/>
    <m/>
    <n v="7492.6321110656254"/>
    <n v="6148.4835449432258"/>
    <n v="0"/>
    <n v="23.47809630477116"/>
    <n v="4761.294004527077"/>
    <n v="8.0393158712604027"/>
    <n v="28580.866659529431"/>
    <x v="457"/>
    <d v="2023-06-28T03:00:00"/>
    <n v="61620.333286836751"/>
    <n v="6.466985450682885"/>
    <n v="0.7959870591403041"/>
    <n v="2156.0000000000009"/>
    <n v="0"/>
    <n v="0"/>
    <n v="0"/>
    <n v="0"/>
    <n v="262.15552524427846"/>
    <n v="215.12586088404001"/>
    <n v="0"/>
    <n v="0.82146201458670931"/>
    <n v="166.59025988421408"/>
    <n v="0.2812831383676721"/>
    <n v="999.99999999999989"/>
    <n v="5.3291276663003373E-4"/>
    <n v="2155.9994670872343"/>
    <n v="0.46382189239332083"/>
    <n v="0"/>
    <n v="0.46382200703927118"/>
  </r>
  <r>
    <x v="475"/>
    <x v="3"/>
    <n v="10.16666666666667"/>
    <n v="19159.44872486926"/>
    <m/>
    <m/>
    <m/>
    <m/>
    <n v="-24726.888677806852"/>
    <n v="1739.88096499678"/>
    <n v="3386.909462213679"/>
    <n v="3360.8471652348871"/>
    <n v="0"/>
    <n v="1753.5001427505019"/>
    <n v="8269.0758415490982"/>
    <x v="458"/>
    <d v="2023-06-26T19:50:00"/>
    <n v="19160.238461798621"/>
    <n v="7.1600709844466426"/>
    <n v="1.2294803991980419"/>
    <n v="2317"/>
    <n v="0"/>
    <n v="0"/>
    <n v="0"/>
    <n v="0"/>
    <n v="-2990.2844225425083"/>
    <n v="210.4081518099654"/>
    <n v="409.58742271968185"/>
    <n v="406.43564403507492"/>
    <n v="0"/>
    <n v="212.05515300026656"/>
    <n v="1000"/>
    <n v="-9.5504859852553636E-2"/>
    <n v="2317.0955048598526"/>
    <n v="0.43159257660768235"/>
    <n v="0"/>
    <n v="0.43157478744514849"/>
  </r>
  <r>
    <x v="476"/>
    <x v="15"/>
    <n v="6.5"/>
    <n v="12295.215309531161"/>
    <m/>
    <m/>
    <m/>
    <m/>
    <m/>
    <n v="1002.942515080418"/>
    <n v="15.914624859760661"/>
    <m/>
    <n v="3794.15139727421"/>
    <n v="54.54385996695391"/>
    <n v="5306.5236553867744"/>
    <x v="459"/>
    <d v="2023-06-27T02:15:00"/>
    <n v="12297.28189707096"/>
    <n v="6.7970257638474827"/>
    <n v="1.2249073823315006"/>
    <n v="2317.0000000000005"/>
    <n v="0"/>
    <n v="0"/>
    <n v="0"/>
    <n v="0"/>
    <n v="0"/>
    <n v="189.00179858094253"/>
    <n v="2.9990679196549626"/>
    <n v="0"/>
    <n v="714.99754710839363"/>
    <n v="10.278642574519607"/>
    <n v="1000.0000000000001"/>
    <n v="-0.38944282057491364"/>
    <n v="2317.3894428205754"/>
    <n v="0.43159257660768219"/>
    <n v="0"/>
    <n v="0.43152004644625686"/>
  </r>
  <r>
    <x v="477"/>
    <x v="11"/>
    <n v="74.166666666666671"/>
    <n v="206448.49681802531"/>
    <m/>
    <m/>
    <m/>
    <m/>
    <n v="21664.080859856778"/>
    <n v="22944.188908167202"/>
    <n v="2252.2346821623269"/>
    <n v="2295.7791195485129"/>
    <n v="58111.886704741861"/>
    <n v="36533.855918653469"/>
    <n v="95755.33247589301"/>
    <x v="460"/>
    <d v="2023-07-01T05:10:00"/>
    <n v="206448.24033693931"/>
    <n v="7.5655013654770729"/>
    <n v="0.77454346143426089"/>
    <n v="2155.9999999999995"/>
    <n v="0"/>
    <n v="0"/>
    <n v="0"/>
    <n v="0"/>
    <n v="226.24411925373286"/>
    <n v="239.61264939415818"/>
    <n v="23.520723326080461"/>
    <n v="23.975470192498047"/>
    <n v="606.87885679235546"/>
    <n v="381.53338277898087"/>
    <n v="1000"/>
    <n v="2.6785044692587689E-3"/>
    <n v="2155.9973214955303"/>
    <n v="0.463821892393321"/>
    <n v="0"/>
    <n v="0.46382246862270654"/>
  </r>
  <r>
    <x v="478"/>
    <x v="1"/>
    <n v="20.916666666666671"/>
    <n v="54141.72985496834"/>
    <m/>
    <m/>
    <m/>
    <m/>
    <n v="6009.6729644065299"/>
    <n v="6013.7003998891378"/>
    <n v="292.96058335293861"/>
    <n v="291.3737224470978"/>
    <n v="19675.50046521008"/>
    <n v="11679.354863352721"/>
    <n v="25112.11959877938"/>
    <x v="461"/>
    <d v="2023-07-02T03:55:00"/>
    <n v="54143.160579560797"/>
    <n v="7.5104732223909929"/>
    <n v="0.83293115041087029"/>
    <n v="2156"/>
    <n v="0"/>
    <n v="0"/>
    <n v="0"/>
    <n v="0"/>
    <n v="239.31364856587575"/>
    <n v="239.47402672379135"/>
    <n v="11.666103380902124"/>
    <n v="11.602912342821933"/>
    <n v="783.50616274408173"/>
    <n v="465.08837366004013"/>
    <n v="1000"/>
    <n v="-5.6973469994318293E-2"/>
    <n v="2156.0569734699943"/>
    <n v="0.463821892393321"/>
    <n v="0"/>
    <n v="0.46380963597199532"/>
  </r>
  <r>
    <x v="479"/>
    <x v="11"/>
    <n v="24.083333333333329"/>
    <n v="50567.580073038"/>
    <m/>
    <m/>
    <m/>
    <m/>
    <n v="894.74684988134356"/>
    <n v="5796.9046605356698"/>
    <n v="2308.1961449301102"/>
    <n v="911.17262555476941"/>
    <n v="8948.3372598375208"/>
    <n v="7000.1786664707925"/>
    <n v="23454.350683227269"/>
    <x v="462"/>
    <d v="2023-07-03T04:00:00"/>
    <n v="63239.904154478303"/>
    <n v="6.3466710346386224"/>
    <n v="1.0268173124296236"/>
    <n v="2156.0000000000005"/>
    <n v="0"/>
    <n v="0"/>
    <n v="0"/>
    <n v="0"/>
    <n v="38.148438298963313"/>
    <n v="247.15690230901026"/>
    <n v="98.412280779137191"/>
    <n v="38.848767883664728"/>
    <n v="381.5214234959264"/>
    <n v="298.45970843596098"/>
    <n v="999.99999999999989"/>
    <n v="-540.29737393252844"/>
    <n v="2696.2973739325289"/>
    <n v="0.46382189239332089"/>
    <n v="0"/>
    <n v="0.37087897264889136"/>
  </r>
  <r>
    <x v="480"/>
    <x v="1"/>
    <n v="155"/>
    <n v="398628.04271822551"/>
    <m/>
    <m/>
    <m/>
    <m/>
    <n v="1825.676389020038"/>
    <n v="31783.441916341078"/>
    <n v="943.45456127000421"/>
    <n v="-24278.526068461459"/>
    <n v="130382.93090363769"/>
    <n v="83699.128834674208"/>
    <n v="184892.4131346129"/>
    <x v="463"/>
    <d v="2023-07-17T21:15:00"/>
    <n v="882479.35949497647"/>
    <n v="7.6470615346486399"/>
    <n v="0.83832536647758815"/>
    <n v="2156.0000000000005"/>
    <n v="0"/>
    <n v="0"/>
    <n v="0"/>
    <n v="0"/>
    <n v="9.8742634057722789"/>
    <n v="171.90235866087593"/>
    <n v="5.1027218763330868"/>
    <n v="-131.3116404121202"/>
    <n v="705.18269891751049"/>
    <n v="452.69098615602019"/>
    <n v="999.99999999999989"/>
    <n v="-2616.9344029518284"/>
    <n v="4772.9344029518288"/>
    <n v="0.46382189239332083"/>
    <n v="0"/>
    <n v="0.20951471685459336"/>
  </r>
  <r>
    <x v="481"/>
    <x v="15"/>
    <n v="23.5"/>
    <n v="44394.560791768417"/>
    <m/>
    <m/>
    <m/>
    <m/>
    <n v="3811.132597312941"/>
    <n v="3801.5474271407979"/>
    <n v="0"/>
    <n v="-38.882178125589917"/>
    <n v="11172.668421525441"/>
    <n v="6994.6870350563368"/>
    <n v="19160.362879485721"/>
    <x v="464"/>
    <d v="2023-07-05T07:50:00"/>
    <n v="44008.121434335742"/>
    <n v="6.5607828982513974"/>
    <n v="1.2264903409089691"/>
    <n v="2317"/>
    <n v="0"/>
    <n v="0"/>
    <n v="0"/>
    <n v="0"/>
    <n v="198.90711993734615"/>
    <n v="198.40685957002262"/>
    <n v="0"/>
    <n v="-2.0293028044484274"/>
    <n v="583.1136128161537"/>
    <n v="365.06025898628906"/>
    <n v="1000.0000000000001"/>
    <n v="20.168686776095456"/>
    <n v="2296.8313132239045"/>
    <n v="0.43159257660768235"/>
    <n v="0"/>
    <n v="0.43538243067418331"/>
  </r>
  <r>
    <x v="482"/>
    <x v="11"/>
    <n v="20.333333333333339"/>
    <n v="46173.638152898217"/>
    <m/>
    <m/>
    <m/>
    <m/>
    <n v="-22039.101452756218"/>
    <n v="4343.6480056702421"/>
    <n v="49.537368426724143"/>
    <n v="-1.8306455865868541"/>
    <n v="14166.14586680229"/>
    <n v="9150.2873537480464"/>
    <n v="21416.344226761688"/>
    <x v="465"/>
    <d v="2023-07-06T15:35:00"/>
    <n v="54049.937214653582"/>
    <n v="8.3695963296054465"/>
    <n v="0.94943063662214455"/>
    <n v="2156.0000000000009"/>
    <n v="0"/>
    <n v="0"/>
    <n v="0"/>
    <n v="0"/>
    <n v="-1029.0785962067391"/>
    <n v="202.81930285013141"/>
    <n v="2.3130637004247743"/>
    <n v="-8.5478901870623389E-2"/>
    <n v="661.46424043279944"/>
    <n v="427.25720397760148"/>
    <n v="1000"/>
    <n v="-367.770473726006"/>
    <n v="2523.7704737260069"/>
    <n v="0.46382189239332078"/>
    <n v="0"/>
    <n v="0.39623254587158824"/>
  </r>
  <r>
    <x v="483"/>
    <x v="7"/>
    <n v="8.9166666666666661"/>
    <n v="23363.455632166639"/>
    <m/>
    <m/>
    <m/>
    <m/>
    <n v="1502.6708245341069"/>
    <n v="1579.758387951194"/>
    <n v="0"/>
    <n v="2.8101065747492271"/>
    <n v="7000.3268392709479"/>
    <n v="4044.7338349249549"/>
    <n v="10328.67180909223"/>
    <x v="466"/>
    <d v="2023-07-05T19:05:00"/>
    <n v="23321.173417546561"/>
    <n v="7.9739317541116188"/>
    <n v="0.86329267029449142"/>
    <n v="2262.0000000000014"/>
    <n v="0"/>
    <n v="0"/>
    <n v="0"/>
    <n v="0"/>
    <n v="145.48538788998218"/>
    <n v="152.94884155003822"/>
    <n v="0"/>
    <n v="0.27206853181989166"/>
    <n v="677.75673084206505"/>
    <n v="391.60251285788894"/>
    <n v="1000"/>
    <n v="4.0936739400372062"/>
    <n v="2257.9063260599642"/>
    <n v="0.44208664898320044"/>
    <n v="0"/>
    <n v="0.44288816965449368"/>
  </r>
  <r>
    <x v="484"/>
    <x v="18"/>
    <n v="2.416666666666667"/>
    <n v="4573.4333620339085"/>
    <m/>
    <m/>
    <m/>
    <m/>
    <n v="287.50425922393669"/>
    <n v="310.78715946027393"/>
    <n v="0"/>
    <n v="55.244075368243273"/>
    <n v="1018.848842152589"/>
    <n v="665.05888906831422"/>
    <n v="1973.8598886637501"/>
    <x v="467"/>
    <d v="2023-07-05T10:10:00"/>
    <n v="4554.7934651148771"/>
    <n v="7.5013720791514329"/>
    <n v="1.2243354660308159"/>
    <n v="2316.9999999999995"/>
    <n v="0"/>
    <n v="0"/>
    <n v="0"/>
    <n v="0"/>
    <n v="145.65585980804815"/>
    <n v="157.45147933000879"/>
    <n v="0"/>
    <n v="27.987840315070194"/>
    <n v="516.17080219524712"/>
    <n v="336.93317995257564"/>
    <n v="1000"/>
    <n v="9.4433738818461279"/>
    <n v="2307.5566261181534"/>
    <n v="0.43159257660768241"/>
    <n v="0"/>
    <n v="0.43335881281588851"/>
  </r>
  <r>
    <x v="485"/>
    <x v="10"/>
    <n v="6.666666666666667"/>
    <n v="17167.420059782329"/>
    <m/>
    <m/>
    <m/>
    <m/>
    <n v="0"/>
    <n v="1349.738105808224"/>
    <n v="0"/>
    <n v="0"/>
    <n v="6342.9993920182133"/>
    <n v="3752.2328375413458"/>
    <n v="7962.6252596392969"/>
    <x v="468"/>
    <d v="2023-07-06T22:10:00"/>
    <n v="17167.177303240231"/>
    <n v="7.8249891289881059"/>
    <n v="0.83724480925385958"/>
    <n v="2156.0000000000009"/>
    <n v="0"/>
    <n v="0"/>
    <n v="0"/>
    <n v="0"/>
    <n v="0"/>
    <n v="169.50918344101083"/>
    <n v="0"/>
    <n v="0"/>
    <n v="796.59649741014528"/>
    <n v="471.23061995150584"/>
    <n v="1000"/>
    <n v="3.0486998217838845E-2"/>
    <n v="2155.9695130017831"/>
    <n v="0.46382189239332083"/>
    <n v="0"/>
    <n v="0.46382845117679222"/>
  </r>
  <r>
    <x v="486"/>
    <x v="10"/>
    <n v="7.583333333333333"/>
    <n v="19486.84032670944"/>
    <m/>
    <m/>
    <m/>
    <m/>
    <n v="2374.7416221360349"/>
    <n v="1874.679152532806"/>
    <n v="0"/>
    <n v="19.70813818615369"/>
    <n v="6659.5933018306896"/>
    <n v="4355.8506710087167"/>
    <n v="9038.4231571008513"/>
    <x v="469"/>
    <d v="2023-07-07T17:55:00"/>
    <n v="19535.639043419222"/>
    <n v="7.4871432544478598"/>
    <n v="0.83901065501404892"/>
    <n v="2156.0000000000009"/>
    <n v="0"/>
    <n v="0"/>
    <n v="0"/>
    <n v="0"/>
    <n v="262.73848666516216"/>
    <n v="207.41219125816241"/>
    <n v="0"/>
    <n v="2.1804841224622677"/>
    <n v="736.80919625883155"/>
    <n v="481.92595050018565"/>
    <n v="999.99999999999989"/>
    <n v="-5.3990298818266638"/>
    <n v="2161.3990298818276"/>
    <n v="0.46382189239332083"/>
    <n v="0"/>
    <n v="0.46266329639958903"/>
  </r>
  <r>
    <x v="487"/>
    <x v="11"/>
    <n v="13.75"/>
    <n v="35438.864041889668"/>
    <m/>
    <m/>
    <m/>
    <m/>
    <n v="3748.677148127264"/>
    <n v="3774.056128792779"/>
    <n v="0"/>
    <n v="26.902259043943388"/>
    <n v="10734.18234754721"/>
    <n v="7902.809652930312"/>
    <n v="16437.320984178881"/>
    <x v="470"/>
    <d v="2023-07-08T18:45:00"/>
    <n v="35438.771406999273"/>
    <n v="8.1125428488648854"/>
    <n v="0.83651101132809536"/>
    <n v="2156"/>
    <n v="0"/>
    <n v="0"/>
    <n v="0"/>
    <n v="0"/>
    <n v="228.05888816890604"/>
    <n v="229.60287338948686"/>
    <n v="0"/>
    <n v="1.6366571578079625"/>
    <n v="653.037216823775"/>
    <n v="480.78453055317595"/>
    <n v="1000"/>
    <n v="5.635644061385392E-3"/>
    <n v="2155.9943643559386"/>
    <n v="0.46382189239332094"/>
    <n v="0"/>
    <n v="0.46382310479681182"/>
  </r>
  <r>
    <x v="488"/>
    <x v="11"/>
    <n v="12.08333333333333"/>
    <n v="30483.067665825649"/>
    <m/>
    <m/>
    <m/>
    <m/>
    <n v="3334.008165904514"/>
    <n v="3313.3785513515741"/>
    <n v="391.45630925458028"/>
    <n v="385.11141730763399"/>
    <n v="9472.8262422973148"/>
    <n v="6177.8298699263587"/>
    <n v="14138.7141307169"/>
    <x v="471"/>
    <d v="2023-07-09T17:20:00"/>
    <n v="31296.30658132039"/>
    <n v="7.266452698179517"/>
    <n v="0.85462745916064775"/>
    <n v="2156.0000000000009"/>
    <n v="0"/>
    <n v="0"/>
    <n v="0"/>
    <n v="0"/>
    <n v="235.80702849499255"/>
    <n v="234.34794145481249"/>
    <n v="27.686839526950077"/>
    <n v="27.238079343507241"/>
    <n v="669.99206255378169"/>
    <n v="436.94425198857266"/>
    <n v="1000.0000000000001"/>
    <n v="-57.518591010192722"/>
    <n v="2213.5185910101936"/>
    <n v="0.46382189239332078"/>
    <n v="0"/>
    <n v="0.45176941547331906"/>
  </r>
  <r>
    <x v="489"/>
    <x v="10"/>
    <n v="14.58333333333333"/>
    <n v="38929.115159031782"/>
    <m/>
    <m/>
    <m/>
    <m/>
    <n v="2989.154168663013"/>
    <n v="3662.7028172734199"/>
    <n v="0"/>
    <n v="-29.284833921799699"/>
    <n v="12100.58604937987"/>
    <n v="7983.9518394043498"/>
    <n v="18056.175862259639"/>
    <x v="472"/>
    <d v="2023-07-10T19:05:00"/>
    <n v="38928.866746936466"/>
    <n v="8.4481221690293662"/>
    <n v="0.80766456001433184"/>
    <n v="2156"/>
    <n v="0"/>
    <n v="0"/>
    <n v="0"/>
    <n v="0"/>
    <n v="165.54746649930641"/>
    <n v="202.85041778580967"/>
    <n v="0"/>
    <n v="-1.6218735431686724"/>
    <n v="670.16328051345988"/>
    <n v="442.17291082615759"/>
    <n v="999.99999999999989"/>
    <n v="1.3757735703165963E-2"/>
    <n v="2155.9862422642968"/>
    <n v="0.46382189239332094"/>
    <n v="0"/>
    <n v="0.46382485212417807"/>
  </r>
  <r>
    <x v="490"/>
    <x v="11"/>
    <n v="13.08333333333333"/>
    <n v="31483.94550567128"/>
    <m/>
    <m/>
    <m/>
    <m/>
    <n v="4292.5175754153888"/>
    <n v="3548.3954846308029"/>
    <n v="0"/>
    <n v="15.688751195881419"/>
    <n v="10863.830065367951"/>
    <n v="6680.4911587269917"/>
    <n v="14602.94318444865"/>
    <x v="473"/>
    <d v="2023-07-12T19:10:00"/>
    <n v="31486.04181904667"/>
    <n v="8.247177216478212"/>
    <n v="0.89593811111080524"/>
    <n v="2155.9999999999995"/>
    <n v="0"/>
    <n v="0"/>
    <n v="0"/>
    <n v="0"/>
    <n v="293.94879656771445"/>
    <n v="242.991802392935"/>
    <n v="0"/>
    <n v="1.0743554225828322"/>
    <n v="743.94797871550622"/>
    <n v="457.47566599049406"/>
    <n v="1000"/>
    <n v="-0.14355416910893837"/>
    <n v="2156.1435541691085"/>
    <n v="0.46382189239332111"/>
    <n v="0"/>
    <n v="0.46379101153371954"/>
  </r>
  <r>
    <x v="491"/>
    <x v="11"/>
    <n v="15.91666666666667"/>
    <n v="45004.163138238502"/>
    <m/>
    <m/>
    <m/>
    <m/>
    <n v="4933.4837929222394"/>
    <n v="4358.7322064059217"/>
    <n v="0"/>
    <n v="28.334149788022959"/>
    <n v="15054.30574805882"/>
    <n v="7866.5275275529239"/>
    <n v="20873.91611235552"/>
    <x v="474"/>
    <d v="2023-07-13T20:40:00"/>
    <n v="45003.856562751258"/>
    <n v="7.3057558206008064"/>
    <n v="0.76251464176601746"/>
    <n v="2156"/>
    <n v="0"/>
    <n v="0"/>
    <n v="0"/>
    <n v="0"/>
    <n v="236.34682473415"/>
    <n v="208.81238493748359"/>
    <n v="0"/>
    <n v="1.3573950204414031"/>
    <n v="721.2017940010785"/>
    <n v="376.85920960928996"/>
    <n v="999.99999999999989"/>
    <n v="1.4687013476304855E-2"/>
    <n v="2155.9853129865237"/>
    <n v="0.46382189239332094"/>
    <n v="0"/>
    <n v="0.46382505204303803"/>
  </r>
  <r>
    <x v="492"/>
    <x v="11"/>
    <n v="5.583333333333333"/>
    <n v="15183.395345836099"/>
    <m/>
    <m/>
    <m/>
    <m/>
    <n v="0"/>
    <n v="1431.2042367677309"/>
    <n v="0"/>
    <n v="0"/>
    <n v="3692.2121706003809"/>
    <n v="2755.5540922897449"/>
    <n v="7042.3911622616433"/>
    <x v="475"/>
    <d v="2023-07-14T07:00:00"/>
    <n v="15183.361883342561"/>
    <n v="7.5106733993530277"/>
    <n v="0.79281783767606884"/>
    <n v="2155.9999999999995"/>
    <n v="0"/>
    <n v="0"/>
    <n v="0"/>
    <n v="0"/>
    <n v="0"/>
    <n v="203.22702954036194"/>
    <n v="0"/>
    <n v="0"/>
    <n v="524.28388107522244"/>
    <n v="391.28103350124144"/>
    <n v="1000"/>
    <n v="4.7515812125311641E-3"/>
    <n v="2155.995248418787"/>
    <n v="0.46382189239332106"/>
    <n v="0"/>
    <n v="0.4638229146067937"/>
  </r>
  <r>
    <x v="493"/>
    <x v="11"/>
    <n v="11.08333333333333"/>
    <n v="30138.312499315169"/>
    <m/>
    <m/>
    <m/>
    <m/>
    <n v="2538.4451718457371"/>
    <n v="2571.1389876814228"/>
    <n v="0"/>
    <n v="25.85781309177548"/>
    <n v="5903.7597279012643"/>
    <n v="5636.8440829543424"/>
    <n v="13978.809136973639"/>
    <x v="476"/>
    <d v="2023-07-14T18:05:00"/>
    <n v="30138.403226561612"/>
    <n v="8.5671993805411084"/>
    <n v="0.79286677604161282"/>
    <n v="2156"/>
    <n v="0"/>
    <n v="0"/>
    <n v="0"/>
    <n v="0"/>
    <n v="181.59237650162962"/>
    <n v="183.9311891655218"/>
    <n v="0"/>
    <n v="1.8497865475094111"/>
    <n v="422.33638574304234"/>
    <n v="403.24208076101525"/>
    <n v="1000"/>
    <n v="-6.4903415991466318E-3"/>
    <n v="2156.0064903415991"/>
    <n v="0.46382189239332094"/>
    <n v="0"/>
    <n v="0.46382049612548215"/>
  </r>
  <r>
    <x v="494"/>
    <x v="11"/>
    <n v="6.916666666666667"/>
    <n v="17716.75163397607"/>
    <m/>
    <m/>
    <m/>
    <m/>
    <n v="2099.7896692898189"/>
    <n v="2188.3984931876962"/>
    <n v="224.42385468750001"/>
    <n v="363.53502351529698"/>
    <n v="4783.8387311692504"/>
    <n v="3315.502663600932"/>
    <n v="8217.4172699332394"/>
    <x v="477"/>
    <d v="2023-07-16T19:00:00"/>
    <n v="40808.463179405611"/>
    <n v="6.4744902032979796"/>
    <n v="0.84170809872027585"/>
    <n v="2156.0000000000005"/>
    <n v="0"/>
    <n v="0"/>
    <n v="0"/>
    <n v="0"/>
    <n v="255.52915232536051"/>
    <n v="266.31220264240949"/>
    <n v="27.31075316190233"/>
    <n v="44.23957206669273"/>
    <n v="582.15842934894749"/>
    <n v="403.47259420938082"/>
    <n v="1000"/>
    <n v="-2810.0935837735728"/>
    <n v="4966.0935837735733"/>
    <n v="0.46382189239332083"/>
    <n v="0"/>
    <n v="0.20136551660392443"/>
  </r>
  <r>
    <x v="495"/>
    <x v="11"/>
    <n v="9.4166666666666661"/>
    <n v="24253.627531831618"/>
    <m/>
    <m/>
    <m/>
    <m/>
    <n v="-25202.301285226131"/>
    <n v="2457.3210976014461"/>
    <n v="0"/>
    <n v="39.921860979667663"/>
    <n v="7297.7098348582786"/>
    <n v="5392.6458144616126"/>
    <n v="11249.36341921689"/>
    <x v="478"/>
    <d v="2023-07-17T16:25:00"/>
    <n v="24250.676332014431"/>
    <n v="7.1599354836017053"/>
    <n v="0.83708440342326451"/>
    <n v="2156.0000000000005"/>
    <n v="0"/>
    <n v="0"/>
    <n v="0"/>
    <n v="0"/>
    <n v="-2240.3313277419707"/>
    <n v="218.44090247841859"/>
    <n v="0"/>
    <n v="3.5488106741640646"/>
    <n v="648.72202656301943"/>
    <n v="479.37341994388294"/>
    <n v="1000"/>
    <n v="0.26234371734744855"/>
    <n v="2155.737656282653"/>
    <n v="0.46382189239332089"/>
    <n v="0"/>
    <n v="0.46387833746170987"/>
  </r>
  <r>
    <x v="496"/>
    <x v="10"/>
    <n v="4.333333333333333"/>
    <n v="8481.561671414489"/>
    <m/>
    <m/>
    <m/>
    <m/>
    <n v="553.86143936568283"/>
    <n v="1003.480605608444"/>
    <n v="2126.1835085397038"/>
    <n v="1651.392820752463"/>
    <n v="1229.533841740604"/>
    <n v="3231.7972986800569"/>
    <n v="3933.9339848861268"/>
    <x v="479"/>
    <d v="2023-07-18T09:25:00"/>
    <n v="24352.132493835561"/>
    <n v="6.2232351448858667"/>
    <n v="1.1015267032903113"/>
    <n v="2156"/>
    <n v="0"/>
    <n v="0"/>
    <n v="0"/>
    <n v="0"/>
    <n v="140.79073047325554"/>
    <n v="255.08323461037719"/>
    <n v="540.47259478891556"/>
    <n v="419.78152838786514"/>
    <n v="312.54562137147673"/>
    <n v="821.51792864251775"/>
    <n v="1000"/>
    <n v="-4034.2748209285128"/>
    <n v="6190.2748209285128"/>
    <n v="0.463821892393321"/>
    <n v="0"/>
    <n v="0.16154371638220813"/>
  </r>
  <r>
    <x v="497"/>
    <x v="8"/>
    <n v="4"/>
    <n v="11042.43493159575"/>
    <m/>
    <m/>
    <m/>
    <m/>
    <n v="1117.1851885696431"/>
    <n v="1200.915645930274"/>
    <n v="4494.6216154855183"/>
    <n v="4785.0842861175524"/>
    <n v="0"/>
    <n v="4288.8758375488096"/>
    <n v="4881.7130555242038"/>
    <x v="480"/>
    <d v="2023-07-18T19:40:00"/>
    <n v="11428.394106832729"/>
    <n v="8.1091977169834184"/>
    <n v="0.8193844977171596"/>
    <n v="2262.0000000000005"/>
    <n v="0"/>
    <n v="0"/>
    <n v="0"/>
    <n v="0"/>
    <n v="228.85105614829681"/>
    <n v="246.00291583531393"/>
    <n v="920.70581870832245"/>
    <n v="980.20597107867604"/>
    <n v="0"/>
    <n v="878.55959348029842"/>
    <n v="1000"/>
    <n v="-79.062241235219972"/>
    <n v="2341.0622412352204"/>
    <n v="0.44208664898320066"/>
    <n v="0"/>
    <n v="0.42715651997033938"/>
  </r>
  <r>
    <x v="498"/>
    <x v="3"/>
    <n v="26.833333333333339"/>
    <n v="45795.953541070667"/>
    <m/>
    <m/>
    <m/>
    <m/>
    <n v="7121.2494872143207"/>
    <n v="6956.4927050826354"/>
    <n v="27621.11111511504"/>
    <n v="27834.013196672939"/>
    <n v="0"/>
    <n v="28743.5748721038"/>
    <n v="19765.1935869964"/>
    <x v="481"/>
    <d v="2023-07-20T08:55:00"/>
    <n v="66855.990333670503"/>
    <n v="7.5779145569864959"/>
    <n v="1.3576053892529085"/>
    <n v="2317.0000000000005"/>
    <n v="0"/>
    <n v="0"/>
    <n v="0"/>
    <n v="0"/>
    <n v="360.29242293378894"/>
    <n v="351.95672000194014"/>
    <n v="1397.4622102000094"/>
    <n v="1408.2337759132827"/>
    <n v="0"/>
    <n v="1454.2521299166183"/>
    <n v="1000"/>
    <n v="-1065.5112837576921"/>
    <n v="3382.5112837576926"/>
    <n v="0.4315925766076823"/>
    <n v="0"/>
    <n v="0.29563833380300863"/>
  </r>
  <r>
    <x v="499"/>
    <x v="1"/>
    <n v="3.333333333333333"/>
    <n v="4420.7274542038558"/>
    <m/>
    <m/>
    <m/>
    <m/>
    <n v="173.40878882856001"/>
    <n v="225.94382860262851"/>
    <n v="237.19802189610019"/>
    <n v="297.51776589169759"/>
    <n v="0"/>
    <n v="168.59323739188861"/>
    <n v="2050.430173563941"/>
    <x v="482"/>
    <d v="2023-08-16T15:00:00"/>
    <n v="6315.7781193598021"/>
    <n v="7.477187628216214"/>
    <n v="1.6256751272536742"/>
    <n v="2155.9999999999995"/>
    <n v="0"/>
    <n v="0"/>
    <n v="0"/>
    <n v="0"/>
    <n v="84.571906453732453"/>
    <n v="110.19337869472815"/>
    <n v="115.68207732907875"/>
    <n v="145.10016957786431"/>
    <n v="0"/>
    <n v="82.223349795350231"/>
    <n v="1000"/>
    <n v="-924.22101936886611"/>
    <n v="3080.2210193688657"/>
    <n v="0.46382189239332106"/>
    <n v="0"/>
    <n v="0.32465202779666086"/>
  </r>
  <r>
    <x v="500"/>
    <x v="12"/>
    <n v="11"/>
    <n v="20722.12437718215"/>
    <m/>
    <m/>
    <m/>
    <m/>
    <n v="1972.8750174226379"/>
    <n v="1985.2818237997999"/>
    <n v="3337.3002466594298"/>
    <n v="3338.0676399230888"/>
    <n v="0"/>
    <n v="1520.958612035432"/>
    <n v="8943.5150527329079"/>
    <x v="483"/>
    <d v="2023-08-17T04:10:00"/>
    <n v="20697.94079878911"/>
    <n v="7.4745481951339254"/>
    <n v="1.2299414643058808"/>
    <n v="2317"/>
    <n v="0"/>
    <n v="0"/>
    <n v="0"/>
    <n v="0"/>
    <n v="220.59279889284448"/>
    <n v="221.98003940219778"/>
    <n v="373.15308656406148"/>
    <n v="373.23889099991635"/>
    <n v="0"/>
    <n v="170.06273294868174"/>
    <n v="999.99999999999989"/>
    <n v="2.7040350746260629"/>
    <n v="2314.2959649253739"/>
    <n v="0.4315925766076823"/>
    <n v="0"/>
    <n v="0.43209685155037886"/>
  </r>
  <r>
    <x v="501"/>
    <x v="3"/>
    <n v="14.856666666666669"/>
    <n v="24763.418331529891"/>
    <m/>
    <m/>
    <m/>
    <m/>
    <n v="515.83706404785801"/>
    <n v="3227.689391018142"/>
    <n v="6016.624134428881"/>
    <n v="475.56438538869372"/>
    <n v="-2074"/>
    <n v="1069.1051049077421"/>
    <n v="10687.82901662921"/>
    <x v="484"/>
    <d v="2023-08-17T18:56:24"/>
    <n v="27962.17505653765"/>
    <n v="7.5840919883230367"/>
    <n v="1.3900546728012919"/>
    <n v="2316.9736616295459"/>
    <n v="0"/>
    <n v="0"/>
    <n v="0"/>
    <n v="0"/>
    <n v="48.263970470080153"/>
    <n v="301.99672786645209"/>
    <n v="562.94165307730941"/>
    <n v="44.495882620199325"/>
    <n v="-194.05250559052359"/>
    <n v="100.03014674395705"/>
    <n v="1000"/>
    <n v="-299.28966116793345"/>
    <n v="2616.2633227974793"/>
    <n v="0.43159748276840232"/>
    <n v="0"/>
    <n v="0.38222452277117691"/>
  </r>
  <r>
    <x v="502"/>
    <x v="15"/>
    <n v="41.7"/>
    <n v="69509"/>
    <m/>
    <m/>
    <m/>
    <m/>
    <n v="0"/>
    <n v="9060"/>
    <n v="16891"/>
    <n v="0"/>
    <n v="7260"/>
    <n v="22501"/>
    <n v="30000"/>
    <x v="485"/>
    <d v="2023-08-19T12:38:24"/>
    <n v="100979.0934425983"/>
    <n v="7.615766423780375"/>
    <n v="1.39"/>
    <n v="2316.9666666666667"/>
    <n v="0"/>
    <n v="0"/>
    <n v="0"/>
    <n v="0"/>
    <n v="0"/>
    <n v="302"/>
    <n v="563.0333333333333"/>
    <n v="0"/>
    <n v="242"/>
    <n v="750.0333333333333"/>
    <n v="1000"/>
    <n v="-1049.0031147532763"/>
    <n v="3365.969781419943"/>
    <n v="0.43159878576874938"/>
    <n v="0"/>
    <n v="0.2970911995467016"/>
  </r>
  <r>
    <x v="503"/>
    <x v="1"/>
    <n v="106"/>
    <n v="266522"/>
    <m/>
    <m/>
    <m/>
    <m/>
    <n v="0"/>
    <n v="27814.775000000001"/>
    <n v="8899.9680000000008"/>
    <n v="4095.8389999999999"/>
    <n v="80230"/>
    <n v="49942"/>
    <n v="123618"/>
    <x v="486"/>
    <d v="2023-08-24T12:45:00"/>
    <n v="284817"/>
    <n v="5.7874999046325684"/>
    <n v="0.8574803022213594"/>
    <n v="2156.012878383407"/>
    <n v="0"/>
    <n v="0"/>
    <n v="0"/>
    <n v="0"/>
    <n v="0"/>
    <n v="225.00586484168971"/>
    <n v="71.995728777362515"/>
    <n v="33.133030788396511"/>
    <n v="649.01551553980812"/>
    <n v="404.00265333527477"/>
    <n v="1000"/>
    <n v="-147.99624650131864"/>
    <n v="2304.0091248847257"/>
    <n v="0.46381912187361646"/>
    <n v="0"/>
    <n v="0.43402605883778006"/>
  </r>
  <r>
    <x v="504"/>
    <x v="7"/>
    <n v="9.0399999999999991"/>
    <n v="22224"/>
    <m/>
    <m/>
    <m/>
    <m/>
    <n v="0"/>
    <n v="2309"/>
    <n v="865"/>
    <n v="0"/>
    <n v="6652"/>
    <n v="4205"/>
    <n v="9825"/>
    <x v="487"/>
    <d v="2023-08-19T16:02:24"/>
    <n v="18785.583929386459"/>
    <n v="6.3093141718679684"/>
    <n v="0.92010178117048347"/>
    <n v="2261.9847328244273"/>
    <n v="0"/>
    <n v="0"/>
    <n v="0"/>
    <n v="0"/>
    <n v="0"/>
    <n v="235.01272264631044"/>
    <n v="88.040712468193391"/>
    <n v="0"/>
    <n v="677.04834605597966"/>
    <n v="427.98982188295167"/>
    <n v="1000"/>
    <n v="349.96601227618726"/>
    <n v="1912.01872054824"/>
    <n v="0.44208963282937364"/>
    <n v="0"/>
    <n v="0.52300743149275564"/>
  </r>
  <r>
    <x v="505"/>
    <x v="8"/>
    <n v="5.98"/>
    <n v="14703"/>
    <m/>
    <m/>
    <m/>
    <m/>
    <n v="0"/>
    <n v="1528"/>
    <n v="572"/>
    <n v="0"/>
    <n v="4401"/>
    <n v="2782"/>
    <n v="6500"/>
    <x v="488"/>
    <d v="2023-08-19T18:43:48"/>
    <n v="15656.237508632459"/>
    <n v="5.92254629164536"/>
    <n v="0.92"/>
    <n v="2262"/>
    <n v="0"/>
    <n v="0"/>
    <n v="0"/>
    <n v="0"/>
    <n v="0"/>
    <n v="235.07692307692307"/>
    <n v="88"/>
    <n v="0"/>
    <n v="677.07692307692309"/>
    <n v="428"/>
    <n v="1000"/>
    <n v="-146.65192440499368"/>
    <n v="2408.6519244049937"/>
    <n v="0.44208664898320071"/>
    <n v="0"/>
    <n v="0.41516999192277593"/>
  </r>
  <r>
    <x v="506"/>
    <x v="11"/>
    <n v="42.25"/>
    <n v="107852"/>
    <m/>
    <m/>
    <m/>
    <m/>
    <n v="0"/>
    <n v="13556.376"/>
    <n v="3601.4319999999998"/>
    <n v="0"/>
    <n v="32465"/>
    <n v="20209"/>
    <n v="50024"/>
    <x v="489"/>
    <d v="2023-08-26T07:00:00"/>
    <n v="0"/>
    <m/>
    <n v="0.84459459459459463"/>
    <n v="2156.0051175435792"/>
    <n v="0"/>
    <n v="0"/>
    <n v="0"/>
    <n v="0"/>
    <n v="0"/>
    <n v="270.99744122821045"/>
    <n v="71.994082840236686"/>
    <n v="0"/>
    <n v="648.9884855269471"/>
    <n v="403.98608667839437"/>
    <n v="1000"/>
    <n v="2156.0051175435792"/>
    <n v="0"/>
    <n v="0.4638207914549568"/>
    <n v="0"/>
    <n v="0"/>
  </r>
  <r>
    <x v="507"/>
    <x v="10"/>
    <n v="72"/>
    <n v="181668"/>
    <m/>
    <m/>
    <m/>
    <m/>
    <n v="0"/>
    <n v="21823.858"/>
    <n v="6066.8639999999996"/>
    <n v="0"/>
    <n v="54686.144"/>
    <n v="34041.423999999999"/>
    <n v="84262"/>
    <x v="490"/>
    <d v="2023-08-29T07:00:00"/>
    <n v="0"/>
    <m/>
    <n v="0.85447770050556593"/>
    <n v="2155.9896513256272"/>
    <n v="0"/>
    <n v="0"/>
    <n v="0"/>
    <n v="0"/>
    <n v="0"/>
    <n v="259"/>
    <n v="72"/>
    <n v="0"/>
    <n v="649.0012579810591"/>
    <n v="403.99496807576367"/>
    <n v="1000"/>
    <n v="2155.9896513256272"/>
    <n v="0"/>
    <n v="0.46382411872206442"/>
    <n v="0"/>
    <n v="0"/>
  </r>
  <r>
    <x v="508"/>
    <x v="1"/>
    <n v="7.5"/>
    <n v="36762"/>
    <m/>
    <m/>
    <m/>
    <m/>
    <n v="0"/>
    <n v="3836.4749999999999"/>
    <n v="1227.672"/>
    <n v="0"/>
    <n v="11066.099"/>
    <n v="6888.6040000000003"/>
    <n v="17051"/>
    <x v="491"/>
    <d v="2023-09-01T14:30:00"/>
    <n v="0"/>
    <m/>
    <n v="0.43985689988856957"/>
    <n v="2156.0025804938127"/>
    <n v="0"/>
    <n v="0"/>
    <n v="0"/>
    <n v="0"/>
    <n v="0"/>
    <n v="225"/>
    <n v="72"/>
    <n v="0"/>
    <n v="649"/>
    <n v="404"/>
    <n v="1000"/>
    <n v="2156.0025804938127"/>
    <n v="0"/>
    <n v="0.46382133725042163"/>
    <n v="0"/>
    <n v="0"/>
  </r>
  <r>
    <x v="509"/>
    <x v="10"/>
    <n v="5.5"/>
    <n v="18693"/>
    <m/>
    <m/>
    <m/>
    <m/>
    <n v="0"/>
    <n v="2245.5300000000002"/>
    <n v="624.24"/>
    <n v="0"/>
    <n v="5626.83"/>
    <n v="3502.68"/>
    <n v="8670"/>
    <x v="492"/>
    <d v="2023-09-01T20:00:00"/>
    <n v="0"/>
    <m/>
    <n v="0.63437139561707034"/>
    <n v="2156.0553633217992"/>
    <n v="0"/>
    <n v="0"/>
    <n v="0"/>
    <n v="0"/>
    <n v="0"/>
    <n v="259"/>
    <n v="72"/>
    <n v="0"/>
    <n v="649"/>
    <n v="404"/>
    <n v="1000"/>
    <n v="2156.0553633217992"/>
    <n v="0"/>
    <n v="0.46380998234633286"/>
    <n v="0"/>
    <n v="0"/>
  </r>
  <r>
    <x v="510"/>
    <x v="8"/>
    <n v="17"/>
    <n v="44788"/>
    <m/>
    <m/>
    <m/>
    <m/>
    <n v="0"/>
    <n v="4653"/>
    <n v="1742.4"/>
    <n v="0"/>
    <n v="13404.6"/>
    <n v="8474.4"/>
    <n v="19800"/>
    <x v="493"/>
    <d v="2023-09-02T13:00:00"/>
    <n v="44538.155241505767"/>
    <n v="7.4847683574979671"/>
    <n v="0.85858585858585856"/>
    <n v="2262.0202020202019"/>
    <n v="0"/>
    <n v="0"/>
    <n v="0"/>
    <n v="0"/>
    <n v="0"/>
    <n v="235"/>
    <n v="88"/>
    <n v="0"/>
    <n v="677"/>
    <n v="428"/>
    <n v="1000"/>
    <n v="12.618422146173543"/>
    <n v="2249.4017798740283"/>
    <n v="0.44208270072340805"/>
    <n v="0"/>
    <n v="0.4445626428089704"/>
  </r>
  <r>
    <x v="511"/>
    <x v="7"/>
    <n v="12"/>
    <n v="34439"/>
    <m/>
    <m/>
    <m/>
    <m/>
    <n v="0"/>
    <n v="3577.875"/>
    <n v="1339.8"/>
    <n v="0"/>
    <n v="10307.325000000001"/>
    <n v="6516.3"/>
    <n v="15225"/>
    <x v="494"/>
    <d v="2023-09-03T01:00:00"/>
    <n v="31257.230737159061"/>
    <n v="7.8162333663430923"/>
    <n v="0.78817733990147787"/>
    <n v="2262.0032840722497"/>
    <n v="0"/>
    <n v="0"/>
    <n v="0"/>
    <n v="0"/>
    <n v="0"/>
    <n v="235"/>
    <n v="88"/>
    <n v="0"/>
    <n v="677"/>
    <n v="428"/>
    <n v="1000"/>
    <n v="208.98320281385486"/>
    <n v="2053.0200812583948"/>
    <n v="0.44208600714306456"/>
    <n v="0"/>
    <n v="0.48708729599325296"/>
  </r>
  <r>
    <x v="512"/>
    <x v="15"/>
    <n v="11"/>
    <n v="18334"/>
    <m/>
    <m/>
    <m/>
    <m/>
    <n v="0"/>
    <n v="2389.7260000000001"/>
    <n v="4455.0190000000002"/>
    <n v="0"/>
    <n v="1914.9459999999999"/>
    <n v="5934.75"/>
    <n v="7913"/>
    <x v="495"/>
    <d v="2023-09-03T12:00:00"/>
    <n v="20706.53686802938"/>
    <n v="7.447269739994498"/>
    <n v="1.3901175281182863"/>
    <n v="2316.9467964109695"/>
    <n v="0"/>
    <n v="0"/>
    <n v="0"/>
    <n v="0"/>
    <n v="0"/>
    <n v="302"/>
    <n v="563"/>
    <n v="0"/>
    <n v="242"/>
    <n v="750"/>
    <n v="1000"/>
    <n v="-299.82773512313634"/>
    <n v="2616.7745315341058"/>
    <n v="0.43160248718228428"/>
    <n v="0"/>
    <n v="0.38214985202173368"/>
  </r>
  <r>
    <x v="513"/>
    <x v="3"/>
    <n v="20"/>
    <n v="31671"/>
    <m/>
    <m/>
    <m/>
    <m/>
    <n v="-25221.955212383269"/>
    <n v="4128.0379999999996"/>
    <n v="7695.646999999999"/>
    <n v="321.73448490143392"/>
    <n v="-3458.2570000000001"/>
    <n v="1366.9"/>
    <n v="13669"/>
    <x v="496"/>
    <d v="2023-09-04T08:00:00"/>
    <n v="35762.387890767939"/>
    <n v="6.6900320840559919"/>
    <n v="1.4631648255175946"/>
    <n v="2316.9946594483868"/>
    <n v="0"/>
    <n v="0"/>
    <n v="0"/>
    <n v="0"/>
    <n v="-1845.1938848769676"/>
    <n v="301.99999999999994"/>
    <n v="562.99999999999989"/>
    <n v="23.537529073189987"/>
    <n v="-253"/>
    <n v="100"/>
    <n v="1000"/>
    <n v="-299.31874246601365"/>
    <n v="2616.3134019144004"/>
    <n v="0.43159357140601812"/>
    <n v="0"/>
    <n v="0.38221720657329633"/>
  </r>
  <r>
    <x v="514"/>
    <x v="17"/>
    <n v="109.6666666666667"/>
    <n v="0"/>
    <n v="196835.52833333329"/>
    <n v="7310.4477799999877"/>
    <n v="189525.0805533333"/>
    <m/>
    <n v="0"/>
    <n v="43306.959045182753"/>
    <n v="120715.7586630048"/>
    <n v="0"/>
    <n v="0"/>
    <n v="93990.276346579718"/>
    <n v="86635.355780516416"/>
    <x v="497"/>
    <d v="2023-09-15T06:45:00"/>
    <n v="0"/>
    <n v="5.0040177958352228"/>
    <n v="1.2658419380708521"/>
    <n v="0"/>
    <n v="2272"/>
    <n v="84.38180595137635"/>
    <n v="2187.6181940486235"/>
    <n v="0"/>
    <n v="0"/>
    <n v="499.87627631953626"/>
    <n v="1393.3775370973058"/>
    <n v="0"/>
    <n v="0"/>
    <n v="1084.8951389395386"/>
    <n v="1000"/>
    <n v="0"/>
    <n v="0"/>
    <n v="0"/>
    <n v="0.4401408450704225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D2B1D-562D-42DF-B0B2-C294879C3264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O240" firstHeaderRow="0" firstDataRow="1" firstDataCol="1" rowPageCount="1" colPageCount="1"/>
  <pivotFields count="39">
    <pivotField axis="axisRow" showAll="0">
      <items count="516">
        <item x="0"/>
        <item x="1"/>
        <item x="2"/>
        <item x="4"/>
        <item x="5"/>
        <item x="3"/>
        <item x="6"/>
        <item x="8"/>
        <item x="7"/>
        <item x="9"/>
        <item x="12"/>
        <item x="10"/>
        <item x="11"/>
        <item x="14"/>
        <item x="13"/>
        <item x="16"/>
        <item x="15"/>
        <item x="18"/>
        <item x="17"/>
        <item x="19"/>
        <item x="20"/>
        <item x="22"/>
        <item x="21"/>
        <item x="23"/>
        <item x="24"/>
        <item x="25"/>
        <item x="26"/>
        <item x="27"/>
        <item x="29"/>
        <item x="28"/>
        <item x="30"/>
        <item x="31"/>
        <item x="34"/>
        <item x="33"/>
        <item x="32"/>
        <item x="35"/>
        <item x="38"/>
        <item x="36"/>
        <item x="41"/>
        <item x="39"/>
        <item x="37"/>
        <item x="47"/>
        <item x="40"/>
        <item x="42"/>
        <item x="43"/>
        <item x="44"/>
        <item x="45"/>
        <item x="46"/>
        <item x="49"/>
        <item x="48"/>
        <item x="50"/>
        <item x="52"/>
        <item x="51"/>
        <item x="53"/>
        <item x="54"/>
        <item x="55"/>
        <item x="56"/>
        <item x="57"/>
        <item x="59"/>
        <item x="58"/>
        <item x="60"/>
        <item x="64"/>
        <item x="62"/>
        <item x="61"/>
        <item x="63"/>
        <item x="67"/>
        <item x="66"/>
        <item x="65"/>
        <item x="68"/>
        <item x="78"/>
        <item x="69"/>
        <item x="71"/>
        <item x="70"/>
        <item x="73"/>
        <item x="76"/>
        <item x="72"/>
        <item x="74"/>
        <item x="77"/>
        <item x="75"/>
        <item x="79"/>
        <item x="80"/>
        <item x="81"/>
        <item x="82"/>
        <item x="84"/>
        <item x="83"/>
        <item x="85"/>
        <item x="86"/>
        <item x="87"/>
        <item x="88"/>
        <item x="89"/>
        <item x="90"/>
        <item x="94"/>
        <item x="93"/>
        <item x="91"/>
        <item x="92"/>
        <item x="98"/>
        <item x="97"/>
        <item x="101"/>
        <item x="95"/>
        <item x="96"/>
        <item x="99"/>
        <item x="100"/>
        <item x="104"/>
        <item x="102"/>
        <item x="103"/>
        <item x="105"/>
        <item x="106"/>
        <item x="108"/>
        <item x="115"/>
        <item x="107"/>
        <item x="109"/>
        <item x="110"/>
        <item x="111"/>
        <item x="118"/>
        <item x="112"/>
        <item x="113"/>
        <item x="114"/>
        <item x="116"/>
        <item x="117"/>
        <item x="120"/>
        <item x="122"/>
        <item x="121"/>
        <item x="123"/>
        <item x="124"/>
        <item x="129"/>
        <item x="126"/>
        <item x="125"/>
        <item x="127"/>
        <item x="128"/>
        <item x="130"/>
        <item x="132"/>
        <item x="131"/>
        <item x="133"/>
        <item x="134"/>
        <item x="136"/>
        <item x="135"/>
        <item x="137"/>
        <item x="140"/>
        <item x="139"/>
        <item x="138"/>
        <item x="141"/>
        <item x="142"/>
        <item x="143"/>
        <item x="144"/>
        <item x="145"/>
        <item x="147"/>
        <item x="148"/>
        <item x="149"/>
        <item x="151"/>
        <item x="150"/>
        <item x="152"/>
        <item x="153"/>
        <item x="154"/>
        <item x="157"/>
        <item x="158"/>
        <item x="156"/>
        <item x="155"/>
        <item x="162"/>
        <item x="160"/>
        <item x="159"/>
        <item x="161"/>
        <item x="163"/>
        <item x="165"/>
        <item x="164"/>
        <item x="167"/>
        <item x="166"/>
        <item x="168"/>
        <item x="169"/>
        <item x="170"/>
        <item x="171"/>
        <item x="172"/>
        <item x="175"/>
        <item x="174"/>
        <item x="173"/>
        <item x="176"/>
        <item x="177"/>
        <item x="178"/>
        <item x="179"/>
        <item x="180"/>
        <item x="194"/>
        <item x="181"/>
        <item x="183"/>
        <item x="182"/>
        <item x="192"/>
        <item x="185"/>
        <item x="184"/>
        <item x="186"/>
        <item x="187"/>
        <item x="188"/>
        <item x="196"/>
        <item x="189"/>
        <item x="193"/>
        <item x="191"/>
        <item x="195"/>
        <item x="197"/>
        <item x="198"/>
        <item x="199"/>
        <item x="200"/>
        <item x="201"/>
        <item x="202"/>
        <item x="204"/>
        <item x="203"/>
        <item x="205"/>
        <item x="206"/>
        <item x="207"/>
        <item x="210"/>
        <item x="208"/>
        <item x="209"/>
        <item x="211"/>
        <item x="212"/>
        <item x="213"/>
        <item x="214"/>
        <item x="215"/>
        <item x="216"/>
        <item x="217"/>
        <item x="218"/>
        <item x="220"/>
        <item x="219"/>
        <item x="221"/>
        <item x="222"/>
        <item x="223"/>
        <item x="224"/>
        <item x="225"/>
        <item x="226"/>
        <item x="232"/>
        <item x="227"/>
        <item x="242"/>
        <item x="228"/>
        <item x="229"/>
        <item x="231"/>
        <item x="230"/>
        <item x="233"/>
        <item x="234"/>
        <item x="241"/>
        <item x="235"/>
        <item x="238"/>
        <item x="237"/>
        <item x="239"/>
        <item x="240"/>
        <item x="245"/>
        <item x="244"/>
        <item x="243"/>
        <item x="246"/>
        <item x="247"/>
        <item x="248"/>
        <item x="249"/>
        <item x="250"/>
        <item x="251"/>
        <item x="252"/>
        <item x="253"/>
        <item x="255"/>
        <item x="256"/>
        <item x="254"/>
        <item x="257"/>
        <item x="258"/>
        <item x="259"/>
        <item x="260"/>
        <item x="261"/>
        <item x="262"/>
        <item x="263"/>
        <item x="276"/>
        <item x="277"/>
        <item x="264"/>
        <item x="265"/>
        <item x="267"/>
        <item x="266"/>
        <item x="268"/>
        <item x="269"/>
        <item x="270"/>
        <item x="271"/>
        <item x="272"/>
        <item x="273"/>
        <item x="274"/>
        <item x="275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2"/>
        <item x="291"/>
        <item x="293"/>
        <item x="295"/>
        <item x="294"/>
        <item x="296"/>
        <item x="298"/>
        <item x="493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5"/>
        <item x="312"/>
        <item x="313"/>
        <item x="314"/>
        <item x="317"/>
        <item x="316"/>
        <item x="318"/>
        <item x="321"/>
        <item x="319"/>
        <item x="320"/>
        <item x="322"/>
        <item x="323"/>
        <item x="324"/>
        <item x="328"/>
        <item x="325"/>
        <item x="326"/>
        <item x="327"/>
        <item x="330"/>
        <item x="329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3"/>
        <item x="341"/>
        <item x="344"/>
        <item x="348"/>
        <item x="345"/>
        <item x="346"/>
        <item x="349"/>
        <item x="347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70"/>
        <item x="371"/>
        <item x="372"/>
        <item x="374"/>
        <item x="373"/>
        <item x="368"/>
        <item x="369"/>
        <item x="364"/>
        <item x="365"/>
        <item x="376"/>
        <item x="375"/>
        <item x="377"/>
        <item x="378"/>
        <item x="382"/>
        <item x="380"/>
        <item x="379"/>
        <item x="381"/>
        <item x="383"/>
        <item x="386"/>
        <item x="387"/>
        <item x="384"/>
        <item x="385"/>
        <item x="388"/>
        <item x="389"/>
        <item x="390"/>
        <item x="391"/>
        <item x="392"/>
        <item x="393"/>
        <item x="396"/>
        <item x="394"/>
        <item x="395"/>
        <item x="398"/>
        <item x="397"/>
        <item x="399"/>
        <item x="400"/>
        <item x="402"/>
        <item x="401"/>
        <item x="403"/>
        <item x="404"/>
        <item x="405"/>
        <item x="406"/>
        <item x="407"/>
        <item x="408"/>
        <item x="409"/>
        <item x="410"/>
        <item x="411"/>
        <item x="414"/>
        <item x="412"/>
        <item x="413"/>
        <item x="415"/>
        <item x="416"/>
        <item x="417"/>
        <item x="418"/>
        <item x="421"/>
        <item x="419"/>
        <item x="420"/>
        <item x="422"/>
        <item x="423"/>
        <item x="424"/>
        <item x="425"/>
        <item x="426"/>
        <item x="429"/>
        <item x="428"/>
        <item x="438"/>
        <item x="430"/>
        <item x="431"/>
        <item x="432"/>
        <item x="433"/>
        <item x="434"/>
        <item x="435"/>
        <item x="436"/>
        <item x="439"/>
        <item x="437"/>
        <item x="440"/>
        <item x="441"/>
        <item x="445"/>
        <item x="442"/>
        <item x="446"/>
        <item x="447"/>
        <item x="444"/>
        <item x="449"/>
        <item x="450"/>
        <item x="451"/>
        <item x="452"/>
        <item x="453"/>
        <item x="454"/>
        <item x="459"/>
        <item x="463"/>
        <item x="456"/>
        <item x="457"/>
        <item x="458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5"/>
        <item x="476"/>
        <item x="477"/>
        <item x="474"/>
        <item x="478"/>
        <item x="479"/>
        <item x="485"/>
        <item x="483"/>
        <item x="480"/>
        <item x="481"/>
        <item x="484"/>
        <item x="482"/>
        <item x="486"/>
        <item x="487"/>
        <item x="488"/>
        <item x="489"/>
        <item x="490"/>
        <item x="491"/>
        <item x="492"/>
        <item x="494"/>
        <item x="495"/>
        <item x="496"/>
        <item x="498"/>
        <item x="499"/>
        <item x="500"/>
        <item x="501"/>
        <item x="502"/>
        <item x="505"/>
        <item x="504"/>
        <item x="503"/>
        <item x="506"/>
        <item x="507"/>
        <item x="508"/>
        <item x="509"/>
        <item x="510"/>
        <item x="511"/>
        <item x="512"/>
        <item x="513"/>
        <item x="514"/>
        <item x="236"/>
        <item x="119"/>
        <item x="427"/>
        <item x="310"/>
        <item x="146"/>
        <item x="443"/>
        <item x="448"/>
        <item x="455"/>
        <item x="190"/>
        <item x="497"/>
        <item t="default"/>
      </items>
    </pivotField>
    <pivotField axis="axisRow" multipleItemSelectionAllowed="1" showAll="0" defaultSubtotal="0">
      <items count="27">
        <item h="1" sd="0" x="26"/>
        <item h="1" sd="0" x="24"/>
        <item h="1" sd="0" x="14"/>
        <item h="1" sd="0" x="23"/>
        <item x="1"/>
        <item h="1" x="7"/>
        <item h="1" x="25"/>
        <item h="1" sd="0" x="12"/>
        <item h="1" x="5"/>
        <item h="1" x="18"/>
        <item h="1" x="4"/>
        <item h="1" x="9"/>
        <item x="10"/>
        <item h="1" sd="0" x="8"/>
        <item h="1" x="3"/>
        <item h="1" sd="0" x="15"/>
        <item h="1" sd="0" x="6"/>
        <item x="2"/>
        <item x="11"/>
        <item h="1" x="17"/>
        <item h="1" sd="0" x="21"/>
        <item h="1" sd="0" x="22"/>
        <item h="1" x="20"/>
        <item h="1" sd="0" x="16"/>
        <item h="1" sd="0" x="19"/>
        <item h="1" sd="0" x="0"/>
        <item h="1" sd="0" x="1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"/>
    <field x="0"/>
  </rowFields>
  <rowItems count="237">
    <i>
      <x v="4"/>
    </i>
    <i r="1">
      <x v="1"/>
    </i>
    <i r="1">
      <x v="11"/>
    </i>
    <i r="1">
      <x v="14"/>
    </i>
    <i r="1">
      <x v="20"/>
    </i>
    <i r="1">
      <x v="29"/>
    </i>
    <i r="1">
      <x v="34"/>
    </i>
    <i r="1">
      <x v="35"/>
    </i>
    <i r="1">
      <x v="40"/>
    </i>
    <i r="1">
      <x v="42"/>
    </i>
    <i r="1">
      <x v="43"/>
    </i>
    <i r="1">
      <x v="45"/>
    </i>
    <i r="1">
      <x v="47"/>
    </i>
    <i r="1">
      <x v="49"/>
    </i>
    <i r="1">
      <x v="57"/>
    </i>
    <i r="1">
      <x v="61"/>
    </i>
    <i r="1">
      <x v="67"/>
    </i>
    <i r="1">
      <x v="72"/>
    </i>
    <i r="1">
      <x v="85"/>
    </i>
    <i r="1">
      <x v="93"/>
    </i>
    <i r="1">
      <x v="95"/>
    </i>
    <i r="1">
      <x v="99"/>
    </i>
    <i r="1">
      <x v="109"/>
    </i>
    <i r="1">
      <x v="120"/>
    </i>
    <i r="1">
      <x v="123"/>
    </i>
    <i r="1">
      <x v="128"/>
    </i>
    <i r="1">
      <x v="129"/>
    </i>
    <i r="1">
      <x v="131"/>
    </i>
    <i r="1">
      <x v="132"/>
    </i>
    <i r="1">
      <x v="144"/>
    </i>
    <i r="1">
      <x v="146"/>
    </i>
    <i r="1">
      <x v="148"/>
    </i>
    <i r="1">
      <x v="151"/>
    </i>
    <i r="1">
      <x v="153"/>
    </i>
    <i r="1">
      <x v="157"/>
    </i>
    <i r="1">
      <x v="163"/>
    </i>
    <i r="1">
      <x v="169"/>
    </i>
    <i r="1">
      <x v="173"/>
    </i>
    <i r="1">
      <x v="174"/>
    </i>
    <i r="1">
      <x v="176"/>
    </i>
    <i r="1">
      <x v="178"/>
    </i>
    <i r="1">
      <x v="179"/>
    </i>
    <i r="1">
      <x v="185"/>
    </i>
    <i r="1">
      <x v="188"/>
    </i>
    <i r="1">
      <x v="193"/>
    </i>
    <i r="1">
      <x v="196"/>
    </i>
    <i r="1">
      <x v="198"/>
    </i>
    <i r="1">
      <x v="201"/>
    </i>
    <i r="1">
      <x v="212"/>
    </i>
    <i r="1">
      <x v="221"/>
    </i>
    <i r="1">
      <x v="223"/>
    </i>
    <i r="1">
      <x v="227"/>
    </i>
    <i r="1">
      <x v="231"/>
    </i>
    <i r="1">
      <x v="234"/>
    </i>
    <i r="1">
      <x v="236"/>
    </i>
    <i r="1">
      <x v="238"/>
    </i>
    <i r="1">
      <x v="241"/>
    </i>
    <i r="1">
      <x v="242"/>
    </i>
    <i r="1">
      <x v="244"/>
    </i>
    <i r="1">
      <x v="246"/>
    </i>
    <i r="1">
      <x v="248"/>
    </i>
    <i r="1">
      <x v="252"/>
    </i>
    <i r="1">
      <x v="253"/>
    </i>
    <i r="1">
      <x v="255"/>
    </i>
    <i r="1">
      <x v="257"/>
    </i>
    <i r="1">
      <x v="263"/>
    </i>
    <i r="1">
      <x v="265"/>
    </i>
    <i r="1">
      <x v="267"/>
    </i>
    <i r="1">
      <x v="280"/>
    </i>
    <i r="1">
      <x v="286"/>
    </i>
    <i r="1">
      <x v="289"/>
    </i>
    <i r="1">
      <x v="291"/>
    </i>
    <i r="1">
      <x v="295"/>
    </i>
    <i r="1">
      <x v="304"/>
    </i>
    <i r="1">
      <x v="309"/>
    </i>
    <i r="1">
      <x v="317"/>
    </i>
    <i r="1">
      <x v="339"/>
    </i>
    <i r="1">
      <x v="340"/>
    </i>
    <i r="1">
      <x v="345"/>
    </i>
    <i r="1">
      <x v="346"/>
    </i>
    <i r="1">
      <x v="350"/>
    </i>
    <i r="1">
      <x v="353"/>
    </i>
    <i r="1">
      <x v="363"/>
    </i>
    <i r="1">
      <x v="366"/>
    </i>
    <i r="1">
      <x v="370"/>
    </i>
    <i r="1">
      <x v="377"/>
    </i>
    <i r="1">
      <x v="378"/>
    </i>
    <i r="1">
      <x v="383"/>
    </i>
    <i r="1">
      <x v="388"/>
    </i>
    <i r="1">
      <x v="394"/>
    </i>
    <i r="1">
      <x v="398"/>
    </i>
    <i r="1">
      <x v="401"/>
    </i>
    <i r="1">
      <x v="405"/>
    </i>
    <i r="1">
      <x v="407"/>
    </i>
    <i r="1">
      <x v="418"/>
    </i>
    <i r="1">
      <x v="422"/>
    </i>
    <i r="1">
      <x v="425"/>
    </i>
    <i r="1">
      <x v="444"/>
    </i>
    <i r="1">
      <x v="452"/>
    </i>
    <i r="1">
      <x v="464"/>
    </i>
    <i r="1">
      <x v="470"/>
    </i>
    <i r="1">
      <x v="474"/>
    </i>
    <i r="1">
      <x v="489"/>
    </i>
    <i r="1">
      <x v="495"/>
    </i>
    <i r="1">
      <x v="498"/>
    </i>
    <i>
      <x v="12"/>
    </i>
    <i r="1">
      <x v="15"/>
    </i>
    <i r="1">
      <x v="38"/>
    </i>
    <i r="1">
      <x v="69"/>
    </i>
    <i r="1">
      <x v="79"/>
    </i>
    <i r="1">
      <x v="100"/>
    </i>
    <i r="1">
      <x v="103"/>
    </i>
    <i r="1">
      <x v="116"/>
    </i>
    <i r="1">
      <x v="118"/>
    </i>
    <i r="1">
      <x v="172"/>
    </i>
    <i r="1">
      <x v="181"/>
    </i>
    <i r="1">
      <x v="184"/>
    </i>
    <i r="1">
      <x v="229"/>
    </i>
    <i r="1">
      <x v="251"/>
    </i>
    <i r="1">
      <x v="266"/>
    </i>
    <i r="1">
      <x v="288"/>
    </i>
    <i r="1">
      <x v="292"/>
    </i>
    <i r="1">
      <x v="311"/>
    </i>
    <i r="1">
      <x v="316"/>
    </i>
    <i r="1">
      <x v="344"/>
    </i>
    <i r="1">
      <x v="347"/>
    </i>
    <i r="1">
      <x v="364"/>
    </i>
    <i r="1">
      <x v="380"/>
    </i>
    <i r="1">
      <x v="403"/>
    </i>
    <i r="1">
      <x v="427"/>
    </i>
    <i r="1">
      <x v="428"/>
    </i>
    <i r="1">
      <x v="430"/>
    </i>
    <i r="1">
      <x v="448"/>
    </i>
    <i r="1">
      <x v="469"/>
    </i>
    <i r="1">
      <x v="472"/>
    </i>
    <i r="1">
      <x v="478"/>
    </i>
    <i r="1">
      <x v="481"/>
    </i>
    <i r="1">
      <x v="487"/>
    </i>
    <i r="1">
      <x v="497"/>
    </i>
    <i r="1">
      <x v="499"/>
    </i>
    <i r="1">
      <x v="506"/>
    </i>
    <i>
      <x v="17"/>
    </i>
    <i r="1">
      <x v="2"/>
    </i>
    <i r="1">
      <x v="10"/>
    </i>
    <i r="1">
      <x v="16"/>
    </i>
    <i r="1">
      <x v="21"/>
    </i>
    <i r="1">
      <x v="50"/>
    </i>
    <i r="1">
      <x v="62"/>
    </i>
    <i r="1">
      <x v="150"/>
    </i>
    <i r="1">
      <x v="156"/>
    </i>
    <i r="1">
      <x v="187"/>
    </i>
    <i r="1">
      <x v="194"/>
    </i>
    <i r="1">
      <x v="195"/>
    </i>
    <i r="1">
      <x v="203"/>
    </i>
    <i r="1">
      <x v="213"/>
    </i>
    <i r="1">
      <x v="225"/>
    </i>
    <i r="1">
      <x v="285"/>
    </i>
    <i r="1">
      <x v="507"/>
    </i>
    <i>
      <x v="18"/>
    </i>
    <i r="1">
      <x v="17"/>
    </i>
    <i r="1">
      <x v="36"/>
    </i>
    <i r="1">
      <x v="41"/>
    </i>
    <i r="1">
      <x v="64"/>
    </i>
    <i r="1">
      <x v="66"/>
    </i>
    <i r="1">
      <x v="70"/>
    </i>
    <i r="1">
      <x v="74"/>
    </i>
    <i r="1">
      <x v="96"/>
    </i>
    <i r="1">
      <x v="101"/>
    </i>
    <i r="1">
      <x v="105"/>
    </i>
    <i r="1">
      <x v="106"/>
    </i>
    <i r="1">
      <x v="107"/>
    </i>
    <i r="1">
      <x v="108"/>
    </i>
    <i r="1">
      <x v="117"/>
    </i>
    <i r="1">
      <x v="121"/>
    </i>
    <i r="1">
      <x v="124"/>
    </i>
    <i r="1">
      <x v="161"/>
    </i>
    <i r="1">
      <x v="162"/>
    </i>
    <i r="1">
      <x v="180"/>
    </i>
    <i r="1">
      <x v="182"/>
    </i>
    <i r="1">
      <x v="186"/>
    </i>
    <i r="1">
      <x v="189"/>
    </i>
    <i r="1">
      <x v="200"/>
    </i>
    <i r="1">
      <x v="202"/>
    </i>
    <i r="1">
      <x v="204"/>
    </i>
    <i r="1">
      <x v="230"/>
    </i>
    <i r="1">
      <x v="232"/>
    </i>
    <i r="1">
      <x v="235"/>
    </i>
    <i r="1">
      <x v="237"/>
    </i>
    <i r="1">
      <x v="240"/>
    </i>
    <i r="1">
      <x v="245"/>
    </i>
    <i r="1">
      <x v="250"/>
    </i>
    <i r="1">
      <x v="254"/>
    </i>
    <i r="1">
      <x v="258"/>
    </i>
    <i r="1">
      <x v="259"/>
    </i>
    <i r="1">
      <x v="262"/>
    </i>
    <i r="1">
      <x v="264"/>
    </i>
    <i r="1">
      <x v="268"/>
    </i>
    <i r="1">
      <x v="290"/>
    </i>
    <i r="1">
      <x v="293"/>
    </i>
    <i r="1">
      <x v="294"/>
    </i>
    <i r="1">
      <x v="310"/>
    </i>
    <i r="1">
      <x v="315"/>
    </i>
    <i r="1">
      <x v="319"/>
    </i>
    <i r="1">
      <x v="321"/>
    </i>
    <i r="1">
      <x v="325"/>
    </i>
    <i r="1">
      <x v="329"/>
    </i>
    <i r="1">
      <x v="341"/>
    </i>
    <i r="1">
      <x v="348"/>
    </i>
    <i r="1">
      <x v="352"/>
    </i>
    <i r="1">
      <x v="360"/>
    </i>
    <i r="1">
      <x v="365"/>
    </i>
    <i r="1">
      <x v="374"/>
    </i>
    <i r="1">
      <x v="395"/>
    </i>
    <i r="1">
      <x v="397"/>
    </i>
    <i r="1">
      <x v="400"/>
    </i>
    <i r="1">
      <x v="404"/>
    </i>
    <i r="1">
      <x v="406"/>
    </i>
    <i r="1">
      <x v="419"/>
    </i>
    <i r="1">
      <x v="421"/>
    </i>
    <i r="1">
      <x v="433"/>
    </i>
    <i r="1">
      <x v="436"/>
    </i>
    <i r="1">
      <x v="440"/>
    </i>
    <i r="1">
      <x v="441"/>
    </i>
    <i r="1">
      <x v="447"/>
    </i>
    <i r="1">
      <x v="453"/>
    </i>
    <i r="1">
      <x v="468"/>
    </i>
    <i r="1">
      <x v="471"/>
    </i>
    <i r="1">
      <x v="477"/>
    </i>
    <i r="1">
      <x v="479"/>
    </i>
    <i r="1">
      <x v="480"/>
    </i>
    <i r="1">
      <x v="482"/>
    </i>
    <i r="1">
      <x v="483"/>
    </i>
    <i r="1">
      <x v="484"/>
    </i>
    <i r="1">
      <x v="485"/>
    </i>
    <i r="1">
      <x v="486"/>
    </i>
    <i r="1">
      <x v="496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15" hier="-1"/>
  </pageFields>
  <dataFields count="13">
    <dataField name="Average of start" fld="15" subtotal="average" baseField="0" baseItem="1" numFmtId="14"/>
    <dataField name="Average of Hours per MT" fld="19" subtotal="average" baseField="0" baseItem="0" numFmtId="165"/>
    <dataField name="Average of Sawdust per MT" fld="20" subtotal="average" baseField="0" baseItem="0"/>
    <dataField name="Average of Sawdust check per MT" fld="33" subtotal="average" baseField="0" baseItem="0" numFmtId="2"/>
    <dataField name="Average of Saw dust check" fld="32" subtotal="average" baseField="0" baseItem="0" numFmtId="2"/>
    <dataField name="Average of Sawdust moisture" fld="18" subtotal="average" baseField="0" baseItem="0" numFmtId="2"/>
    <dataField name="Average of Sawdust Yeild" fld="34" subtotal="average" baseField="0" baseItem="0" numFmtId="2"/>
    <dataField name="Average of Sawduct Check Yeild" fld="36" subtotal="average" baseField="0" baseItem="0" numFmtId="2"/>
    <dataField name="Average of Caustic Flow per MT" fld="26" subtotal="average" baseField="0" baseItem="0" numFmtId="2"/>
    <dataField name="Average of Fresh acid Flow per MT" fld="27" subtotal="average" baseField="0" baseItem="0" numFmtId="2"/>
    <dataField name="Average of Plant Acid per MT" fld="29" subtotal="average" baseField="0" baseItem="0" numFmtId="2"/>
    <dataField name="Average of Bled Acid per MT" fld="30" subtotal="average" baseField="0" baseItem="0" numFmtId="2"/>
    <dataField name="Sum of OSF Yeild" fld="35" baseField="0" baseItem="0"/>
  </dataFields>
  <formats count="69">
    <format dxfId="68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6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3" selected="0">
            <x v="5"/>
            <x v="6"/>
            <x v="7"/>
          </reference>
        </references>
      </pivotArea>
    </format>
    <format dxfId="63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2">
      <pivotArea field="0" type="button" dataOnly="0" labelOnly="1" outline="0" axis="axisRow" fieldPosition="1"/>
    </format>
    <format dxfId="6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0">
      <pivotArea outline="0" collapsedLevelsAreSubtotals="1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59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58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">
      <pivotArea collapsedLevelsAreSubtotals="1" fieldPosition="0">
        <references count="2">
          <reference field="0" count="5">
            <x v="479"/>
            <x v="480"/>
            <x v="482"/>
            <x v="483"/>
            <x v="484"/>
          </reference>
          <reference field="1" count="1" selected="0">
            <x v="18"/>
          </reference>
        </references>
      </pivotArea>
    </format>
    <format dxfId="55">
      <pivotArea dataOnly="0" labelOnly="1" fieldPosition="0">
        <references count="2">
          <reference field="0" count="5">
            <x v="479"/>
            <x v="480"/>
            <x v="482"/>
            <x v="483"/>
            <x v="484"/>
          </reference>
          <reference field="1" count="1" selected="0">
            <x v="18"/>
          </reference>
        </references>
      </pivotArea>
    </format>
    <format dxfId="54">
      <pivotArea collapsedLevelsAreSubtotals="1" fieldPosition="0">
        <references count="2">
          <reference field="0" count="1">
            <x v="468"/>
          </reference>
          <reference field="1" count="1" selected="0">
            <x v="18"/>
          </reference>
        </references>
      </pivotArea>
    </format>
    <format dxfId="53">
      <pivotArea dataOnly="0" labelOnly="1" fieldPosition="0">
        <references count="2">
          <reference field="0" count="1">
            <x v="468"/>
          </reference>
          <reference field="1" count="1" selected="0">
            <x v="18"/>
          </reference>
        </references>
      </pivotArea>
    </format>
    <format dxfId="52">
      <pivotArea collapsedLevelsAreSubtotals="1" fieldPosition="0">
        <references count="2">
          <reference field="0" count="1">
            <x v="486"/>
          </reference>
          <reference field="1" count="1" selected="0">
            <x v="18"/>
          </reference>
        </references>
      </pivotArea>
    </format>
    <format dxfId="51">
      <pivotArea dataOnly="0" labelOnly="1" fieldPosition="0">
        <references count="2">
          <reference field="0" count="1">
            <x v="486"/>
          </reference>
          <reference field="1" count="1" selected="0">
            <x v="18"/>
          </reference>
        </references>
      </pivotArea>
    </format>
    <format dxfId="50">
      <pivotArea collapsedLevelsAreSubtotals="1" fieldPosition="0">
        <references count="2">
          <reference field="0" count="1">
            <x v="433"/>
          </reference>
          <reference field="1" count="1" selected="0">
            <x v="18"/>
          </reference>
        </references>
      </pivotArea>
    </format>
    <format dxfId="49">
      <pivotArea dataOnly="0" labelOnly="1" fieldPosition="0">
        <references count="2">
          <reference field="0" count="1">
            <x v="433"/>
          </reference>
          <reference field="1" count="1" selected="0">
            <x v="18"/>
          </reference>
        </references>
      </pivotArea>
    </format>
    <format dxfId="48">
      <pivotArea collapsedLevelsAreSubtotals="1" fieldPosition="0">
        <references count="2">
          <reference field="0" count="1">
            <x v="419"/>
          </reference>
          <reference field="1" count="1" selected="0">
            <x v="18"/>
          </reference>
        </references>
      </pivotArea>
    </format>
    <format dxfId="47">
      <pivotArea dataOnly="0" labelOnly="1" fieldPosition="0">
        <references count="2">
          <reference field="0" count="1">
            <x v="419"/>
          </reference>
          <reference field="1" count="1" selected="0">
            <x v="18"/>
          </reference>
        </references>
      </pivotArea>
    </format>
    <format dxfId="46">
      <pivotArea collapsedLevelsAreSubtotals="1" fieldPosition="0">
        <references count="2">
          <reference field="0" count="1">
            <x v="441"/>
          </reference>
          <reference field="1" count="1" selected="0">
            <x v="18"/>
          </reference>
        </references>
      </pivotArea>
    </format>
    <format dxfId="45">
      <pivotArea dataOnly="0" labelOnly="1" fieldPosition="0">
        <references count="2">
          <reference field="0" count="1">
            <x v="441"/>
          </reference>
          <reference field="1" count="1" selected="0">
            <x v="18"/>
          </reference>
        </references>
      </pivotArea>
    </format>
    <format dxfId="44">
      <pivotArea collapsedLevelsAreSubtotals="1" fieldPosition="0">
        <references count="2">
          <reference field="0" count="1">
            <x v="36"/>
          </reference>
          <reference field="1" count="1" selected="0">
            <x v="18"/>
          </reference>
        </references>
      </pivotArea>
    </format>
    <format dxfId="43">
      <pivotArea dataOnly="0" labelOnly="1" fieldPosition="0">
        <references count="2">
          <reference field="0" count="1">
            <x v="36"/>
          </reference>
          <reference field="1" count="1" selected="0">
            <x v="18"/>
          </reference>
        </references>
      </pivotArea>
    </format>
    <format dxfId="42">
      <pivotArea collapsedLevelsAreSubtotals="1" fieldPosition="0">
        <references count="2">
          <reference field="0" count="1">
            <x v="64"/>
          </reference>
          <reference field="1" count="1" selected="0">
            <x v="18"/>
          </reference>
        </references>
      </pivotArea>
    </format>
    <format dxfId="41">
      <pivotArea dataOnly="0" labelOnly="1" fieldPosition="0">
        <references count="2">
          <reference field="0" count="1">
            <x v="64"/>
          </reference>
          <reference field="1" count="1" selected="0">
            <x v="18"/>
          </reference>
        </references>
      </pivotArea>
    </format>
    <format dxfId="40">
      <pivotArea collapsedLevelsAreSubtotals="1" fieldPosition="0">
        <references count="2">
          <reference field="0" count="1">
            <x v="66"/>
          </reference>
          <reference field="1" count="1" selected="0">
            <x v="18"/>
          </reference>
        </references>
      </pivotArea>
    </format>
    <format dxfId="39">
      <pivotArea dataOnly="0" labelOnly="1" fieldPosition="0">
        <references count="2">
          <reference field="0" count="1">
            <x v="66"/>
          </reference>
          <reference field="1" count="1" selected="0">
            <x v="18"/>
          </reference>
        </references>
      </pivotArea>
    </format>
    <format dxfId="38">
      <pivotArea collapsedLevelsAreSubtotals="1" fieldPosition="0">
        <references count="2">
          <reference field="0" count="1">
            <x v="74"/>
          </reference>
          <reference field="1" count="1" selected="0">
            <x v="18"/>
          </reference>
        </references>
      </pivotArea>
    </format>
    <format dxfId="37">
      <pivotArea dataOnly="0" labelOnly="1" fieldPosition="0">
        <references count="2">
          <reference field="0" count="1">
            <x v="74"/>
          </reference>
          <reference field="1" count="1" selected="0">
            <x v="18"/>
          </reference>
        </references>
      </pivotArea>
    </format>
    <format dxfId="36">
      <pivotArea collapsedLevelsAreSubtotals="1" fieldPosition="0">
        <references count="2">
          <reference field="0" count="1">
            <x v="101"/>
          </reference>
          <reference field="1" count="1" selected="0">
            <x v="18"/>
          </reference>
        </references>
      </pivotArea>
    </format>
    <format dxfId="35">
      <pivotArea dataOnly="0" labelOnly="1" fieldPosition="0">
        <references count="2">
          <reference field="0" count="1">
            <x v="101"/>
          </reference>
          <reference field="1" count="1" selected="0">
            <x v="18"/>
          </reference>
        </references>
      </pivotArea>
    </format>
    <format dxfId="34">
      <pivotArea collapsedLevelsAreSubtotals="1" fieldPosition="0">
        <references count="2">
          <reference field="0" count="1">
            <x v="108"/>
          </reference>
          <reference field="1" count="1" selected="0">
            <x v="18"/>
          </reference>
        </references>
      </pivotArea>
    </format>
    <format dxfId="33">
      <pivotArea dataOnly="0" labelOnly="1" fieldPosition="0">
        <references count="2">
          <reference field="0" count="1">
            <x v="108"/>
          </reference>
          <reference field="1" count="1" selected="0">
            <x v="18"/>
          </reference>
        </references>
      </pivotArea>
    </format>
    <format dxfId="32">
      <pivotArea collapsedLevelsAreSubtotals="1" fieldPosition="0">
        <references count="2">
          <reference field="0" count="1">
            <x v="124"/>
          </reference>
          <reference field="1" count="1" selected="0">
            <x v="18"/>
          </reference>
        </references>
      </pivotArea>
    </format>
    <format dxfId="31">
      <pivotArea dataOnly="0" labelOnly="1" fieldPosition="0">
        <references count="2">
          <reference field="0" count="1">
            <x v="124"/>
          </reference>
          <reference field="1" count="1" selected="0">
            <x v="18"/>
          </reference>
        </references>
      </pivotArea>
    </format>
    <format dxfId="30">
      <pivotArea collapsedLevelsAreSubtotals="1" fieldPosition="0">
        <references count="2">
          <reference field="0" count="1">
            <x v="161"/>
          </reference>
          <reference field="1" count="1" selected="0">
            <x v="18"/>
          </reference>
        </references>
      </pivotArea>
    </format>
    <format dxfId="29">
      <pivotArea dataOnly="0" labelOnly="1" fieldPosition="0">
        <references count="2">
          <reference field="0" count="1">
            <x v="161"/>
          </reference>
          <reference field="1" count="1" selected="0">
            <x v="18"/>
          </reference>
        </references>
      </pivotArea>
    </format>
    <format dxfId="28">
      <pivotArea dataOnly="0" labelOnly="1" fieldPosition="0">
        <references count="1">
          <reference field="1" count="1">
            <x v="12"/>
          </reference>
        </references>
      </pivotArea>
    </format>
    <format dxfId="27">
      <pivotArea collapsedLevelsAreSubtotals="1" fieldPosition="0">
        <references count="2">
          <reference field="0" count="1">
            <x v="469"/>
          </reference>
          <reference field="1" count="1" selected="0">
            <x v="12"/>
          </reference>
        </references>
      </pivotArea>
    </format>
    <format dxfId="26">
      <pivotArea dataOnly="0" labelOnly="1" fieldPosition="0">
        <references count="2">
          <reference field="0" count="1">
            <x v="469"/>
          </reference>
          <reference field="1" count="1" selected="0">
            <x v="12"/>
          </reference>
        </references>
      </pivotArea>
    </format>
    <format dxfId="25">
      <pivotArea collapsedLevelsAreSubtotals="1" fieldPosition="0">
        <references count="2">
          <reference field="0" count="1">
            <x v="472"/>
          </reference>
          <reference field="1" count="1" selected="0">
            <x v="12"/>
          </reference>
        </references>
      </pivotArea>
    </format>
    <format dxfId="24">
      <pivotArea dataOnly="0" labelOnly="1" fieldPosition="0">
        <references count="2">
          <reference field="0" count="1">
            <x v="472"/>
          </reference>
          <reference field="1" count="1" selected="0">
            <x v="12"/>
          </reference>
        </references>
      </pivotArea>
    </format>
    <format dxfId="23">
      <pivotArea collapsedLevelsAreSubtotals="1" fieldPosition="0">
        <references count="2">
          <reference field="0" count="1">
            <x v="478"/>
          </reference>
          <reference field="1" count="1" selected="0">
            <x v="12"/>
          </reference>
        </references>
      </pivotArea>
    </format>
    <format dxfId="22">
      <pivotArea dataOnly="0" labelOnly="1" fieldPosition="0">
        <references count="2">
          <reference field="0" count="1">
            <x v="478"/>
          </reference>
          <reference field="1" count="1" selected="0">
            <x v="12"/>
          </reference>
        </references>
      </pivotArea>
    </format>
    <format dxfId="21">
      <pivotArea collapsedLevelsAreSubtotals="1" fieldPosition="0">
        <references count="2">
          <reference field="0" count="1">
            <x v="481"/>
          </reference>
          <reference field="1" count="1" selected="0">
            <x v="12"/>
          </reference>
        </references>
      </pivotArea>
    </format>
    <format dxfId="20">
      <pivotArea dataOnly="0" labelOnly="1" fieldPosition="0">
        <references count="2">
          <reference field="0" count="1">
            <x v="481"/>
          </reference>
          <reference field="1" count="1" selected="0">
            <x v="12"/>
          </reference>
        </references>
      </pivotArea>
    </format>
    <format dxfId="19">
      <pivotArea collapsedLevelsAreSubtotals="1" fieldPosition="0">
        <references count="2">
          <reference field="0" count="1">
            <x v="430"/>
          </reference>
          <reference field="1" count="1" selected="0">
            <x v="12"/>
          </reference>
        </references>
      </pivotArea>
    </format>
    <format dxfId="18">
      <pivotArea dataOnly="0" labelOnly="1" fieldPosition="0">
        <references count="2">
          <reference field="0" count="1">
            <x v="430"/>
          </reference>
          <reference field="1" count="1" selected="0">
            <x v="12"/>
          </reference>
        </references>
      </pivotArea>
    </format>
    <format dxfId="17">
      <pivotArea collapsedLevelsAreSubtotals="1" fieldPosition="0">
        <references count="2">
          <reference field="0" count="3">
            <x v="449"/>
            <x v="467"/>
            <x v="475"/>
          </reference>
          <reference field="1" count="1" selected="0">
            <x v="15"/>
          </reference>
        </references>
      </pivotArea>
    </format>
    <format dxfId="16">
      <pivotArea dataOnly="0" labelOnly="1" fieldPosition="0">
        <references count="2">
          <reference field="0" count="3">
            <x v="449"/>
            <x v="467"/>
            <x v="475"/>
          </reference>
          <reference field="1" count="1" selected="0">
            <x v="15"/>
          </reference>
        </references>
      </pivotArea>
    </format>
    <format dxfId="15">
      <pivotArea collapsedLevelsAreSubtotals="1" fieldPosition="0">
        <references count="2">
          <reference field="0" count="1">
            <x v="107"/>
          </reference>
          <reference field="1" count="1" selected="0">
            <x v="18"/>
          </reference>
        </references>
      </pivotArea>
    </format>
    <format dxfId="14">
      <pivotArea dataOnly="0" labelOnly="1" fieldPosition="0">
        <references count="2">
          <reference field="0" count="1">
            <x v="107"/>
          </reference>
          <reference field="1" count="1" selected="0">
            <x v="18"/>
          </reference>
        </references>
      </pivotArea>
    </format>
    <format dxfId="13">
      <pivotArea collapsedLevelsAreSubtotals="1" fieldPosition="0">
        <references count="2">
          <reference field="0" count="1">
            <x v="117"/>
          </reference>
          <reference field="1" count="1" selected="0">
            <x v="18"/>
          </reference>
        </references>
      </pivotArea>
    </format>
    <format dxfId="12">
      <pivotArea dataOnly="0" labelOnly="1" fieldPosition="0">
        <references count="2">
          <reference field="0" count="1">
            <x v="117"/>
          </reference>
          <reference field="1" count="1" selected="0">
            <x v="18"/>
          </reference>
        </references>
      </pivotArea>
    </format>
    <format dxfId="11">
      <pivotArea collapsedLevelsAreSubtotals="1" fieldPosition="0">
        <references count="2">
          <reference field="0" count="2">
            <x v="202"/>
            <x v="204"/>
          </reference>
          <reference field="1" count="1" selected="0">
            <x v="18"/>
          </reference>
        </references>
      </pivotArea>
    </format>
    <format dxfId="10">
      <pivotArea dataOnly="0" labelOnly="1" fieldPosition="0">
        <references count="2">
          <reference field="0" count="2">
            <x v="202"/>
            <x v="204"/>
          </reference>
          <reference field="1" count="1" selected="0">
            <x v="18"/>
          </reference>
        </references>
      </pivotArea>
    </format>
    <format dxfId="9">
      <pivotArea collapsedLevelsAreSubtotals="1" fieldPosition="0">
        <references count="2">
          <reference field="0" count="11">
            <x v="232"/>
            <x v="235"/>
            <x v="237"/>
            <x v="240"/>
            <x v="245"/>
            <x v="250"/>
            <x v="254"/>
            <x v="258"/>
            <x v="259"/>
            <x v="262"/>
            <x v="264"/>
          </reference>
          <reference field="1" count="1" selected="0">
            <x v="18"/>
          </reference>
        </references>
      </pivotArea>
    </format>
    <format dxfId="8">
      <pivotArea dataOnly="0" labelOnly="1" fieldPosition="0">
        <references count="2">
          <reference field="0" count="11">
            <x v="232"/>
            <x v="235"/>
            <x v="237"/>
            <x v="240"/>
            <x v="245"/>
            <x v="250"/>
            <x v="254"/>
            <x v="258"/>
            <x v="259"/>
            <x v="262"/>
            <x v="264"/>
          </reference>
          <reference field="1" count="1" selected="0">
            <x v="18"/>
          </reference>
        </references>
      </pivotArea>
    </format>
    <format dxfId="7">
      <pivotArea collapsedLevelsAreSubtotals="1" fieldPosition="0">
        <references count="2">
          <reference field="0" count="1">
            <x v="268"/>
          </reference>
          <reference field="1" count="1" selected="0">
            <x v="18"/>
          </reference>
        </references>
      </pivotArea>
    </format>
    <format dxfId="6">
      <pivotArea dataOnly="0" labelOnly="1" fieldPosition="0">
        <references count="2">
          <reference field="0" count="1">
            <x v="268"/>
          </reference>
          <reference field="1" count="1" selected="0">
            <x v="18"/>
          </reference>
        </references>
      </pivotArea>
    </format>
    <format dxfId="5">
      <pivotArea collapsedLevelsAreSubtotals="1" fieldPosition="0">
        <references count="2">
          <reference field="0" count="1">
            <x v="290"/>
          </reference>
          <reference field="1" count="1" selected="0">
            <x v="18"/>
          </reference>
        </references>
      </pivotArea>
    </format>
    <format dxfId="4">
      <pivotArea dataOnly="0" labelOnly="1" fieldPosition="0">
        <references count="2">
          <reference field="0" count="1">
            <x v="290"/>
          </reference>
          <reference field="1" count="1" selected="0">
            <x v="18"/>
          </reference>
        </references>
      </pivotArea>
    </format>
    <format dxfId="3">
      <pivotArea collapsedLevelsAreSubtotals="1" fieldPosition="0">
        <references count="2">
          <reference field="0" count="1">
            <x v="470"/>
          </reference>
          <reference field="1" count="1" selected="0">
            <x v="4"/>
          </reference>
        </references>
      </pivotArea>
    </format>
    <format dxfId="2">
      <pivotArea dataOnly="0" labelOnly="1" fieldPosition="0">
        <references count="2">
          <reference field="0" count="1">
            <x v="470"/>
          </reference>
          <reference field="1" count="1" selected="0">
            <x v="4"/>
          </reference>
        </references>
      </pivotArea>
    </format>
    <format dxfId="1">
      <pivotArea collapsedLevelsAreSubtotals="1" fieldPosition="0">
        <references count="2">
          <reference field="0" count="1">
            <x v="405"/>
          </reference>
          <reference field="1" count="1" selected="0">
            <x v="4"/>
          </reference>
        </references>
      </pivotArea>
    </format>
    <format dxfId="0">
      <pivotArea dataOnly="0" labelOnly="1" fieldPosition="0">
        <references count="2">
          <reference field="0" count="1">
            <x v="405"/>
          </reference>
          <reference field="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19"/>
  <sheetViews>
    <sheetView topLeftCell="A452" workbookViewId="0">
      <selection activeCell="P2" sqref="P2"/>
    </sheetView>
  </sheetViews>
  <sheetFormatPr defaultRowHeight="14.4" x14ac:dyDescent="0.3"/>
  <cols>
    <col min="4" max="4" width="22.33203125" customWidth="1"/>
    <col min="5" max="5" width="19" customWidth="1"/>
    <col min="16" max="17" width="18.109375" bestFit="1" customWidth="1"/>
    <col min="18" max="18" width="13.5546875" bestFit="1" customWidth="1"/>
    <col min="19" max="19" width="16.109375" bestFit="1" customWidth="1"/>
    <col min="20" max="20" width="12" bestFit="1" customWidth="1"/>
    <col min="21" max="21" width="14.109375" bestFit="1" customWidth="1"/>
    <col min="22" max="22" width="10.33203125" bestFit="1" customWidth="1"/>
    <col min="23" max="23" width="17.6640625" bestFit="1" customWidth="1"/>
    <col min="24" max="24" width="17.21875" bestFit="1" customWidth="1"/>
    <col min="25" max="25" width="9.88671875" bestFit="1" customWidth="1"/>
    <col min="26" max="26" width="13.21875" bestFit="1" customWidth="1"/>
    <col min="27" max="27" width="17.6640625" bestFit="1" customWidth="1"/>
    <col min="28" max="28" width="19.88671875" bestFit="1" customWidth="1"/>
    <col min="29" max="29" width="19.5546875" bestFit="1" customWidth="1"/>
    <col min="30" max="30" width="15.33203125" bestFit="1" customWidth="1"/>
    <col min="31" max="31" width="14.77734375" bestFit="1" customWidth="1"/>
    <col min="32" max="32" width="12.6640625" bestFit="1" customWidth="1"/>
    <col min="33" max="33" width="13.44140625" bestFit="1" customWidth="1"/>
    <col min="34" max="34" width="19.33203125" bestFit="1" customWidth="1"/>
    <col min="35" max="35" width="12.109375" bestFit="1" customWidth="1"/>
    <col min="36" max="36" width="8.77734375" customWidth="1"/>
    <col min="37" max="37" width="17.77734375" bestFit="1" customWidth="1"/>
  </cols>
  <sheetData>
    <row r="1" spans="1:37" ht="77.400000000000006" customHeight="1" x14ac:dyDescent="0.3"/>
    <row r="2" spans="1:3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t="str">
        <f>_xlfn.CONCAT(C2," per MT")</f>
        <v>Hours per MT</v>
      </c>
      <c r="U2" t="str">
        <f t="shared" ref="U2:AF2" si="0">_xlfn.CONCAT(D2," per MT")</f>
        <v>Sawdust per MT</v>
      </c>
      <c r="V2" t="str">
        <f t="shared" si="0"/>
        <v>OSF per MT</v>
      </c>
      <c r="W2" t="str">
        <f t="shared" si="0"/>
        <v>OSF External per MT</v>
      </c>
      <c r="X2" t="str">
        <f t="shared" si="0"/>
        <v>OSF internal per MT</v>
      </c>
      <c r="Y2" t="str">
        <f t="shared" si="0"/>
        <v>WF per MT</v>
      </c>
      <c r="Z2" t="str">
        <f t="shared" si="0"/>
        <v>Caustic per MT</v>
      </c>
      <c r="AA2" t="str">
        <f t="shared" si="0"/>
        <v>Caustic Flow per MT</v>
      </c>
      <c r="AB2" t="str">
        <f t="shared" si="0"/>
        <v>Fresh acid Flow per MT</v>
      </c>
      <c r="AC2" t="str">
        <f t="shared" si="0"/>
        <v>Fresh acid tank per MT</v>
      </c>
      <c r="AD2" t="str">
        <f t="shared" si="0"/>
        <v>Plant Acid per MT</v>
      </c>
      <c r="AE2" t="str">
        <f t="shared" si="0"/>
        <v>Bled Acid per MT</v>
      </c>
      <c r="AF2" t="str">
        <f t="shared" si="0"/>
        <v>output per MT</v>
      </c>
      <c r="AG2" t="s">
        <v>58</v>
      </c>
      <c r="AH2" t="str">
        <f>_xlfn.CONCAT(R2," per MT")</f>
        <v>Sawdust check per MT</v>
      </c>
      <c r="AI2" t="s">
        <v>60</v>
      </c>
      <c r="AJ2" t="s">
        <v>59</v>
      </c>
      <c r="AK2" t="s">
        <v>61</v>
      </c>
    </row>
    <row r="3" spans="1:37" hidden="1" x14ac:dyDescent="0.3">
      <c r="A3">
        <v>4902659</v>
      </c>
      <c r="B3" t="s">
        <v>31</v>
      </c>
      <c r="C3">
        <v>27.166666666666671</v>
      </c>
      <c r="D3">
        <v>0</v>
      </c>
      <c r="E3">
        <v>44815.728333333369</v>
      </c>
      <c r="F3">
        <v>7618.6738166666728</v>
      </c>
      <c r="G3">
        <v>37197.054516666693</v>
      </c>
      <c r="H3">
        <v>0</v>
      </c>
      <c r="I3">
        <v>-14623.224363284309</v>
      </c>
      <c r="J3">
        <v>12543</v>
      </c>
      <c r="K3">
        <v>32402</v>
      </c>
      <c r="L3">
        <v>-25061.469388384161</v>
      </c>
      <c r="M3">
        <v>0</v>
      </c>
      <c r="N3">
        <v>28345</v>
      </c>
      <c r="O3">
        <v>21341.09523809524</v>
      </c>
      <c r="P3" s="2">
        <v>43831.291666666657</v>
      </c>
      <c r="Q3" s="2">
        <v>43832.423611111109</v>
      </c>
      <c r="R3">
        <v>37.397790934802778</v>
      </c>
      <c r="S3">
        <v>5.0041666030883789</v>
      </c>
      <c r="T3">
        <f>1000*C3/$O3</f>
        <v>1.2729743419247015</v>
      </c>
      <c r="U3">
        <f t="shared" ref="U3:AF3" si="1">1000*D3/$O3</f>
        <v>0</v>
      </c>
      <c r="V3">
        <f t="shared" si="1"/>
        <v>2099.9732128712112</v>
      </c>
      <c r="W3">
        <f t="shared" si="1"/>
        <v>356.99544618810592</v>
      </c>
      <c r="X3">
        <f t="shared" si="1"/>
        <v>1742.9777666831053</v>
      </c>
      <c r="Y3">
        <f t="shared" si="1"/>
        <v>0</v>
      </c>
      <c r="Z3">
        <f t="shared" si="1"/>
        <v>-685.21433413505895</v>
      </c>
      <c r="AA3">
        <f t="shared" si="1"/>
        <v>587.7392823593201</v>
      </c>
      <c r="AB3">
        <f t="shared" si="1"/>
        <v>1518.2913359648162</v>
      </c>
      <c r="AC3">
        <f t="shared" si="1"/>
        <v>-1174.3291105157439</v>
      </c>
      <c r="AD3">
        <f t="shared" si="1"/>
        <v>0</v>
      </c>
      <c r="AE3">
        <f t="shared" si="1"/>
        <v>1328.1886277983679</v>
      </c>
      <c r="AF3">
        <f t="shared" si="1"/>
        <v>999.99999999999989</v>
      </c>
      <c r="AG3">
        <f>U3-AH3</f>
        <v>-1.7523838639755138</v>
      </c>
      <c r="AH3">
        <f>1000*R3/O3</f>
        <v>1.7523838639755138</v>
      </c>
      <c r="AI3" s="5">
        <f t="shared" ref="AI3:AI66" si="2">IFERROR(O3/D3,0)</f>
        <v>0</v>
      </c>
      <c r="AJ3" s="5">
        <f t="shared" ref="AJ3:AJ66" si="3">IFERROR(O3/(E3+H3),0)</f>
        <v>0.47619655044682169</v>
      </c>
      <c r="AK3" s="5">
        <f t="shared" ref="AK3:AK66" si="4">IFERROR(O3/R3,0)</f>
        <v>570.65122577160014</v>
      </c>
    </row>
    <row r="4" spans="1:37" hidden="1" x14ac:dyDescent="0.3">
      <c r="A4">
        <v>4907184</v>
      </c>
      <c r="B4" t="s">
        <v>32</v>
      </c>
      <c r="C4">
        <v>5.333333333333333</v>
      </c>
      <c r="D4">
        <v>10913</v>
      </c>
      <c r="I4">
        <v>1570.978427785242</v>
      </c>
      <c r="J4">
        <v>2254</v>
      </c>
      <c r="K4">
        <v>2111</v>
      </c>
      <c r="L4">
        <v>1313.7109992818951</v>
      </c>
      <c r="M4">
        <v>0</v>
      </c>
      <c r="N4">
        <v>618</v>
      </c>
      <c r="O4">
        <v>5022.0892774965487</v>
      </c>
      <c r="P4" s="2">
        <v>43832.291666666657</v>
      </c>
      <c r="Q4" s="2">
        <v>43832.513888888891</v>
      </c>
      <c r="R4">
        <v>10.041995444544909</v>
      </c>
      <c r="S4">
        <v>5.0041666030883789</v>
      </c>
      <c r="T4">
        <f t="shared" ref="T4:T67" si="5">1000*C4/$O4</f>
        <v>1.0619750145086899</v>
      </c>
      <c r="U4">
        <f t="shared" ref="U4:U67" si="6">1000*D4/$O4</f>
        <v>2173</v>
      </c>
      <c r="V4">
        <f t="shared" ref="V4:V67" si="7">1000*E4/$O4</f>
        <v>0</v>
      </c>
      <c r="W4">
        <f t="shared" ref="W4:W67" si="8">1000*F4/$O4</f>
        <v>0</v>
      </c>
      <c r="X4">
        <f t="shared" ref="X4:X67" si="9">1000*G4/$O4</f>
        <v>0</v>
      </c>
      <c r="Y4">
        <f t="shared" ref="Y4:Y67" si="10">1000*H4/$O4</f>
        <v>0</v>
      </c>
      <c r="Z4">
        <f t="shared" ref="Z4:Z67" si="11">1000*I4/$O4</f>
        <v>312.81371974501337</v>
      </c>
      <c r="AA4">
        <f t="shared" ref="AA4:AA67" si="12">1000*J4/$O4</f>
        <v>448.81719050673507</v>
      </c>
      <c r="AB4">
        <f t="shared" ref="AB4:AB67" si="13">1000*K4/$O4</f>
        <v>420.34298543022084</v>
      </c>
      <c r="AC4">
        <f t="shared" ref="AC4:AC67" si="14">1000*L4/$O4</f>
        <v>261.58654828549049</v>
      </c>
      <c r="AD4">
        <f t="shared" ref="AD4:AD67" si="15">1000*M4/$O4</f>
        <v>0</v>
      </c>
      <c r="AE4">
        <f t="shared" ref="AE4:AE67" si="16">1000*N4/$O4</f>
        <v>123.05635480619445</v>
      </c>
      <c r="AF4">
        <f t="shared" ref="AF4:AF67" si="17">1000*O4/$O4</f>
        <v>999.99999999999989</v>
      </c>
      <c r="AG4">
        <f t="shared" ref="AG4:AG67" si="18">U4-AH4</f>
        <v>2171.0004347016406</v>
      </c>
      <c r="AH4">
        <f t="shared" ref="AH4:AH67" si="19">1000*R4/O4</f>
        <v>1.9995652983593959</v>
      </c>
      <c r="AI4" s="5">
        <f t="shared" si="2"/>
        <v>0.46019328117809483</v>
      </c>
      <c r="AJ4" s="5">
        <f t="shared" si="3"/>
        <v>0</v>
      </c>
      <c r="AK4" s="5">
        <f t="shared" si="4"/>
        <v>500.10869903597563</v>
      </c>
    </row>
    <row r="5" spans="1:37" hidden="1" x14ac:dyDescent="0.3">
      <c r="A5">
        <v>4907185</v>
      </c>
      <c r="B5" t="s">
        <v>33</v>
      </c>
      <c r="C5">
        <v>10.5</v>
      </c>
      <c r="D5">
        <v>22966.988540531231</v>
      </c>
      <c r="I5">
        <v>4526.039134470615</v>
      </c>
      <c r="J5">
        <v>3879</v>
      </c>
      <c r="K5">
        <v>3780</v>
      </c>
      <c r="L5">
        <v>4587.2792663980208</v>
      </c>
      <c r="M5">
        <v>0</v>
      </c>
      <c r="N5">
        <v>1407</v>
      </c>
      <c r="O5">
        <v>10569.25381524677</v>
      </c>
      <c r="P5" s="2">
        <v>43832.291666666657</v>
      </c>
      <c r="Q5" s="2">
        <v>43832.729166666657</v>
      </c>
      <c r="R5">
        <v>12824.285821677409</v>
      </c>
      <c r="S5">
        <v>9.5535442821131458</v>
      </c>
      <c r="T5">
        <f t="shared" si="5"/>
        <v>0.99344761546488103</v>
      </c>
      <c r="U5">
        <f t="shared" si="6"/>
        <v>2173</v>
      </c>
      <c r="V5">
        <f t="shared" si="7"/>
        <v>0</v>
      </c>
      <c r="W5">
        <f t="shared" si="8"/>
        <v>0</v>
      </c>
      <c r="X5">
        <f t="shared" si="9"/>
        <v>0</v>
      </c>
      <c r="Y5">
        <f t="shared" si="10"/>
        <v>0</v>
      </c>
      <c r="Z5">
        <f t="shared" si="11"/>
        <v>428.22693196576824</v>
      </c>
      <c r="AA5">
        <f t="shared" si="12"/>
        <v>367.00793337031178</v>
      </c>
      <c r="AB5">
        <f t="shared" si="13"/>
        <v>357.64114156735718</v>
      </c>
      <c r="AC5">
        <f t="shared" si="14"/>
        <v>434.02110939758126</v>
      </c>
      <c r="AD5">
        <f t="shared" si="15"/>
        <v>0</v>
      </c>
      <c r="AE5">
        <f t="shared" si="16"/>
        <v>133.12198047229407</v>
      </c>
      <c r="AF5">
        <f t="shared" si="17"/>
        <v>1000</v>
      </c>
      <c r="AG5">
        <f t="shared" si="18"/>
        <v>959.64226956328525</v>
      </c>
      <c r="AH5">
        <f t="shared" si="19"/>
        <v>1213.3577304367147</v>
      </c>
      <c r="AI5" s="5">
        <f t="shared" si="2"/>
        <v>0.46019328117809477</v>
      </c>
      <c r="AJ5" s="5">
        <f t="shared" si="3"/>
        <v>0</v>
      </c>
      <c r="AK5" s="5">
        <f t="shared" si="4"/>
        <v>0.8241592523913599</v>
      </c>
    </row>
    <row r="6" spans="1:37" hidden="1" x14ac:dyDescent="0.3">
      <c r="A6">
        <v>4908279</v>
      </c>
      <c r="B6" t="s">
        <v>34</v>
      </c>
      <c r="C6">
        <v>43.333333333333329</v>
      </c>
      <c r="D6">
        <v>93551</v>
      </c>
      <c r="I6">
        <v>11802.558097208759</v>
      </c>
      <c r="J6">
        <v>11803</v>
      </c>
      <c r="K6">
        <v>15644</v>
      </c>
      <c r="L6">
        <v>-13036.663284314211</v>
      </c>
      <c r="M6">
        <v>0</v>
      </c>
      <c r="N6">
        <v>6072</v>
      </c>
      <c r="O6">
        <v>36486.349453978153</v>
      </c>
      <c r="P6" s="2">
        <v>43833.319444444453</v>
      </c>
      <c r="Q6" s="2">
        <v>43835.097222222219</v>
      </c>
      <c r="R6">
        <v>78782.520735876373</v>
      </c>
      <c r="S6">
        <v>9.2225960873963917</v>
      </c>
      <c r="T6">
        <f t="shared" si="5"/>
        <v>1.1876587814846091</v>
      </c>
      <c r="U6">
        <f t="shared" si="6"/>
        <v>2564.0000000000005</v>
      </c>
      <c r="V6">
        <f t="shared" si="7"/>
        <v>0</v>
      </c>
      <c r="W6">
        <f t="shared" si="8"/>
        <v>0</v>
      </c>
      <c r="X6">
        <f t="shared" si="9"/>
        <v>0</v>
      </c>
      <c r="Y6">
        <f t="shared" si="10"/>
        <v>0</v>
      </c>
      <c r="Z6">
        <f t="shared" si="11"/>
        <v>323.47873311074454</v>
      </c>
      <c r="AA6">
        <f t="shared" si="12"/>
        <v>323.49084456606562</v>
      </c>
      <c r="AB6">
        <f t="shared" si="13"/>
        <v>428.76309178950527</v>
      </c>
      <c r="AC6">
        <f t="shared" si="14"/>
        <v>-357.3024837893945</v>
      </c>
      <c r="AD6">
        <f t="shared" si="15"/>
        <v>0</v>
      </c>
      <c r="AE6">
        <f t="shared" si="16"/>
        <v>166.41840279633573</v>
      </c>
      <c r="AF6">
        <f t="shared" si="17"/>
        <v>999.99999999999989</v>
      </c>
      <c r="AG6">
        <f t="shared" si="18"/>
        <v>404.76724816637989</v>
      </c>
      <c r="AH6">
        <f t="shared" si="19"/>
        <v>2159.2327518336206</v>
      </c>
      <c r="AI6" s="5">
        <f t="shared" si="2"/>
        <v>0.39001560062402491</v>
      </c>
      <c r="AJ6" s="5">
        <f t="shared" si="3"/>
        <v>0</v>
      </c>
      <c r="AK6" s="5">
        <f t="shared" si="4"/>
        <v>0.46312746930630794</v>
      </c>
    </row>
    <row r="7" spans="1:37" hidden="1" x14ac:dyDescent="0.3">
      <c r="A7">
        <v>4908213</v>
      </c>
      <c r="B7" t="s">
        <v>35</v>
      </c>
      <c r="C7">
        <v>27</v>
      </c>
      <c r="D7">
        <v>55767.436072439967</v>
      </c>
      <c r="I7">
        <v>7410.2768496792924</v>
      </c>
      <c r="J7">
        <v>7416</v>
      </c>
      <c r="K7">
        <v>11295.585099206541</v>
      </c>
      <c r="L7">
        <v>11225.328614286989</v>
      </c>
      <c r="M7">
        <v>0</v>
      </c>
      <c r="N7">
        <v>4310</v>
      </c>
      <c r="O7">
        <v>21750.17007505459</v>
      </c>
      <c r="P7" s="2">
        <v>43835.100694444453</v>
      </c>
      <c r="Q7" s="2">
        <v>43836.222222222219</v>
      </c>
      <c r="R7">
        <v>49262.362151788038</v>
      </c>
      <c r="S7">
        <v>8.3914042967710394</v>
      </c>
      <c r="T7">
        <f t="shared" si="5"/>
        <v>1.241369603402158</v>
      </c>
      <c r="U7">
        <f t="shared" si="6"/>
        <v>2564</v>
      </c>
      <c r="V7">
        <f t="shared" si="7"/>
        <v>0</v>
      </c>
      <c r="W7">
        <f t="shared" si="8"/>
        <v>0</v>
      </c>
      <c r="X7">
        <f t="shared" si="9"/>
        <v>0</v>
      </c>
      <c r="Y7">
        <f t="shared" si="10"/>
        <v>0</v>
      </c>
      <c r="Z7">
        <f t="shared" si="11"/>
        <v>340.69971977728056</v>
      </c>
      <c r="AA7">
        <f t="shared" si="12"/>
        <v>340.96285106779271</v>
      </c>
      <c r="AB7">
        <f t="shared" si="13"/>
        <v>519.33318499249435</v>
      </c>
      <c r="AC7">
        <f t="shared" si="14"/>
        <v>516.1030270361606</v>
      </c>
      <c r="AD7">
        <f t="shared" si="15"/>
        <v>0</v>
      </c>
      <c r="AE7">
        <f t="shared" si="16"/>
        <v>198.1593700245667</v>
      </c>
      <c r="AF7">
        <f t="shared" si="17"/>
        <v>1000</v>
      </c>
      <c r="AG7">
        <f t="shared" si="18"/>
        <v>299.08151974005204</v>
      </c>
      <c r="AH7">
        <f t="shared" si="19"/>
        <v>2264.918480259948</v>
      </c>
      <c r="AI7" s="5">
        <f t="shared" si="2"/>
        <v>0.39001560062402496</v>
      </c>
      <c r="AJ7" s="5">
        <f t="shared" si="3"/>
        <v>0</v>
      </c>
      <c r="AK7" s="5">
        <f t="shared" si="4"/>
        <v>0.4415169944152818</v>
      </c>
    </row>
    <row r="8" spans="1:37" hidden="1" x14ac:dyDescent="0.3">
      <c r="A8">
        <v>4908215</v>
      </c>
      <c r="B8" t="s">
        <v>36</v>
      </c>
      <c r="C8">
        <v>8.9166666666666679</v>
      </c>
      <c r="D8">
        <v>18225</v>
      </c>
      <c r="I8">
        <v>-25057.487782943928</v>
      </c>
      <c r="J8">
        <v>2780.4351226211752</v>
      </c>
      <c r="K8">
        <v>2788.930017224196</v>
      </c>
      <c r="L8">
        <v>-25942.206640168832</v>
      </c>
      <c r="M8">
        <v>0</v>
      </c>
      <c r="N8">
        <v>973.51915056434041</v>
      </c>
      <c r="O8">
        <v>8885.9093125304717</v>
      </c>
      <c r="P8" s="2">
        <v>43836.256944444453</v>
      </c>
      <c r="Q8" s="2">
        <v>43836.628472222219</v>
      </c>
      <c r="R8">
        <v>15528.50925953373</v>
      </c>
      <c r="S8">
        <v>8.7289981000563674</v>
      </c>
      <c r="T8">
        <f t="shared" si="5"/>
        <v>1.0034613625971653</v>
      </c>
      <c r="U8">
        <f t="shared" si="6"/>
        <v>2051.0000000000005</v>
      </c>
      <c r="V8">
        <f t="shared" si="7"/>
        <v>0</v>
      </c>
      <c r="W8">
        <f t="shared" si="8"/>
        <v>0</v>
      </c>
      <c r="X8">
        <f t="shared" si="9"/>
        <v>0</v>
      </c>
      <c r="Y8">
        <f t="shared" si="10"/>
        <v>0</v>
      </c>
      <c r="Z8">
        <f t="shared" si="11"/>
        <v>-2819.9126168898765</v>
      </c>
      <c r="AA8">
        <f t="shared" si="12"/>
        <v>312.90383739347226</v>
      </c>
      <c r="AB8">
        <f t="shared" si="13"/>
        <v>313.85983348844042</v>
      </c>
      <c r="AC8">
        <f t="shared" si="14"/>
        <v>-2919.4768624958178</v>
      </c>
      <c r="AD8">
        <f t="shared" si="15"/>
        <v>0</v>
      </c>
      <c r="AE8">
        <f t="shared" si="16"/>
        <v>109.5576284119321</v>
      </c>
      <c r="AF8">
        <f t="shared" si="17"/>
        <v>999.99999999999989</v>
      </c>
      <c r="AG8">
        <f t="shared" si="18"/>
        <v>303.45692777483259</v>
      </c>
      <c r="AH8">
        <f t="shared" si="19"/>
        <v>1747.5430722251679</v>
      </c>
      <c r="AI8" s="5">
        <f t="shared" si="2"/>
        <v>0.48756704046806426</v>
      </c>
      <c r="AJ8" s="5">
        <f t="shared" si="3"/>
        <v>0</v>
      </c>
      <c r="AK8" s="5">
        <f t="shared" si="4"/>
        <v>0.57223196148561184</v>
      </c>
    </row>
    <row r="9" spans="1:37" hidden="1" x14ac:dyDescent="0.3">
      <c r="A9">
        <v>4908426</v>
      </c>
      <c r="B9" t="s">
        <v>37</v>
      </c>
      <c r="C9">
        <v>25.833333333333329</v>
      </c>
      <c r="D9">
        <v>55121</v>
      </c>
      <c r="I9">
        <v>7839.2311602020181</v>
      </c>
      <c r="J9">
        <v>7882</v>
      </c>
      <c r="K9">
        <v>2787.1083327493989</v>
      </c>
      <c r="L9">
        <v>2828.2452678143668</v>
      </c>
      <c r="M9">
        <v>7334.5440954994201</v>
      </c>
      <c r="N9">
        <v>696.97241775837085</v>
      </c>
      <c r="O9">
        <v>21498.049921996881</v>
      </c>
      <c r="P9" s="2">
        <v>43836.805555555547</v>
      </c>
      <c r="Q9" s="2">
        <v>43837.881944444453</v>
      </c>
      <c r="R9">
        <v>47688.201595544917</v>
      </c>
      <c r="S9">
        <v>8.3784713096421193</v>
      </c>
      <c r="T9">
        <f t="shared" si="5"/>
        <v>1.201659379667761</v>
      </c>
      <c r="U9">
        <f t="shared" si="6"/>
        <v>2564</v>
      </c>
      <c r="V9">
        <f t="shared" si="7"/>
        <v>0</v>
      </c>
      <c r="W9">
        <f t="shared" si="8"/>
        <v>0</v>
      </c>
      <c r="X9">
        <f t="shared" si="9"/>
        <v>0</v>
      </c>
      <c r="Y9">
        <f t="shared" si="10"/>
        <v>0</v>
      </c>
      <c r="Z9">
        <f t="shared" si="11"/>
        <v>364.6484768918919</v>
      </c>
      <c r="AA9">
        <f t="shared" si="12"/>
        <v>366.63790569837266</v>
      </c>
      <c r="AB9">
        <f t="shared" si="13"/>
        <v>129.64470465284481</v>
      </c>
      <c r="AC9">
        <f t="shared" si="14"/>
        <v>131.55822402851973</v>
      </c>
      <c r="AD9">
        <f t="shared" si="15"/>
        <v>341.17253063007769</v>
      </c>
      <c r="AE9">
        <f t="shared" si="16"/>
        <v>32.420262316221816</v>
      </c>
      <c r="AF9">
        <f t="shared" si="17"/>
        <v>1000</v>
      </c>
      <c r="AG9">
        <f t="shared" si="18"/>
        <v>345.74291302811707</v>
      </c>
      <c r="AH9">
        <f t="shared" si="19"/>
        <v>2218.2570869718829</v>
      </c>
      <c r="AI9" s="5">
        <f t="shared" si="2"/>
        <v>0.39001560062402496</v>
      </c>
      <c r="AJ9" s="5">
        <f t="shared" si="3"/>
        <v>0</v>
      </c>
      <c r="AK9" s="5">
        <f t="shared" si="4"/>
        <v>0.45080437514349991</v>
      </c>
    </row>
    <row r="10" spans="1:37" hidden="1" x14ac:dyDescent="0.3">
      <c r="A10">
        <v>4909167</v>
      </c>
      <c r="B10" t="s">
        <v>38</v>
      </c>
      <c r="C10">
        <v>19.74666666666667</v>
      </c>
      <c r="D10">
        <v>58507</v>
      </c>
      <c r="E10">
        <v>0</v>
      </c>
      <c r="I10">
        <v>6440.219108647113</v>
      </c>
      <c r="J10">
        <v>7348</v>
      </c>
      <c r="K10">
        <v>0</v>
      </c>
      <c r="L10">
        <v>4.3525070602186133</v>
      </c>
      <c r="M10">
        <v>8280</v>
      </c>
      <c r="N10">
        <v>7001</v>
      </c>
      <c r="O10">
        <v>25530.42234931808</v>
      </c>
      <c r="P10" s="2">
        <v>43838.149305555547</v>
      </c>
      <c r="Q10" s="2">
        <v>43839.590138888889</v>
      </c>
      <c r="R10">
        <v>88749.473595909163</v>
      </c>
      <c r="S10">
        <v>8.9804902579355215</v>
      </c>
      <c r="T10">
        <f t="shared" si="5"/>
        <v>0.77345632580943602</v>
      </c>
      <c r="U10">
        <f t="shared" si="6"/>
        <v>2291.6581323834907</v>
      </c>
      <c r="V10">
        <f t="shared" si="7"/>
        <v>0</v>
      </c>
      <c r="W10">
        <f t="shared" si="8"/>
        <v>0</v>
      </c>
      <c r="X10">
        <f t="shared" si="9"/>
        <v>0</v>
      </c>
      <c r="Y10">
        <f t="shared" si="10"/>
        <v>0</v>
      </c>
      <c r="Z10">
        <f t="shared" si="11"/>
        <v>252.25666150482354</v>
      </c>
      <c r="AA10">
        <f t="shared" si="12"/>
        <v>287.81349166345717</v>
      </c>
      <c r="AB10">
        <f t="shared" si="13"/>
        <v>0</v>
      </c>
      <c r="AC10">
        <f t="shared" si="14"/>
        <v>0.17048315929387159</v>
      </c>
      <c r="AD10">
        <f t="shared" si="15"/>
        <v>324.31895903285596</v>
      </c>
      <c r="AE10">
        <f t="shared" si="16"/>
        <v>274.22186379094495</v>
      </c>
      <c r="AF10">
        <f t="shared" si="17"/>
        <v>1000</v>
      </c>
      <c r="AG10">
        <f t="shared" si="18"/>
        <v>-1184.5661298555424</v>
      </c>
      <c r="AH10">
        <f t="shared" si="19"/>
        <v>3476.2242622390331</v>
      </c>
      <c r="AI10" s="5">
        <f t="shared" si="2"/>
        <v>0.43636526141005488</v>
      </c>
      <c r="AJ10" s="5">
        <f t="shared" si="3"/>
        <v>0</v>
      </c>
      <c r="AK10" s="5">
        <f t="shared" si="4"/>
        <v>0.28766843694828276</v>
      </c>
    </row>
    <row r="11" spans="1:37" hidden="1" x14ac:dyDescent="0.3">
      <c r="A11">
        <v>4909157</v>
      </c>
      <c r="B11" t="s">
        <v>35</v>
      </c>
      <c r="C11">
        <v>6.416666666666667</v>
      </c>
      <c r="D11">
        <v>13673</v>
      </c>
      <c r="E11">
        <v>0</v>
      </c>
      <c r="I11">
        <v>1829.7294701767009</v>
      </c>
      <c r="J11">
        <v>1801</v>
      </c>
      <c r="K11">
        <v>0</v>
      </c>
      <c r="L11">
        <v>-11.344838671107031</v>
      </c>
      <c r="M11">
        <v>1645</v>
      </c>
      <c r="N11">
        <v>0</v>
      </c>
      <c r="O11">
        <v>5332.6833073322932</v>
      </c>
      <c r="P11" s="2">
        <v>43837.881944444453</v>
      </c>
      <c r="Q11" s="2">
        <v>43838.149305555547</v>
      </c>
      <c r="R11">
        <v>11841.65766915138</v>
      </c>
      <c r="S11">
        <v>8.0946412591601771</v>
      </c>
      <c r="T11">
        <f t="shared" si="5"/>
        <v>1.2032716545990882</v>
      </c>
      <c r="U11">
        <f t="shared" si="6"/>
        <v>2564</v>
      </c>
      <c r="V11">
        <f t="shared" si="7"/>
        <v>0</v>
      </c>
      <c r="W11">
        <f t="shared" si="8"/>
        <v>0</v>
      </c>
      <c r="X11">
        <f t="shared" si="9"/>
        <v>0</v>
      </c>
      <c r="Y11">
        <f t="shared" si="10"/>
        <v>0</v>
      </c>
      <c r="Z11">
        <f t="shared" si="11"/>
        <v>343.11609460491928</v>
      </c>
      <c r="AA11">
        <f t="shared" si="12"/>
        <v>337.72866232721424</v>
      </c>
      <c r="AB11">
        <f t="shared" si="13"/>
        <v>0</v>
      </c>
      <c r="AC11">
        <f t="shared" si="14"/>
        <v>-2.1274165400949627</v>
      </c>
      <c r="AD11">
        <f t="shared" si="15"/>
        <v>308.47509690631171</v>
      </c>
      <c r="AE11">
        <f t="shared" si="16"/>
        <v>0</v>
      </c>
      <c r="AF11">
        <f t="shared" si="17"/>
        <v>1000</v>
      </c>
      <c r="AG11">
        <f t="shared" si="18"/>
        <v>343.41854284325746</v>
      </c>
      <c r="AH11">
        <f t="shared" si="19"/>
        <v>2220.5814571567425</v>
      </c>
      <c r="AI11" s="5">
        <f t="shared" si="2"/>
        <v>0.39001560062402496</v>
      </c>
      <c r="AJ11" s="5">
        <f t="shared" si="3"/>
        <v>0</v>
      </c>
      <c r="AK11" s="5">
        <f t="shared" si="4"/>
        <v>0.45033250042554679</v>
      </c>
    </row>
    <row r="12" spans="1:37" hidden="1" x14ac:dyDescent="0.3">
      <c r="A12">
        <v>4909174</v>
      </c>
      <c r="B12" t="s">
        <v>39</v>
      </c>
      <c r="C12">
        <v>3.416666666666667</v>
      </c>
      <c r="D12">
        <v>8821.1760978788407</v>
      </c>
      <c r="I12">
        <v>1331.6994700006151</v>
      </c>
      <c r="J12">
        <v>839</v>
      </c>
      <c r="K12">
        <v>0</v>
      </c>
      <c r="L12">
        <v>1.6861329142301431</v>
      </c>
      <c r="M12">
        <v>1489</v>
      </c>
      <c r="N12">
        <v>1572</v>
      </c>
      <c r="O12">
        <v>3880.8517808529868</v>
      </c>
      <c r="P12" s="2">
        <v>43838.763888888891</v>
      </c>
      <c r="Q12" s="2">
        <v>43838.90625</v>
      </c>
      <c r="R12">
        <v>8821.1922644323386</v>
      </c>
      <c r="S12">
        <v>10.047281057022341</v>
      </c>
      <c r="T12">
        <f t="shared" si="5"/>
        <v>0.8803909192109638</v>
      </c>
      <c r="U12">
        <f t="shared" si="6"/>
        <v>2273</v>
      </c>
      <c r="V12">
        <f t="shared" si="7"/>
        <v>0</v>
      </c>
      <c r="W12">
        <f t="shared" si="8"/>
        <v>0</v>
      </c>
      <c r="X12">
        <f t="shared" si="9"/>
        <v>0</v>
      </c>
      <c r="Y12">
        <f t="shared" si="10"/>
        <v>0</v>
      </c>
      <c r="Z12">
        <f t="shared" si="11"/>
        <v>343.14618161168625</v>
      </c>
      <c r="AA12">
        <f t="shared" si="12"/>
        <v>216.18965303941422</v>
      </c>
      <c r="AB12">
        <f t="shared" si="13"/>
        <v>0</v>
      </c>
      <c r="AC12">
        <f t="shared" si="14"/>
        <v>0.4344749579329571</v>
      </c>
      <c r="AD12">
        <f t="shared" si="15"/>
        <v>383.67865718198783</v>
      </c>
      <c r="AE12">
        <f t="shared" si="16"/>
        <v>405.06571463403952</v>
      </c>
      <c r="AF12">
        <f t="shared" si="17"/>
        <v>1000</v>
      </c>
      <c r="AG12">
        <f t="shared" si="18"/>
        <v>-4.1657229940028628E-3</v>
      </c>
      <c r="AH12">
        <f t="shared" si="19"/>
        <v>2273.004165722994</v>
      </c>
      <c r="AI12" s="5">
        <f t="shared" si="2"/>
        <v>0.4399472063352397</v>
      </c>
      <c r="AJ12" s="5">
        <f t="shared" si="3"/>
        <v>0</v>
      </c>
      <c r="AK12" s="5">
        <f t="shared" si="4"/>
        <v>0.43994640004626717</v>
      </c>
    </row>
    <row r="13" spans="1:37" hidden="1" x14ac:dyDescent="0.3">
      <c r="A13">
        <v>4909888</v>
      </c>
      <c r="B13" t="s">
        <v>32</v>
      </c>
      <c r="C13">
        <v>30.916666666666661</v>
      </c>
      <c r="D13">
        <v>88828.804894480912</v>
      </c>
      <c r="I13">
        <v>11095.319414333529</v>
      </c>
      <c r="J13">
        <v>12212</v>
      </c>
      <c r="K13">
        <v>703.10575773437495</v>
      </c>
      <c r="L13">
        <v>656.94142175404124</v>
      </c>
      <c r="M13">
        <v>22584</v>
      </c>
      <c r="N13">
        <v>15494.21154522054</v>
      </c>
      <c r="O13">
        <v>40877.238331560467</v>
      </c>
      <c r="P13" s="2">
        <v>43839.552083333343</v>
      </c>
      <c r="Q13" s="2">
        <v>43847.409722222219</v>
      </c>
      <c r="R13">
        <v>516204.23155451479</v>
      </c>
      <c r="S13">
        <v>9.4590861927912346</v>
      </c>
      <c r="T13">
        <f t="shared" si="5"/>
        <v>0.75632963303190037</v>
      </c>
      <c r="U13">
        <f t="shared" si="6"/>
        <v>2173.0627733209176</v>
      </c>
      <c r="V13">
        <f t="shared" si="7"/>
        <v>0</v>
      </c>
      <c r="W13">
        <f t="shared" si="8"/>
        <v>0</v>
      </c>
      <c r="X13">
        <f t="shared" si="9"/>
        <v>0</v>
      </c>
      <c r="Y13">
        <f t="shared" si="10"/>
        <v>0</v>
      </c>
      <c r="Z13">
        <f t="shared" si="11"/>
        <v>271.43025965545877</v>
      </c>
      <c r="AA13">
        <f t="shared" si="12"/>
        <v>298.74816642325294</v>
      </c>
      <c r="AB13">
        <f t="shared" si="13"/>
        <v>17.200422201504782</v>
      </c>
      <c r="AC13">
        <f t="shared" si="14"/>
        <v>16.071081329553284</v>
      </c>
      <c r="AD13">
        <f t="shared" si="15"/>
        <v>552.48350724719489</v>
      </c>
      <c r="AE13">
        <f t="shared" si="16"/>
        <v>379.04252287165349</v>
      </c>
      <c r="AF13">
        <f t="shared" si="17"/>
        <v>1000.0000000000001</v>
      </c>
      <c r="AG13">
        <f t="shared" si="18"/>
        <v>-10455.095405260443</v>
      </c>
      <c r="AH13">
        <f t="shared" si="19"/>
        <v>12628.15817858136</v>
      </c>
      <c r="AI13" s="5">
        <f t="shared" si="2"/>
        <v>0.46017998756279838</v>
      </c>
      <c r="AJ13" s="5">
        <f t="shared" si="3"/>
        <v>0</v>
      </c>
      <c r="AK13" s="5">
        <f t="shared" si="4"/>
        <v>7.9188111667471958E-2</v>
      </c>
    </row>
    <row r="14" spans="1:37" hidden="1" x14ac:dyDescent="0.3">
      <c r="A14">
        <v>4910517</v>
      </c>
      <c r="B14" t="s">
        <v>40</v>
      </c>
      <c r="C14">
        <v>10.16666666666667</v>
      </c>
      <c r="D14">
        <v>26172.499856363938</v>
      </c>
      <c r="I14">
        <v>-24038.383809685169</v>
      </c>
      <c r="J14">
        <v>6181</v>
      </c>
      <c r="K14">
        <v>0</v>
      </c>
      <c r="L14">
        <v>-52.092710635250228</v>
      </c>
      <c r="M14">
        <v>12062</v>
      </c>
      <c r="N14">
        <v>4713.4304347497273</v>
      </c>
      <c r="O14">
        <v>15058.975751647829</v>
      </c>
      <c r="P14" s="2">
        <v>43840.006944444453</v>
      </c>
      <c r="Q14" s="2">
        <v>43840.430555555547</v>
      </c>
      <c r="R14">
        <v>26663.044791184158</v>
      </c>
      <c r="S14">
        <v>9.073739556107185</v>
      </c>
      <c r="T14">
        <f t="shared" si="5"/>
        <v>0.67512338384329895</v>
      </c>
      <c r="U14">
        <f t="shared" si="6"/>
        <v>1738.0000000000007</v>
      </c>
      <c r="V14">
        <f t="shared" si="7"/>
        <v>0</v>
      </c>
      <c r="W14">
        <f t="shared" si="8"/>
        <v>0</v>
      </c>
      <c r="X14">
        <f t="shared" si="9"/>
        <v>0</v>
      </c>
      <c r="Y14">
        <f t="shared" si="10"/>
        <v>0</v>
      </c>
      <c r="Z14">
        <f t="shared" si="11"/>
        <v>-1596.2827888247821</v>
      </c>
      <c r="AA14">
        <f t="shared" si="12"/>
        <v>410.45288218381279</v>
      </c>
      <c r="AB14">
        <f t="shared" si="13"/>
        <v>0</v>
      </c>
      <c r="AC14">
        <f t="shared" si="14"/>
        <v>-3.4592465978006492</v>
      </c>
      <c r="AD14">
        <f t="shared" si="15"/>
        <v>800.98409074602</v>
      </c>
      <c r="AE14">
        <f t="shared" si="16"/>
        <v>312.99807586408787</v>
      </c>
      <c r="AF14">
        <f t="shared" si="17"/>
        <v>1000</v>
      </c>
      <c r="AG14">
        <f t="shared" si="18"/>
        <v>-32.574920294067169</v>
      </c>
      <c r="AH14">
        <f t="shared" si="19"/>
        <v>1770.5749202940679</v>
      </c>
      <c r="AI14" s="5">
        <f t="shared" si="2"/>
        <v>0.57537399309551185</v>
      </c>
      <c r="AJ14" s="5">
        <f t="shared" si="3"/>
        <v>0</v>
      </c>
      <c r="AK14" s="5">
        <f t="shared" si="4"/>
        <v>0.56478830042047234</v>
      </c>
    </row>
    <row r="15" spans="1:37" hidden="1" x14ac:dyDescent="0.3">
      <c r="A15">
        <v>4909886</v>
      </c>
      <c r="B15" t="s">
        <v>33</v>
      </c>
      <c r="C15">
        <v>67.083333333333329</v>
      </c>
      <c r="D15">
        <v>188401.2564325837</v>
      </c>
      <c r="I15">
        <v>23569.565210530931</v>
      </c>
      <c r="J15">
        <v>21631</v>
      </c>
      <c r="K15">
        <v>5468</v>
      </c>
      <c r="L15">
        <v>6477.5618599424552</v>
      </c>
      <c r="M15">
        <v>27000.03693745087</v>
      </c>
      <c r="N15">
        <v>32153.673442971041</v>
      </c>
      <c r="O15">
        <v>86700.992375786314</v>
      </c>
      <c r="P15" s="2">
        <v>43840.545138888891</v>
      </c>
      <c r="Q15" s="2">
        <v>43846.677083333343</v>
      </c>
      <c r="R15">
        <v>404938.44170696451</v>
      </c>
      <c r="S15">
        <v>9.4844972072682694</v>
      </c>
      <c r="T15">
        <f t="shared" si="5"/>
        <v>0.77373201269225877</v>
      </c>
      <c r="U15">
        <f t="shared" si="6"/>
        <v>2173.0000000000005</v>
      </c>
      <c r="V15">
        <f t="shared" si="7"/>
        <v>0</v>
      </c>
      <c r="W15">
        <f t="shared" si="8"/>
        <v>0</v>
      </c>
      <c r="X15">
        <f t="shared" si="9"/>
        <v>0</v>
      </c>
      <c r="Y15">
        <f t="shared" si="10"/>
        <v>0</v>
      </c>
      <c r="Z15">
        <f t="shared" si="11"/>
        <v>271.84885160684036</v>
      </c>
      <c r="AA15">
        <f t="shared" si="12"/>
        <v>249.48964720317392</v>
      </c>
      <c r="AB15">
        <f t="shared" si="13"/>
        <v>63.067328875546899</v>
      </c>
      <c r="AC15">
        <f t="shared" si="14"/>
        <v>74.711507705320059</v>
      </c>
      <c r="AD15">
        <f t="shared" si="15"/>
        <v>311.41554666900663</v>
      </c>
      <c r="AE15">
        <f t="shared" si="16"/>
        <v>370.85704052391969</v>
      </c>
      <c r="AF15">
        <f t="shared" si="17"/>
        <v>1000.0000000000001</v>
      </c>
      <c r="AG15">
        <f t="shared" si="18"/>
        <v>-2497.5168027587065</v>
      </c>
      <c r="AH15">
        <f t="shared" si="19"/>
        <v>4670.5168027587069</v>
      </c>
      <c r="AI15" s="5">
        <f t="shared" si="2"/>
        <v>0.46019328117809472</v>
      </c>
      <c r="AJ15" s="5">
        <f t="shared" si="3"/>
        <v>0</v>
      </c>
      <c r="AK15" s="5">
        <f>IFERROR(O15/R15,0)</f>
        <v>0.21410906806059146</v>
      </c>
    </row>
    <row r="16" spans="1:37" hidden="1" x14ac:dyDescent="0.3">
      <c r="A16">
        <v>4911286</v>
      </c>
      <c r="B16" t="s">
        <v>32</v>
      </c>
      <c r="C16">
        <v>82.416666666666671</v>
      </c>
      <c r="D16">
        <v>220273.5414100436</v>
      </c>
      <c r="I16">
        <v>-52350.322050250033</v>
      </c>
      <c r="J16">
        <v>28625</v>
      </c>
      <c r="K16">
        <v>1680</v>
      </c>
      <c r="L16">
        <v>440.32182356032479</v>
      </c>
      <c r="M16">
        <v>59461.538595224061</v>
      </c>
      <c r="N16">
        <v>47165</v>
      </c>
      <c r="O16">
        <v>101368.7236125373</v>
      </c>
      <c r="P16" s="2">
        <v>43842.496527777781</v>
      </c>
      <c r="Q16" s="2">
        <v>43851.371527777781</v>
      </c>
      <c r="R16">
        <v>583261.20010601485</v>
      </c>
      <c r="S16">
        <v>9.7896761964657024</v>
      </c>
      <c r="T16">
        <f t="shared" si="5"/>
        <v>0.81303841786238451</v>
      </c>
      <c r="U16">
        <f t="shared" si="6"/>
        <v>2172.9931438418557</v>
      </c>
      <c r="V16">
        <f t="shared" si="7"/>
        <v>0</v>
      </c>
      <c r="W16">
        <f t="shared" si="8"/>
        <v>0</v>
      </c>
      <c r="X16">
        <f t="shared" si="9"/>
        <v>0</v>
      </c>
      <c r="Y16">
        <f t="shared" si="10"/>
        <v>0</v>
      </c>
      <c r="Z16">
        <f t="shared" si="11"/>
        <v>-516.43465740329532</v>
      </c>
      <c r="AA16">
        <f t="shared" si="12"/>
        <v>282.38493077424579</v>
      </c>
      <c r="AB16">
        <f t="shared" si="13"/>
        <v>16.5731592559208</v>
      </c>
      <c r="AC16">
        <f t="shared" si="14"/>
        <v>4.3437641105492393</v>
      </c>
      <c r="AD16">
        <f t="shared" si="15"/>
        <v>586.58663615519617</v>
      </c>
      <c r="AE16">
        <f t="shared" si="16"/>
        <v>465.28158113422893</v>
      </c>
      <c r="AF16">
        <f t="shared" si="17"/>
        <v>999.99999999999989</v>
      </c>
      <c r="AG16">
        <f t="shared" si="18"/>
        <v>-3580.8644497036644</v>
      </c>
      <c r="AH16">
        <f t="shared" si="19"/>
        <v>5753.8575935455201</v>
      </c>
      <c r="AI16" s="5">
        <f t="shared" si="2"/>
        <v>0.46019473316514847</v>
      </c>
      <c r="AJ16" s="5">
        <f t="shared" si="3"/>
        <v>0</v>
      </c>
      <c r="AK16" s="5">
        <f t="shared" si="4"/>
        <v>0.17379644590470325</v>
      </c>
    </row>
    <row r="17" spans="1:37" hidden="1" x14ac:dyDescent="0.3">
      <c r="A17">
        <v>4911275</v>
      </c>
      <c r="B17" t="s">
        <v>40</v>
      </c>
      <c r="C17">
        <v>8.1666666666666679</v>
      </c>
      <c r="D17">
        <v>22074.25237484742</v>
      </c>
      <c r="I17">
        <v>2191.602135611894</v>
      </c>
      <c r="J17">
        <v>2476</v>
      </c>
      <c r="K17">
        <v>200</v>
      </c>
      <c r="L17">
        <v>126.8676390107686</v>
      </c>
      <c r="M17">
        <v>5369.7383704248296</v>
      </c>
      <c r="N17">
        <v>3472</v>
      </c>
      <c r="O17">
        <v>12700.95073351405</v>
      </c>
      <c r="P17" s="2">
        <v>43843.055555555547</v>
      </c>
      <c r="Q17" s="2">
        <v>43843.395833333343</v>
      </c>
      <c r="R17">
        <v>22073.795696554629</v>
      </c>
      <c r="S17">
        <v>8.6980867507782857</v>
      </c>
      <c r="T17">
        <f t="shared" si="5"/>
        <v>0.64299648412281862</v>
      </c>
      <c r="U17">
        <f t="shared" si="6"/>
        <v>1738</v>
      </c>
      <c r="V17">
        <f t="shared" si="7"/>
        <v>0</v>
      </c>
      <c r="W17">
        <f t="shared" si="8"/>
        <v>0</v>
      </c>
      <c r="X17">
        <f t="shared" si="9"/>
        <v>0</v>
      </c>
      <c r="Y17">
        <f t="shared" si="10"/>
        <v>0</v>
      </c>
      <c r="Z17">
        <f t="shared" si="11"/>
        <v>172.55417972993979</v>
      </c>
      <c r="AA17">
        <f t="shared" si="12"/>
        <v>194.94603608425697</v>
      </c>
      <c r="AB17">
        <f t="shared" si="13"/>
        <v>15.746852672395555</v>
      </c>
      <c r="AC17">
        <f t="shared" si="14"/>
        <v>9.9888301019861814</v>
      </c>
      <c r="AD17">
        <f t="shared" si="15"/>
        <v>422.7823950419459</v>
      </c>
      <c r="AE17">
        <f t="shared" si="16"/>
        <v>273.36536239278684</v>
      </c>
      <c r="AF17">
        <f t="shared" si="17"/>
        <v>1000</v>
      </c>
      <c r="AG17">
        <f t="shared" si="18"/>
        <v>3.5956228976374405E-2</v>
      </c>
      <c r="AH17">
        <f t="shared" si="19"/>
        <v>1737.9640437710236</v>
      </c>
      <c r="AI17" s="5">
        <f t="shared" si="2"/>
        <v>0.57537399309551207</v>
      </c>
      <c r="AJ17" s="5">
        <f t="shared" si="3"/>
        <v>0</v>
      </c>
      <c r="AK17" s="5">
        <f t="shared" si="4"/>
        <v>0.57538589683950314</v>
      </c>
    </row>
    <row r="18" spans="1:37" hidden="1" x14ac:dyDescent="0.3">
      <c r="A18">
        <v>4915161</v>
      </c>
      <c r="B18" t="s">
        <v>33</v>
      </c>
      <c r="C18">
        <v>25.983333333333331</v>
      </c>
      <c r="D18">
        <v>71370.247531949281</v>
      </c>
      <c r="I18">
        <v>12945.7728717955</v>
      </c>
      <c r="J18">
        <v>11929</v>
      </c>
      <c r="K18">
        <v>100</v>
      </c>
      <c r="L18">
        <v>506.04145442765969</v>
      </c>
      <c r="M18">
        <v>12829</v>
      </c>
      <c r="N18">
        <v>8896</v>
      </c>
      <c r="O18">
        <v>32844.108390220557</v>
      </c>
      <c r="P18" s="2">
        <v>43847.517361111109</v>
      </c>
      <c r="Q18" s="2">
        <v>43849.92291666667</v>
      </c>
      <c r="R18">
        <v>156187.999211519</v>
      </c>
      <c r="S18">
        <v>9.6589527283028769</v>
      </c>
      <c r="T18">
        <f t="shared" si="5"/>
        <v>0.79111093608100369</v>
      </c>
      <c r="U18">
        <f t="shared" si="6"/>
        <v>2173.0000000000005</v>
      </c>
      <c r="V18">
        <f t="shared" si="7"/>
        <v>0</v>
      </c>
      <c r="W18">
        <f t="shared" si="8"/>
        <v>0</v>
      </c>
      <c r="X18">
        <f t="shared" si="9"/>
        <v>0</v>
      </c>
      <c r="Y18">
        <f t="shared" si="10"/>
        <v>0</v>
      </c>
      <c r="Z18">
        <f t="shared" si="11"/>
        <v>394.15814605124575</v>
      </c>
      <c r="AA18">
        <f t="shared" si="12"/>
        <v>363.20060384260267</v>
      </c>
      <c r="AB18">
        <f t="shared" si="13"/>
        <v>3.0446860913957807</v>
      </c>
      <c r="AC18">
        <f t="shared" si="14"/>
        <v>15.407373779655874</v>
      </c>
      <c r="AD18">
        <f t="shared" si="15"/>
        <v>390.60277866516475</v>
      </c>
      <c r="AE18">
        <f t="shared" si="16"/>
        <v>270.85527469056865</v>
      </c>
      <c r="AF18">
        <f t="shared" si="17"/>
        <v>1000</v>
      </c>
      <c r="AG18">
        <f t="shared" si="18"/>
        <v>-2582.4342884224702</v>
      </c>
      <c r="AH18">
        <f t="shared" si="19"/>
        <v>4755.4342884224707</v>
      </c>
      <c r="AI18" s="5">
        <f t="shared" si="2"/>
        <v>0.46019328117809472</v>
      </c>
      <c r="AJ18" s="5">
        <f t="shared" si="3"/>
        <v>0</v>
      </c>
      <c r="AK18" s="5">
        <f t="shared" si="4"/>
        <v>0.21028573613867177</v>
      </c>
    </row>
    <row r="19" spans="1:37" hidden="1" x14ac:dyDescent="0.3">
      <c r="A19">
        <v>4913849</v>
      </c>
      <c r="B19" t="s">
        <v>41</v>
      </c>
      <c r="C19">
        <v>45.19</v>
      </c>
      <c r="D19">
        <v>125404.9208596227</v>
      </c>
      <c r="I19">
        <v>10851.24279377273</v>
      </c>
      <c r="J19">
        <v>18778</v>
      </c>
      <c r="K19">
        <v>1254.23319008973</v>
      </c>
      <c r="L19">
        <v>1259.703307161828</v>
      </c>
      <c r="M19">
        <v>33068</v>
      </c>
      <c r="N19">
        <v>26407</v>
      </c>
      <c r="O19">
        <v>63726.390589715767</v>
      </c>
      <c r="P19" s="2">
        <v>43849.958333333343</v>
      </c>
      <c r="Q19" s="2">
        <v>43853.791666666657</v>
      </c>
      <c r="R19">
        <v>255575.64793596079</v>
      </c>
      <c r="S19">
        <v>9.8128300222753193</v>
      </c>
      <c r="T19">
        <f t="shared" si="5"/>
        <v>0.70912536520298086</v>
      </c>
      <c r="U19">
        <f t="shared" si="6"/>
        <v>1967.8647997970982</v>
      </c>
      <c r="V19">
        <f t="shared" si="7"/>
        <v>0</v>
      </c>
      <c r="W19">
        <f t="shared" si="8"/>
        <v>0</v>
      </c>
      <c r="X19">
        <f t="shared" si="9"/>
        <v>0</v>
      </c>
      <c r="Y19">
        <f t="shared" si="10"/>
        <v>0</v>
      </c>
      <c r="Z19">
        <f t="shared" si="11"/>
        <v>170.27863485373538</v>
      </c>
      <c r="AA19">
        <f t="shared" si="12"/>
        <v>294.66599043552947</v>
      </c>
      <c r="AB19">
        <f t="shared" si="13"/>
        <v>19.681535051384813</v>
      </c>
      <c r="AC19">
        <f t="shared" si="14"/>
        <v>19.767372598772607</v>
      </c>
      <c r="AD19">
        <f t="shared" si="15"/>
        <v>518.90589901598082</v>
      </c>
      <c r="AE19">
        <f t="shared" si="16"/>
        <v>414.38091433757728</v>
      </c>
      <c r="AF19">
        <f t="shared" si="17"/>
        <v>1000</v>
      </c>
      <c r="AG19">
        <f t="shared" si="18"/>
        <v>-2042.6502406892193</v>
      </c>
      <c r="AH19">
        <f t="shared" si="19"/>
        <v>4010.5150404863175</v>
      </c>
      <c r="AI19" s="5">
        <f t="shared" si="2"/>
        <v>0.50816499187500463</v>
      </c>
      <c r="AJ19" s="5">
        <f t="shared" si="3"/>
        <v>0</v>
      </c>
      <c r="AK19" s="5">
        <f t="shared" si="4"/>
        <v>0.24934453303502371</v>
      </c>
    </row>
    <row r="20" spans="1:37" hidden="1" x14ac:dyDescent="0.3">
      <c r="A20">
        <v>4917002</v>
      </c>
      <c r="B20" t="s">
        <v>40</v>
      </c>
      <c r="C20">
        <v>9.1666666666666679</v>
      </c>
      <c r="D20">
        <v>24027.53267641077</v>
      </c>
      <c r="I20">
        <v>3274.4866333389382</v>
      </c>
      <c r="J20">
        <v>3300</v>
      </c>
      <c r="K20">
        <v>0</v>
      </c>
      <c r="L20">
        <v>-91.903419019715216</v>
      </c>
      <c r="M20">
        <v>6621</v>
      </c>
      <c r="N20">
        <v>7476</v>
      </c>
      <c r="O20">
        <v>13824.81742025936</v>
      </c>
      <c r="P20" s="2">
        <v>43851.927083333343</v>
      </c>
      <c r="Q20" s="2">
        <v>43852.34375</v>
      </c>
      <c r="R20">
        <v>27577.110039773372</v>
      </c>
      <c r="S20">
        <v>10.19236616520997</v>
      </c>
      <c r="T20">
        <f t="shared" si="5"/>
        <v>0.66305878681866148</v>
      </c>
      <c r="U20">
        <f t="shared" si="6"/>
        <v>1738.0000000000002</v>
      </c>
      <c r="V20">
        <f t="shared" si="7"/>
        <v>0</v>
      </c>
      <c r="W20">
        <f t="shared" si="8"/>
        <v>0</v>
      </c>
      <c r="X20">
        <f t="shared" si="9"/>
        <v>0</v>
      </c>
      <c r="Y20">
        <f t="shared" si="10"/>
        <v>0</v>
      </c>
      <c r="Z20">
        <f t="shared" si="11"/>
        <v>236.85568740606971</v>
      </c>
      <c r="AA20">
        <f t="shared" si="12"/>
        <v>238.7011632547181</v>
      </c>
      <c r="AB20">
        <f t="shared" si="13"/>
        <v>0</v>
      </c>
      <c r="AC20">
        <f t="shared" si="14"/>
        <v>-6.6477130385126681</v>
      </c>
      <c r="AD20">
        <f t="shared" si="15"/>
        <v>478.9213339119662</v>
      </c>
      <c r="AE20">
        <f t="shared" si="16"/>
        <v>540.76663530068856</v>
      </c>
      <c r="AF20">
        <f t="shared" si="17"/>
        <v>1000</v>
      </c>
      <c r="AG20">
        <f t="shared" si="18"/>
        <v>-256.75401384765701</v>
      </c>
      <c r="AH20">
        <f t="shared" si="19"/>
        <v>1994.7540138476572</v>
      </c>
      <c r="AI20" s="5">
        <f t="shared" si="2"/>
        <v>0.57537399309551207</v>
      </c>
      <c r="AJ20" s="5">
        <f t="shared" si="3"/>
        <v>0</v>
      </c>
      <c r="AK20" s="5">
        <f t="shared" si="4"/>
        <v>0.50131494563137236</v>
      </c>
    </row>
    <row r="21" spans="1:37" hidden="1" x14ac:dyDescent="0.3">
      <c r="A21">
        <v>4916727</v>
      </c>
      <c r="B21" t="s">
        <v>42</v>
      </c>
      <c r="C21">
        <v>8.41</v>
      </c>
      <c r="D21">
        <v>23289</v>
      </c>
      <c r="I21">
        <v>9444.9628752023218</v>
      </c>
      <c r="J21">
        <v>3470</v>
      </c>
      <c r="K21">
        <v>0</v>
      </c>
      <c r="L21">
        <v>48.171977224697571</v>
      </c>
      <c r="M21">
        <v>6875</v>
      </c>
      <c r="N21">
        <v>7087</v>
      </c>
      <c r="O21">
        <v>10717.441325356651</v>
      </c>
      <c r="P21" s="2">
        <v>43852.9375</v>
      </c>
      <c r="Q21" s="2">
        <v>43853.927083333343</v>
      </c>
      <c r="R21">
        <v>67047.399753941078</v>
      </c>
      <c r="S21">
        <v>9.8517615547632094</v>
      </c>
      <c r="T21">
        <f t="shared" si="5"/>
        <v>0.78470221993215672</v>
      </c>
      <c r="U21">
        <f t="shared" si="6"/>
        <v>2173</v>
      </c>
      <c r="V21">
        <f t="shared" si="7"/>
        <v>0</v>
      </c>
      <c r="W21">
        <f t="shared" si="8"/>
        <v>0</v>
      </c>
      <c r="X21">
        <f t="shared" si="9"/>
        <v>0</v>
      </c>
      <c r="Y21">
        <f t="shared" si="10"/>
        <v>0</v>
      </c>
      <c r="Z21">
        <f t="shared" si="11"/>
        <v>881.27031335886659</v>
      </c>
      <c r="AA21">
        <f t="shared" si="12"/>
        <v>323.77130834299453</v>
      </c>
      <c r="AB21">
        <f t="shared" si="13"/>
        <v>0</v>
      </c>
      <c r="AC21">
        <f t="shared" si="14"/>
        <v>4.4947274038931599</v>
      </c>
      <c r="AD21">
        <f t="shared" si="15"/>
        <v>641.47773627034212</v>
      </c>
      <c r="AE21">
        <f t="shared" si="16"/>
        <v>661.25857701060579</v>
      </c>
      <c r="AF21">
        <f t="shared" si="17"/>
        <v>1000</v>
      </c>
      <c r="AG21">
        <f t="shared" si="18"/>
        <v>-4082.9147951957548</v>
      </c>
      <c r="AH21">
        <f t="shared" si="19"/>
        <v>6255.9147951957548</v>
      </c>
      <c r="AI21" s="5">
        <f t="shared" si="2"/>
        <v>0.46019328117809483</v>
      </c>
      <c r="AJ21" s="5">
        <f t="shared" si="3"/>
        <v>0</v>
      </c>
      <c r="AK21" s="5">
        <f t="shared" si="4"/>
        <v>0.15984872440525444</v>
      </c>
    </row>
    <row r="22" spans="1:37" hidden="1" x14ac:dyDescent="0.3">
      <c r="A22">
        <v>4918334</v>
      </c>
      <c r="B22" t="s">
        <v>40</v>
      </c>
      <c r="C22">
        <v>12.5</v>
      </c>
      <c r="D22">
        <v>35310.521558429231</v>
      </c>
      <c r="I22">
        <v>-23205.4615479397</v>
      </c>
      <c r="J22">
        <v>4343.5947810834396</v>
      </c>
      <c r="K22">
        <v>0</v>
      </c>
      <c r="L22">
        <v>-7.1166429110576246</v>
      </c>
      <c r="M22">
        <v>10530.157316693079</v>
      </c>
      <c r="N22">
        <v>9749.6787635944165</v>
      </c>
      <c r="O22">
        <v>20316.75578735859</v>
      </c>
      <c r="P22" s="2">
        <v>43853.927083333343</v>
      </c>
      <c r="Q22" s="2">
        <v>43854.447916666657</v>
      </c>
      <c r="R22">
        <v>35310.443619031983</v>
      </c>
      <c r="S22">
        <v>8.792026914903321</v>
      </c>
      <c r="T22">
        <f t="shared" si="5"/>
        <v>0.6152557096629423</v>
      </c>
      <c r="U22">
        <f t="shared" si="6"/>
        <v>1738.0000000000002</v>
      </c>
      <c r="V22">
        <f t="shared" si="7"/>
        <v>0</v>
      </c>
      <c r="W22">
        <f t="shared" si="8"/>
        <v>0</v>
      </c>
      <c r="X22">
        <f t="shared" si="9"/>
        <v>0</v>
      </c>
      <c r="Y22">
        <f t="shared" si="10"/>
        <v>0</v>
      </c>
      <c r="Z22">
        <f t="shared" si="11"/>
        <v>-1142.1834170187008</v>
      </c>
      <c r="AA22">
        <f t="shared" si="12"/>
        <v>213.79371916189953</v>
      </c>
      <c r="AB22">
        <f t="shared" si="13"/>
        <v>0</v>
      </c>
      <c r="AC22">
        <f t="shared" si="14"/>
        <v>-0.3502844147728405</v>
      </c>
      <c r="AD22">
        <f t="shared" si="15"/>
        <v>518.29915301955396</v>
      </c>
      <c r="AE22">
        <f t="shared" si="16"/>
        <v>479.88364213448011</v>
      </c>
      <c r="AF22">
        <f t="shared" si="17"/>
        <v>1000</v>
      </c>
      <c r="AG22">
        <f t="shared" si="18"/>
        <v>3.8362127334039542E-3</v>
      </c>
      <c r="AH22">
        <f t="shared" si="19"/>
        <v>1737.9961637872668</v>
      </c>
      <c r="AI22" s="5">
        <f t="shared" si="2"/>
        <v>0.57537399309551207</v>
      </c>
      <c r="AJ22" s="5">
        <f t="shared" si="3"/>
        <v>0</v>
      </c>
      <c r="AK22" s="5">
        <f t="shared" si="4"/>
        <v>0.57537526309661136</v>
      </c>
    </row>
    <row r="23" spans="1:37" hidden="1" x14ac:dyDescent="0.3">
      <c r="A23">
        <v>4918337</v>
      </c>
      <c r="B23" t="s">
        <v>32</v>
      </c>
      <c r="C23">
        <v>45.333333333333329</v>
      </c>
      <c r="D23">
        <v>112119.3836853846</v>
      </c>
      <c r="I23">
        <v>13557.017101750431</v>
      </c>
      <c r="J23">
        <v>13252.540397229979</v>
      </c>
      <c r="K23">
        <v>6688</v>
      </c>
      <c r="L23">
        <v>6579.0501061692194</v>
      </c>
      <c r="M23">
        <v>22778.22519724258</v>
      </c>
      <c r="N23">
        <v>24738.595952875861</v>
      </c>
      <c r="O23">
        <v>51596.587061842903</v>
      </c>
      <c r="P23" s="2">
        <v>43854.447916666657</v>
      </c>
      <c r="Q23" s="2">
        <v>43858.291666666657</v>
      </c>
      <c r="R23">
        <v>244940.75453859131</v>
      </c>
      <c r="S23">
        <v>9.7083716913107772</v>
      </c>
      <c r="T23">
        <f t="shared" si="5"/>
        <v>0.87861108485717221</v>
      </c>
      <c r="U23">
        <f t="shared" si="6"/>
        <v>2172.9999999999995</v>
      </c>
      <c r="V23">
        <f t="shared" si="7"/>
        <v>0</v>
      </c>
      <c r="W23">
        <f t="shared" si="8"/>
        <v>0</v>
      </c>
      <c r="X23">
        <f t="shared" si="9"/>
        <v>0</v>
      </c>
      <c r="Y23">
        <f t="shared" si="10"/>
        <v>0</v>
      </c>
      <c r="Z23">
        <f t="shared" si="11"/>
        <v>262.75026845285703</v>
      </c>
      <c r="AA23">
        <f t="shared" si="12"/>
        <v>256.84916681302354</v>
      </c>
      <c r="AB23">
        <f t="shared" si="13"/>
        <v>129.6209765189287</v>
      </c>
      <c r="AC23">
        <f t="shared" si="14"/>
        <v>127.50940480391982</v>
      </c>
      <c r="AD23">
        <f t="shared" si="15"/>
        <v>441.46767246331501</v>
      </c>
      <c r="AE23">
        <f t="shared" si="16"/>
        <v>479.46186679410687</v>
      </c>
      <c r="AF23">
        <f t="shared" si="17"/>
        <v>1000</v>
      </c>
      <c r="AG23">
        <f t="shared" si="18"/>
        <v>-2574.227839798958</v>
      </c>
      <c r="AH23">
        <f t="shared" si="19"/>
        <v>4747.2278397989576</v>
      </c>
      <c r="AI23" s="5">
        <f t="shared" si="2"/>
        <v>0.46019328117809494</v>
      </c>
      <c r="AJ23" s="5">
        <f t="shared" si="3"/>
        <v>0</v>
      </c>
      <c r="AK23" s="5">
        <f t="shared" si="4"/>
        <v>0.21064925336348497</v>
      </c>
    </row>
    <row r="24" spans="1:37" hidden="1" x14ac:dyDescent="0.3">
      <c r="A24">
        <v>4919018</v>
      </c>
      <c r="B24" t="s">
        <v>38</v>
      </c>
      <c r="C24">
        <v>31.916666666666671</v>
      </c>
      <c r="D24">
        <v>82472.834760270882</v>
      </c>
      <c r="I24">
        <v>10427.88664994554</v>
      </c>
      <c r="J24">
        <v>10369.82568917513</v>
      </c>
      <c r="K24">
        <v>4471.9523961591922</v>
      </c>
      <c r="L24">
        <v>4567.1442034953316</v>
      </c>
      <c r="M24">
        <v>9954.3354430240215</v>
      </c>
      <c r="N24">
        <v>9505.8702323729067</v>
      </c>
      <c r="O24">
        <v>36283.693251329023</v>
      </c>
      <c r="P24" s="2">
        <v>43855.180555555547</v>
      </c>
      <c r="Q24" s="2">
        <v>43856.510416666657</v>
      </c>
      <c r="R24">
        <v>82473.037379778107</v>
      </c>
      <c r="S24">
        <v>9.8994452393344243</v>
      </c>
      <c r="T24">
        <f t="shared" si="5"/>
        <v>0.87964216998493139</v>
      </c>
      <c r="U24">
        <f t="shared" si="6"/>
        <v>2273.0000000000005</v>
      </c>
      <c r="V24">
        <f t="shared" si="7"/>
        <v>0</v>
      </c>
      <c r="W24">
        <f t="shared" si="8"/>
        <v>0</v>
      </c>
      <c r="X24">
        <f t="shared" si="9"/>
        <v>0</v>
      </c>
      <c r="Y24">
        <f t="shared" si="10"/>
        <v>0</v>
      </c>
      <c r="Z24">
        <f t="shared" si="11"/>
        <v>287.39871042657933</v>
      </c>
      <c r="AA24">
        <f t="shared" si="12"/>
        <v>285.79851608119566</v>
      </c>
      <c r="AB24">
        <f t="shared" si="13"/>
        <v>123.24964730527786</v>
      </c>
      <c r="AC24">
        <f t="shared" si="14"/>
        <v>125.8731896959812</v>
      </c>
      <c r="AD24">
        <f t="shared" si="15"/>
        <v>274.34735968228392</v>
      </c>
      <c r="AE24">
        <f t="shared" si="16"/>
        <v>261.98739380051171</v>
      </c>
      <c r="AF24">
        <f t="shared" si="17"/>
        <v>999.99999999999989</v>
      </c>
      <c r="AG24">
        <f t="shared" si="18"/>
        <v>-5.5843132013251306E-3</v>
      </c>
      <c r="AH24">
        <f t="shared" si="19"/>
        <v>2273.0055843132018</v>
      </c>
      <c r="AI24" s="5">
        <f t="shared" si="2"/>
        <v>0.4399472063352397</v>
      </c>
      <c r="AJ24" s="5">
        <f t="shared" si="3"/>
        <v>0</v>
      </c>
      <c r="AK24" s="5">
        <f t="shared" si="4"/>
        <v>0.43994612547428219</v>
      </c>
    </row>
    <row r="25" spans="1:37" hidden="1" x14ac:dyDescent="0.3">
      <c r="A25">
        <v>4918863</v>
      </c>
      <c r="B25" t="s">
        <v>33</v>
      </c>
      <c r="C25">
        <v>12.75</v>
      </c>
      <c r="D25">
        <v>36015.610244975593</v>
      </c>
      <c r="I25">
        <v>-23356.584486199939</v>
      </c>
      <c r="J25">
        <v>3749</v>
      </c>
      <c r="K25">
        <v>8685</v>
      </c>
      <c r="L25">
        <v>8752.1389162426567</v>
      </c>
      <c r="M25">
        <v>3811</v>
      </c>
      <c r="N25">
        <v>10076</v>
      </c>
      <c r="O25">
        <v>16574.141852266719</v>
      </c>
      <c r="P25" s="2">
        <v>43857.388888888891</v>
      </c>
      <c r="Q25" s="2">
        <v>43857.920138888891</v>
      </c>
      <c r="R25">
        <v>36037.263198559449</v>
      </c>
      <c r="S25">
        <v>10.072493052633369</v>
      </c>
      <c r="T25">
        <f t="shared" si="5"/>
        <v>0.76927059715349788</v>
      </c>
      <c r="U25">
        <f t="shared" si="6"/>
        <v>2173.0000000000005</v>
      </c>
      <c r="V25">
        <f t="shared" si="7"/>
        <v>0</v>
      </c>
      <c r="W25">
        <f t="shared" si="8"/>
        <v>0</v>
      </c>
      <c r="X25">
        <f t="shared" si="9"/>
        <v>0</v>
      </c>
      <c r="Y25">
        <f t="shared" si="10"/>
        <v>0</v>
      </c>
      <c r="Z25">
        <f t="shared" si="11"/>
        <v>-1409.2183290325609</v>
      </c>
      <c r="AA25">
        <f t="shared" si="12"/>
        <v>226.19572303752653</v>
      </c>
      <c r="AB25">
        <f t="shared" si="13"/>
        <v>524.00903029632389</v>
      </c>
      <c r="AC25">
        <f t="shared" si="14"/>
        <v>528.05985337006723</v>
      </c>
      <c r="AD25">
        <f t="shared" si="15"/>
        <v>229.93648986290043</v>
      </c>
      <c r="AE25">
        <f t="shared" si="16"/>
        <v>607.93494407205048</v>
      </c>
      <c r="AF25">
        <f t="shared" si="17"/>
        <v>1000</v>
      </c>
      <c r="AG25">
        <f t="shared" si="18"/>
        <v>-1.3064298457720724</v>
      </c>
      <c r="AH25">
        <f t="shared" si="19"/>
        <v>2174.3064298457725</v>
      </c>
      <c r="AI25" s="5">
        <f t="shared" si="2"/>
        <v>0.46019328117809466</v>
      </c>
      <c r="AJ25" s="5">
        <f t="shared" si="3"/>
        <v>0</v>
      </c>
      <c r="AK25" s="5">
        <f t="shared" si="4"/>
        <v>0.45991677450493113</v>
      </c>
    </row>
    <row r="26" spans="1:37" hidden="1" x14ac:dyDescent="0.3">
      <c r="A26">
        <v>4920028</v>
      </c>
      <c r="B26" t="s">
        <v>37</v>
      </c>
      <c r="C26">
        <v>9.75</v>
      </c>
      <c r="D26">
        <v>18031.83556105159</v>
      </c>
      <c r="I26">
        <v>2413.1782913029128</v>
      </c>
      <c r="J26">
        <v>2458.5992191461869</v>
      </c>
      <c r="K26">
        <v>9814.304320318337</v>
      </c>
      <c r="L26">
        <v>9661.8203541761868</v>
      </c>
      <c r="M26">
        <v>0</v>
      </c>
      <c r="N26">
        <v>8457.5149210275558</v>
      </c>
      <c r="O26">
        <v>7032.6971766971874</v>
      </c>
      <c r="P26" s="2">
        <v>43858.194444444453</v>
      </c>
      <c r="Q26" s="2">
        <v>43858.604166666657</v>
      </c>
      <c r="R26">
        <v>18185.956452075148</v>
      </c>
      <c r="S26">
        <v>8.8511635701606082</v>
      </c>
      <c r="T26">
        <f t="shared" si="5"/>
        <v>1.3863813207124265</v>
      </c>
      <c r="U26">
        <f t="shared" si="6"/>
        <v>2564</v>
      </c>
      <c r="V26">
        <f t="shared" si="7"/>
        <v>0</v>
      </c>
      <c r="W26">
        <f t="shared" si="8"/>
        <v>0</v>
      </c>
      <c r="X26">
        <f t="shared" si="9"/>
        <v>0</v>
      </c>
      <c r="Y26">
        <f t="shared" si="10"/>
        <v>0</v>
      </c>
      <c r="Z26">
        <f t="shared" si="11"/>
        <v>343.13695452421427</v>
      </c>
      <c r="AA26">
        <f t="shared" si="12"/>
        <v>349.59549051717244</v>
      </c>
      <c r="AB26">
        <f t="shared" si="13"/>
        <v>1395.5249421001652</v>
      </c>
      <c r="AC26">
        <f t="shared" si="14"/>
        <v>1373.8427962163062</v>
      </c>
      <c r="AD26">
        <f t="shared" si="15"/>
        <v>0</v>
      </c>
      <c r="AE26">
        <f t="shared" si="16"/>
        <v>1202.5990467855627</v>
      </c>
      <c r="AF26">
        <f t="shared" si="17"/>
        <v>1000</v>
      </c>
      <c r="AG26">
        <f t="shared" si="18"/>
        <v>-21.914905071448175</v>
      </c>
      <c r="AH26">
        <f t="shared" si="19"/>
        <v>2585.9149050714482</v>
      </c>
      <c r="AI26" s="5">
        <f t="shared" si="2"/>
        <v>0.39001560062402491</v>
      </c>
      <c r="AJ26" s="5">
        <f t="shared" si="3"/>
        <v>0</v>
      </c>
      <c r="AK26" s="5">
        <f t="shared" si="4"/>
        <v>0.38671032756678059</v>
      </c>
    </row>
    <row r="27" spans="1:37" hidden="1" x14ac:dyDescent="0.3">
      <c r="A27">
        <v>4920033</v>
      </c>
      <c r="B27" t="s">
        <v>43</v>
      </c>
      <c r="C27">
        <v>12.33333333333333</v>
      </c>
      <c r="D27">
        <v>21358.684869118792</v>
      </c>
      <c r="I27">
        <v>3731.9318526903298</v>
      </c>
      <c r="J27">
        <v>3684.7048156937208</v>
      </c>
      <c r="K27">
        <v>8274.7889445696328</v>
      </c>
      <c r="L27">
        <v>8488.0425858306808</v>
      </c>
      <c r="M27">
        <v>0</v>
      </c>
      <c r="N27">
        <v>5181.2706588162164</v>
      </c>
      <c r="O27">
        <v>8330.220307768639</v>
      </c>
      <c r="P27" s="2">
        <v>43858.604166666657</v>
      </c>
      <c r="Q27" s="2">
        <v>43859.118055555547</v>
      </c>
      <c r="R27">
        <v>22752.227005192151</v>
      </c>
      <c r="S27">
        <v>10.93002587969589</v>
      </c>
      <c r="T27">
        <f t="shared" si="5"/>
        <v>1.4805530799505324</v>
      </c>
      <c r="U27">
        <f t="shared" si="6"/>
        <v>2564</v>
      </c>
      <c r="V27">
        <f t="shared" si="7"/>
        <v>0</v>
      </c>
      <c r="W27">
        <f t="shared" si="8"/>
        <v>0</v>
      </c>
      <c r="X27">
        <f t="shared" si="9"/>
        <v>0</v>
      </c>
      <c r="Y27">
        <f t="shared" si="10"/>
        <v>0</v>
      </c>
      <c r="Z27">
        <f t="shared" si="11"/>
        <v>447.99917827022966</v>
      </c>
      <c r="AA27">
        <f t="shared" si="12"/>
        <v>442.329815966262</v>
      </c>
      <c r="AB27">
        <f t="shared" si="13"/>
        <v>993.34575063431248</v>
      </c>
      <c r="AC27">
        <f t="shared" si="14"/>
        <v>1018.945750800235</v>
      </c>
      <c r="AD27">
        <f t="shared" si="15"/>
        <v>0</v>
      </c>
      <c r="AE27">
        <f t="shared" si="16"/>
        <v>621.98482961900072</v>
      </c>
      <c r="AF27">
        <f t="shared" si="17"/>
        <v>1000</v>
      </c>
      <c r="AG27">
        <f t="shared" si="18"/>
        <v>-167.2875487787237</v>
      </c>
      <c r="AH27">
        <f t="shared" si="19"/>
        <v>2731.2875487787237</v>
      </c>
      <c r="AI27" s="5">
        <f t="shared" si="2"/>
        <v>0.39001560062402496</v>
      </c>
      <c r="AJ27" s="5">
        <f t="shared" si="3"/>
        <v>0</v>
      </c>
      <c r="AK27" s="5">
        <f t="shared" si="4"/>
        <v>0.36612768964847481</v>
      </c>
    </row>
    <row r="28" spans="1:37" hidden="1" x14ac:dyDescent="0.3">
      <c r="A28">
        <v>4920581</v>
      </c>
      <c r="B28" t="s">
        <v>31</v>
      </c>
      <c r="C28">
        <v>217.25</v>
      </c>
      <c r="D28">
        <v>0</v>
      </c>
      <c r="E28">
        <v>366860.01083333319</v>
      </c>
      <c r="F28">
        <v>73441.178048333299</v>
      </c>
      <c r="G28">
        <v>293418.83278499998</v>
      </c>
      <c r="H28">
        <v>0</v>
      </c>
      <c r="I28">
        <v>30956.363467904961</v>
      </c>
      <c r="J28">
        <v>115695.9413555689</v>
      </c>
      <c r="K28">
        <v>246156.1788670973</v>
      </c>
      <c r="L28">
        <v>-3089.0234705982061</v>
      </c>
      <c r="M28">
        <v>0</v>
      </c>
      <c r="N28">
        <v>181478.1256501578</v>
      </c>
      <c r="O28">
        <v>174695.24325396819</v>
      </c>
      <c r="P28" s="2">
        <v>43862.291666666657</v>
      </c>
      <c r="Q28" s="2">
        <v>43872.322916666657</v>
      </c>
      <c r="R28">
        <v>65.424077643171813</v>
      </c>
      <c r="S28">
        <v>5.0041559468144952</v>
      </c>
      <c r="T28">
        <f t="shared" si="5"/>
        <v>1.243594249925664</v>
      </c>
      <c r="U28">
        <f t="shared" si="6"/>
        <v>0</v>
      </c>
      <c r="V28">
        <f t="shared" si="7"/>
        <v>2100</v>
      </c>
      <c r="W28">
        <f t="shared" si="8"/>
        <v>420.39598033912176</v>
      </c>
      <c r="X28">
        <f t="shared" si="9"/>
        <v>1679.6040196608787</v>
      </c>
      <c r="Y28">
        <f t="shared" si="10"/>
        <v>0</v>
      </c>
      <c r="Z28">
        <f t="shared" si="11"/>
        <v>177.20209715671118</v>
      </c>
      <c r="AA28">
        <f t="shared" si="12"/>
        <v>662.27299152829607</v>
      </c>
      <c r="AB28">
        <f t="shared" si="13"/>
        <v>1409.0605690347318</v>
      </c>
      <c r="AC28">
        <f t="shared" si="14"/>
        <v>-17.682355930593083</v>
      </c>
      <c r="AD28">
        <f t="shared" si="15"/>
        <v>0</v>
      </c>
      <c r="AE28">
        <f t="shared" si="16"/>
        <v>1038.8269438242735</v>
      </c>
      <c r="AF28">
        <f t="shared" si="17"/>
        <v>999.99999999999989</v>
      </c>
      <c r="AG28">
        <f t="shared" si="18"/>
        <v>-0.3745040587513862</v>
      </c>
      <c r="AH28">
        <f t="shared" si="19"/>
        <v>0.3745040587513862</v>
      </c>
      <c r="AI28" s="5">
        <f t="shared" si="2"/>
        <v>0</v>
      </c>
      <c r="AJ28" s="5">
        <f t="shared" si="3"/>
        <v>0.47619047619047622</v>
      </c>
      <c r="AK28" s="5">
        <f t="shared" si="4"/>
        <v>2670.1980302537868</v>
      </c>
    </row>
    <row r="29" spans="1:37" hidden="1" x14ac:dyDescent="0.3">
      <c r="A29">
        <v>4927565</v>
      </c>
      <c r="B29" t="s">
        <v>44</v>
      </c>
      <c r="C29">
        <v>105.5833333333333</v>
      </c>
      <c r="D29">
        <v>0</v>
      </c>
      <c r="E29">
        <v>106860.42200000001</v>
      </c>
      <c r="F29">
        <v>39815.22263400002</v>
      </c>
      <c r="G29">
        <v>67045.19936600003</v>
      </c>
      <c r="H29">
        <v>35118.760666666662</v>
      </c>
      <c r="I29">
        <v>-34437.750059308361</v>
      </c>
      <c r="J29">
        <v>40232.619122869197</v>
      </c>
      <c r="K29">
        <v>92284.022571179885</v>
      </c>
      <c r="L29">
        <v>-7184.7786106809026</v>
      </c>
      <c r="M29">
        <v>0</v>
      </c>
      <c r="N29">
        <v>63332.335823422589</v>
      </c>
      <c r="O29">
        <v>67609.134603174622</v>
      </c>
      <c r="P29" s="2">
        <v>43872.826388888891</v>
      </c>
      <c r="Q29" s="2">
        <v>43878.708333333343</v>
      </c>
      <c r="R29">
        <v>39.597345800030162</v>
      </c>
      <c r="S29">
        <v>5.0041450144713409</v>
      </c>
      <c r="T29">
        <f t="shared" si="5"/>
        <v>1.5616726046420297</v>
      </c>
      <c r="U29">
        <f t="shared" si="6"/>
        <v>0</v>
      </c>
      <c r="V29">
        <f t="shared" si="7"/>
        <v>1580.5618963651445</v>
      </c>
      <c r="W29">
        <f t="shared" si="8"/>
        <v>588.90300649005019</v>
      </c>
      <c r="X29">
        <f t="shared" si="9"/>
        <v>991.65888987509516</v>
      </c>
      <c r="Y29">
        <f t="shared" si="10"/>
        <v>519.43810363485477</v>
      </c>
      <c r="Z29">
        <f t="shared" si="11"/>
        <v>-509.36534332878909</v>
      </c>
      <c r="AA29">
        <f t="shared" si="12"/>
        <v>595.07667653210945</v>
      </c>
      <c r="AB29">
        <f t="shared" si="13"/>
        <v>1364.9638190583589</v>
      </c>
      <c r="AC29">
        <f t="shared" si="14"/>
        <v>-106.26934737223419</v>
      </c>
      <c r="AD29">
        <f t="shared" si="15"/>
        <v>0</v>
      </c>
      <c r="AE29">
        <f t="shared" si="16"/>
        <v>936.74229370255523</v>
      </c>
      <c r="AF29">
        <f t="shared" si="17"/>
        <v>1000.0000000000001</v>
      </c>
      <c r="AG29">
        <f t="shared" si="18"/>
        <v>-0.58568041186213982</v>
      </c>
      <c r="AH29">
        <f t="shared" si="19"/>
        <v>0.58568041186213982</v>
      </c>
      <c r="AI29" s="5">
        <f t="shared" si="2"/>
        <v>0</v>
      </c>
      <c r="AJ29" s="5">
        <f t="shared" si="3"/>
        <v>0.47619047619047633</v>
      </c>
      <c r="AK29" s="5">
        <f t="shared" si="4"/>
        <v>1707.4158188431691</v>
      </c>
    </row>
    <row r="30" spans="1:37" hidden="1" x14ac:dyDescent="0.3">
      <c r="A30">
        <v>4929889</v>
      </c>
      <c r="B30" t="s">
        <v>45</v>
      </c>
      <c r="C30">
        <v>180.25</v>
      </c>
      <c r="D30">
        <v>0</v>
      </c>
      <c r="E30">
        <v>298978.85608824028</v>
      </c>
      <c r="F30">
        <v>138769.81629434551</v>
      </c>
      <c r="G30">
        <v>160209.0397938948</v>
      </c>
      <c r="H30">
        <v>0</v>
      </c>
      <c r="I30">
        <v>-3278.857953641229</v>
      </c>
      <c r="J30">
        <v>85373.170541284693</v>
      </c>
      <c r="K30">
        <v>194120.24934362649</v>
      </c>
      <c r="L30">
        <v>-11672.352185634571</v>
      </c>
      <c r="M30">
        <v>0</v>
      </c>
      <c r="N30">
        <v>156743.30899511941</v>
      </c>
      <c r="O30">
        <v>142370.88385154301</v>
      </c>
      <c r="P30" s="2">
        <v>43878.722222222219</v>
      </c>
      <c r="Q30" s="2">
        <v>43886.732638888891</v>
      </c>
      <c r="R30">
        <v>50.641599670670281</v>
      </c>
      <c r="S30">
        <v>5.0041887658707642</v>
      </c>
      <c r="T30">
        <f t="shared" si="5"/>
        <v>1.2660594295948557</v>
      </c>
      <c r="U30">
        <f t="shared" si="6"/>
        <v>0</v>
      </c>
      <c r="V30">
        <f t="shared" si="7"/>
        <v>2099.9999999999995</v>
      </c>
      <c r="W30">
        <f t="shared" si="8"/>
        <v>974.70643252483762</v>
      </c>
      <c r="X30">
        <f t="shared" si="9"/>
        <v>1125.2935674751623</v>
      </c>
      <c r="Y30">
        <f t="shared" si="10"/>
        <v>0</v>
      </c>
      <c r="Z30">
        <f t="shared" si="11"/>
        <v>-23.030396840552399</v>
      </c>
      <c r="AA30">
        <f t="shared" si="12"/>
        <v>599.65330151569071</v>
      </c>
      <c r="AB30">
        <f t="shared" si="13"/>
        <v>1363.4827858907236</v>
      </c>
      <c r="AC30">
        <f t="shared" si="14"/>
        <v>-81.985528711094432</v>
      </c>
      <c r="AD30">
        <f t="shared" si="15"/>
        <v>0</v>
      </c>
      <c r="AE30">
        <f t="shared" si="16"/>
        <v>1100.9505929496318</v>
      </c>
      <c r="AF30">
        <f t="shared" si="17"/>
        <v>1000</v>
      </c>
      <c r="AG30">
        <f t="shared" si="18"/>
        <v>-0.35570194059816834</v>
      </c>
      <c r="AH30">
        <f t="shared" si="19"/>
        <v>0.35570194059816834</v>
      </c>
      <c r="AI30" s="5">
        <f t="shared" si="2"/>
        <v>0</v>
      </c>
      <c r="AJ30" s="5">
        <f t="shared" si="3"/>
        <v>0.47619047619047628</v>
      </c>
      <c r="AK30" s="5">
        <f t="shared" si="4"/>
        <v>2811.3425479724506</v>
      </c>
    </row>
    <row r="31" spans="1:37" hidden="1" x14ac:dyDescent="0.3">
      <c r="A31">
        <v>4936957</v>
      </c>
      <c r="B31" t="s">
        <v>32</v>
      </c>
      <c r="C31">
        <v>9.75</v>
      </c>
      <c r="D31">
        <v>20097.454576711341</v>
      </c>
      <c r="I31">
        <v>2517.362125246621</v>
      </c>
      <c r="J31">
        <v>2627</v>
      </c>
      <c r="K31">
        <v>3355</v>
      </c>
      <c r="L31">
        <v>3360.0512697649592</v>
      </c>
      <c r="M31">
        <v>0</v>
      </c>
      <c r="N31">
        <v>509</v>
      </c>
      <c r="O31">
        <v>9248.7135649845113</v>
      </c>
      <c r="P31" s="2">
        <v>43887.291666666657</v>
      </c>
      <c r="Q31" s="2">
        <v>43887.697916666657</v>
      </c>
      <c r="R31">
        <v>17914.25995136327</v>
      </c>
      <c r="S31">
        <v>11.552573386360621</v>
      </c>
      <c r="T31">
        <f t="shared" si="5"/>
        <v>1.0542006660162286</v>
      </c>
      <c r="U31">
        <f t="shared" si="6"/>
        <v>2173</v>
      </c>
      <c r="V31">
        <f t="shared" si="7"/>
        <v>0</v>
      </c>
      <c r="W31">
        <f t="shared" si="8"/>
        <v>0</v>
      </c>
      <c r="X31">
        <f t="shared" si="9"/>
        <v>0</v>
      </c>
      <c r="Y31">
        <f t="shared" si="10"/>
        <v>0</v>
      </c>
      <c r="Z31">
        <f t="shared" si="11"/>
        <v>272.18511067066834</v>
      </c>
      <c r="AA31">
        <f t="shared" si="12"/>
        <v>284.03950252560333</v>
      </c>
      <c r="AB31">
        <f t="shared" si="13"/>
        <v>362.75315225481506</v>
      </c>
      <c r="AC31">
        <f t="shared" si="14"/>
        <v>363.29931142921998</v>
      </c>
      <c r="AD31">
        <f t="shared" si="15"/>
        <v>0</v>
      </c>
      <c r="AE31">
        <f t="shared" si="16"/>
        <v>55.034680923308755</v>
      </c>
      <c r="AF31">
        <f t="shared" si="17"/>
        <v>1000</v>
      </c>
      <c r="AG31">
        <f t="shared" si="18"/>
        <v>236.05386954717846</v>
      </c>
      <c r="AH31">
        <f t="shared" si="19"/>
        <v>1936.9461304528215</v>
      </c>
      <c r="AI31" s="5">
        <f t="shared" si="2"/>
        <v>0.46019328117809483</v>
      </c>
      <c r="AJ31" s="5">
        <f t="shared" si="3"/>
        <v>0</v>
      </c>
      <c r="AK31" s="5">
        <f t="shared" si="4"/>
        <v>0.51627661930185886</v>
      </c>
    </row>
    <row r="32" spans="1:37" hidden="1" x14ac:dyDescent="0.3">
      <c r="A32">
        <v>4936948</v>
      </c>
      <c r="B32" t="s">
        <v>38</v>
      </c>
      <c r="C32">
        <v>2</v>
      </c>
      <c r="D32">
        <v>5207.0929121349727</v>
      </c>
      <c r="I32">
        <v>825.11541543077271</v>
      </c>
      <c r="J32">
        <v>835</v>
      </c>
      <c r="K32">
        <v>1086</v>
      </c>
      <c r="L32">
        <v>1007.809342336841</v>
      </c>
      <c r="M32">
        <v>0</v>
      </c>
      <c r="N32">
        <v>0</v>
      </c>
      <c r="O32">
        <v>2290.8459798218091</v>
      </c>
      <c r="P32" s="2">
        <v>43887.291666666657</v>
      </c>
      <c r="Q32" s="2">
        <v>43887.375</v>
      </c>
      <c r="R32">
        <v>0.52</v>
      </c>
      <c r="T32">
        <f t="shared" si="5"/>
        <v>0.87303992394790664</v>
      </c>
      <c r="U32">
        <f t="shared" si="6"/>
        <v>2273</v>
      </c>
      <c r="V32">
        <f t="shared" si="7"/>
        <v>0</v>
      </c>
      <c r="W32">
        <f t="shared" si="8"/>
        <v>0</v>
      </c>
      <c r="X32">
        <f t="shared" si="9"/>
        <v>0</v>
      </c>
      <c r="Y32">
        <f t="shared" si="10"/>
        <v>0</v>
      </c>
      <c r="Z32">
        <f t="shared" si="11"/>
        <v>360.17934976796363</v>
      </c>
      <c r="AA32">
        <f t="shared" si="12"/>
        <v>364.49416824825101</v>
      </c>
      <c r="AB32">
        <f t="shared" si="13"/>
        <v>474.06067870371334</v>
      </c>
      <c r="AC32">
        <f t="shared" si="14"/>
        <v>439.92889579387275</v>
      </c>
      <c r="AD32">
        <f t="shared" si="15"/>
        <v>0</v>
      </c>
      <c r="AE32">
        <f t="shared" si="16"/>
        <v>0</v>
      </c>
      <c r="AF32">
        <f t="shared" si="17"/>
        <v>1000</v>
      </c>
      <c r="AG32">
        <f t="shared" si="18"/>
        <v>2272.7730096197733</v>
      </c>
      <c r="AH32">
        <f t="shared" si="19"/>
        <v>0.22699038022645573</v>
      </c>
      <c r="AI32" s="5">
        <f t="shared" si="2"/>
        <v>0.4399472063352397</v>
      </c>
      <c r="AJ32" s="5">
        <f t="shared" si="3"/>
        <v>0</v>
      </c>
      <c r="AK32" s="5">
        <f t="shared" si="4"/>
        <v>4405.4730381188638</v>
      </c>
    </row>
    <row r="33" spans="1:37" hidden="1" x14ac:dyDescent="0.3">
      <c r="A33">
        <v>4936964</v>
      </c>
      <c r="B33" t="s">
        <v>34</v>
      </c>
      <c r="C33">
        <v>24.91333333333333</v>
      </c>
      <c r="D33">
        <v>46083.211821358229</v>
      </c>
      <c r="I33">
        <v>6747.3949315328591</v>
      </c>
      <c r="J33">
        <v>6785</v>
      </c>
      <c r="K33">
        <v>10104</v>
      </c>
      <c r="L33">
        <v>10120.15896405586</v>
      </c>
      <c r="M33">
        <v>0</v>
      </c>
      <c r="N33">
        <v>3009</v>
      </c>
      <c r="O33">
        <v>17972.703518470451</v>
      </c>
      <c r="P33" s="2">
        <v>43887.291666666657</v>
      </c>
      <c r="Q33" s="2">
        <v>43889.159722222219</v>
      </c>
      <c r="R33">
        <v>90721.31365243005</v>
      </c>
      <c r="S33">
        <v>10.709970553073839</v>
      </c>
      <c r="T33">
        <f t="shared" si="5"/>
        <v>1.3861761703090485</v>
      </c>
      <c r="U33">
        <f t="shared" si="6"/>
        <v>2564.0667679182911</v>
      </c>
      <c r="V33">
        <f t="shared" si="7"/>
        <v>0</v>
      </c>
      <c r="W33">
        <f t="shared" si="8"/>
        <v>0</v>
      </c>
      <c r="X33">
        <f t="shared" si="9"/>
        <v>0</v>
      </c>
      <c r="Y33">
        <f t="shared" si="10"/>
        <v>0</v>
      </c>
      <c r="Z33">
        <f t="shared" si="11"/>
        <v>375.42459455799718</v>
      </c>
      <c r="AA33">
        <f t="shared" si="12"/>
        <v>377.5169380069666</v>
      </c>
      <c r="AB33">
        <f t="shared" si="13"/>
        <v>562.18587201509069</v>
      </c>
      <c r="AC33">
        <f t="shared" si="14"/>
        <v>563.08495567488933</v>
      </c>
      <c r="AD33">
        <f t="shared" si="15"/>
        <v>0</v>
      </c>
      <c r="AE33">
        <f t="shared" si="16"/>
        <v>167.42055511613302</v>
      </c>
      <c r="AF33">
        <f t="shared" si="17"/>
        <v>1000</v>
      </c>
      <c r="AG33">
        <f t="shared" si="18"/>
        <v>-2483.6609464568023</v>
      </c>
      <c r="AH33">
        <f t="shared" si="19"/>
        <v>5047.7277143750935</v>
      </c>
      <c r="AI33" s="5">
        <f t="shared" si="2"/>
        <v>0.39000544467563836</v>
      </c>
      <c r="AJ33" s="5">
        <f t="shared" si="3"/>
        <v>0</v>
      </c>
      <c r="AK33" s="5">
        <f t="shared" si="4"/>
        <v>0.19810894259453921</v>
      </c>
    </row>
    <row r="34" spans="1:37" hidden="1" x14ac:dyDescent="0.3">
      <c r="A34">
        <v>4936966</v>
      </c>
      <c r="B34" t="s">
        <v>35</v>
      </c>
      <c r="C34">
        <v>1.5</v>
      </c>
      <c r="D34">
        <v>2780.9586839344902</v>
      </c>
      <c r="I34">
        <v>331.81283006309309</v>
      </c>
      <c r="J34">
        <v>368</v>
      </c>
      <c r="K34">
        <v>579</v>
      </c>
      <c r="L34">
        <v>559.79133964188327</v>
      </c>
      <c r="M34">
        <v>0</v>
      </c>
      <c r="N34">
        <v>193</v>
      </c>
      <c r="O34">
        <v>1084.617271425308</v>
      </c>
      <c r="P34" s="2">
        <v>43891.291666666657</v>
      </c>
      <c r="Q34" s="2">
        <v>43891.354166666657</v>
      </c>
      <c r="R34">
        <v>2781.5077274931018</v>
      </c>
      <c r="S34">
        <v>8.7014127490164217</v>
      </c>
      <c r="T34">
        <f t="shared" si="5"/>
        <v>1.3829763175620768</v>
      </c>
      <c r="U34">
        <f t="shared" si="6"/>
        <v>2564.0000000000005</v>
      </c>
      <c r="V34">
        <f t="shared" si="7"/>
        <v>0</v>
      </c>
      <c r="W34">
        <f t="shared" si="8"/>
        <v>0</v>
      </c>
      <c r="X34">
        <f t="shared" si="9"/>
        <v>0</v>
      </c>
      <c r="Y34">
        <f t="shared" si="10"/>
        <v>0</v>
      </c>
      <c r="Z34">
        <f t="shared" si="11"/>
        <v>305.92619056033845</v>
      </c>
      <c r="AA34">
        <f t="shared" si="12"/>
        <v>339.29018990856287</v>
      </c>
      <c r="AB34">
        <f t="shared" si="13"/>
        <v>533.82885857896167</v>
      </c>
      <c r="AC34">
        <f t="shared" si="14"/>
        <v>516.11877700071568</v>
      </c>
      <c r="AD34">
        <f t="shared" si="15"/>
        <v>0</v>
      </c>
      <c r="AE34">
        <f t="shared" si="16"/>
        <v>177.94295285965387</v>
      </c>
      <c r="AF34">
        <f t="shared" si="17"/>
        <v>1000</v>
      </c>
      <c r="AG34">
        <f t="shared" si="18"/>
        <v>-0.50620949257972825</v>
      </c>
      <c r="AH34">
        <f t="shared" si="19"/>
        <v>2564.5062094925802</v>
      </c>
      <c r="AI34" s="5">
        <f t="shared" si="2"/>
        <v>0.39001560062402491</v>
      </c>
      <c r="AJ34" s="5">
        <f t="shared" si="3"/>
        <v>0</v>
      </c>
      <c r="AK34" s="5">
        <f t="shared" si="4"/>
        <v>0.38993861519947831</v>
      </c>
    </row>
    <row r="35" spans="1:37" hidden="1" x14ac:dyDescent="0.3">
      <c r="A35">
        <v>4939620</v>
      </c>
      <c r="B35" t="s">
        <v>32</v>
      </c>
      <c r="C35">
        <v>54.083333333333343</v>
      </c>
      <c r="D35">
        <v>146620.826993806</v>
      </c>
      <c r="I35">
        <v>-9156.6693976320566</v>
      </c>
      <c r="J35">
        <v>18575</v>
      </c>
      <c r="K35">
        <v>0</v>
      </c>
      <c r="L35">
        <v>-109.39277371804221</v>
      </c>
      <c r="M35">
        <v>55862</v>
      </c>
      <c r="N35">
        <v>35417</v>
      </c>
      <c r="O35">
        <v>67473.919463325336</v>
      </c>
      <c r="P35" s="2">
        <v>43891.291666666657</v>
      </c>
      <c r="Q35" s="2">
        <v>43894.538194444453</v>
      </c>
      <c r="R35">
        <v>214677.7494364208</v>
      </c>
      <c r="S35">
        <v>9.0026608853424506</v>
      </c>
      <c r="T35">
        <f t="shared" si="5"/>
        <v>0.80154426722949912</v>
      </c>
      <c r="U35">
        <f t="shared" si="6"/>
        <v>2173.0000000000009</v>
      </c>
      <c r="V35">
        <f t="shared" si="7"/>
        <v>0</v>
      </c>
      <c r="W35">
        <f t="shared" si="8"/>
        <v>0</v>
      </c>
      <c r="X35">
        <f t="shared" si="9"/>
        <v>0</v>
      </c>
      <c r="Y35">
        <f t="shared" si="10"/>
        <v>0</v>
      </c>
      <c r="Z35">
        <f t="shared" si="11"/>
        <v>-135.70679561025142</v>
      </c>
      <c r="AA35">
        <f t="shared" si="12"/>
        <v>275.29155187281253</v>
      </c>
      <c r="AB35">
        <f t="shared" si="13"/>
        <v>0</v>
      </c>
      <c r="AC35">
        <f t="shared" si="14"/>
        <v>-1.6212601044689776</v>
      </c>
      <c r="AD35">
        <f t="shared" si="15"/>
        <v>827.90506975607275</v>
      </c>
      <c r="AE35">
        <f t="shared" si="16"/>
        <v>524.8991059315963</v>
      </c>
      <c r="AF35">
        <f t="shared" si="17"/>
        <v>1000</v>
      </c>
      <c r="AG35">
        <f t="shared" si="18"/>
        <v>-1008.6404196454946</v>
      </c>
      <c r="AH35">
        <f t="shared" si="19"/>
        <v>3181.6404196454955</v>
      </c>
      <c r="AI35" s="5">
        <f t="shared" si="2"/>
        <v>0.46019328117809466</v>
      </c>
      <c r="AJ35" s="5">
        <f t="shared" si="3"/>
        <v>0</v>
      </c>
      <c r="AK35" s="5">
        <f t="shared" si="4"/>
        <v>0.31430327381603412</v>
      </c>
    </row>
    <row r="36" spans="1:37" hidden="1" x14ac:dyDescent="0.3">
      <c r="A36">
        <v>4939619</v>
      </c>
      <c r="B36" t="s">
        <v>40</v>
      </c>
      <c r="C36">
        <v>8.6666666666666661</v>
      </c>
      <c r="D36">
        <v>24477.978827701769</v>
      </c>
      <c r="I36">
        <v>3090.4923432963469</v>
      </c>
      <c r="J36">
        <v>3157</v>
      </c>
      <c r="K36">
        <v>0</v>
      </c>
      <c r="L36">
        <v>12.65928473095812</v>
      </c>
      <c r="M36">
        <v>8464</v>
      </c>
      <c r="N36">
        <v>4727</v>
      </c>
      <c r="O36">
        <v>14083.992421002171</v>
      </c>
      <c r="P36" s="2">
        <v>43891.291666666657</v>
      </c>
      <c r="Q36" s="2">
        <v>43892.291666666657</v>
      </c>
      <c r="R36">
        <v>64131.074095927113</v>
      </c>
      <c r="S36">
        <v>9.1139801842366648</v>
      </c>
      <c r="T36">
        <f t="shared" si="5"/>
        <v>0.61535581727116373</v>
      </c>
      <c r="U36">
        <f t="shared" si="6"/>
        <v>1737.9999999999998</v>
      </c>
      <c r="V36">
        <f t="shared" si="7"/>
        <v>0</v>
      </c>
      <c r="W36">
        <f t="shared" si="8"/>
        <v>0</v>
      </c>
      <c r="X36">
        <f t="shared" si="9"/>
        <v>0</v>
      </c>
      <c r="Y36">
        <f t="shared" si="10"/>
        <v>0</v>
      </c>
      <c r="Z36">
        <f t="shared" si="11"/>
        <v>219.43297403993046</v>
      </c>
      <c r="AA36">
        <f t="shared" si="12"/>
        <v>224.15519020673813</v>
      </c>
      <c r="AB36">
        <f t="shared" si="13"/>
        <v>0</v>
      </c>
      <c r="AC36">
        <f t="shared" si="14"/>
        <v>0.8988420578869728</v>
      </c>
      <c r="AD36">
        <f t="shared" si="15"/>
        <v>600.96595815959188</v>
      </c>
      <c r="AE36">
        <f t="shared" si="16"/>
        <v>335.62926325855278</v>
      </c>
      <c r="AF36">
        <f t="shared" si="17"/>
        <v>999.99999999999989</v>
      </c>
      <c r="AG36">
        <f t="shared" si="18"/>
        <v>-2815.4726360896293</v>
      </c>
      <c r="AH36">
        <f t="shared" si="19"/>
        <v>4553.4726360896293</v>
      </c>
      <c r="AI36" s="5">
        <f t="shared" si="2"/>
        <v>0.57537399309551218</v>
      </c>
      <c r="AJ36" s="5">
        <f t="shared" si="3"/>
        <v>0</v>
      </c>
      <c r="AK36" s="5">
        <f t="shared" si="4"/>
        <v>0.2196126077653926</v>
      </c>
    </row>
    <row r="37" spans="1:37" hidden="1" x14ac:dyDescent="0.3">
      <c r="A37">
        <v>4939618</v>
      </c>
      <c r="B37" t="s">
        <v>38</v>
      </c>
      <c r="C37">
        <v>9.3333333333333339</v>
      </c>
      <c r="D37">
        <v>24148.582038684159</v>
      </c>
      <c r="I37">
        <v>2994.4692934601421</v>
      </c>
      <c r="J37">
        <v>2810</v>
      </c>
      <c r="K37">
        <v>0</v>
      </c>
      <c r="L37">
        <v>58.624997278840851</v>
      </c>
      <c r="M37">
        <v>6780</v>
      </c>
      <c r="N37">
        <v>3865</v>
      </c>
      <c r="O37">
        <v>10624.101204876441</v>
      </c>
      <c r="P37" s="2">
        <v>43891.291666666657</v>
      </c>
      <c r="Q37" s="2">
        <v>43891.680555555547</v>
      </c>
      <c r="R37">
        <v>23023.27148631015</v>
      </c>
      <c r="S37">
        <v>9.0868041186190371</v>
      </c>
      <c r="T37">
        <f t="shared" si="5"/>
        <v>0.87850568752576952</v>
      </c>
      <c r="U37">
        <f t="shared" si="6"/>
        <v>2273.0000000000009</v>
      </c>
      <c r="V37">
        <f t="shared" si="7"/>
        <v>0</v>
      </c>
      <c r="W37">
        <f t="shared" si="8"/>
        <v>0</v>
      </c>
      <c r="X37">
        <f t="shared" si="9"/>
        <v>0</v>
      </c>
      <c r="Y37">
        <f t="shared" si="10"/>
        <v>0</v>
      </c>
      <c r="Z37">
        <f t="shared" si="11"/>
        <v>281.8562470099294</v>
      </c>
      <c r="AA37">
        <f t="shared" si="12"/>
        <v>264.49296235150848</v>
      </c>
      <c r="AB37">
        <f t="shared" si="13"/>
        <v>0</v>
      </c>
      <c r="AC37">
        <f t="shared" si="14"/>
        <v>5.5181135936404759</v>
      </c>
      <c r="AD37">
        <f t="shared" si="15"/>
        <v>638.17163158121969</v>
      </c>
      <c r="AE37">
        <f t="shared" si="16"/>
        <v>363.79548024504635</v>
      </c>
      <c r="AF37">
        <f t="shared" si="17"/>
        <v>999.99999999999989</v>
      </c>
      <c r="AG37">
        <f t="shared" si="18"/>
        <v>105.92054148142824</v>
      </c>
      <c r="AH37">
        <f t="shared" si="19"/>
        <v>2167.0794585185727</v>
      </c>
      <c r="AI37" s="5">
        <f t="shared" si="2"/>
        <v>0.43994720633523959</v>
      </c>
      <c r="AJ37" s="5">
        <f t="shared" si="3"/>
        <v>0</v>
      </c>
      <c r="AK37" s="5">
        <f t="shared" si="4"/>
        <v>0.46145054629589149</v>
      </c>
    </row>
    <row r="38" spans="1:37" hidden="1" x14ac:dyDescent="0.3">
      <c r="A38">
        <v>4941894</v>
      </c>
      <c r="B38" t="s">
        <v>32</v>
      </c>
      <c r="C38">
        <v>85.75</v>
      </c>
      <c r="D38">
        <v>230536.00036881489</v>
      </c>
      <c r="I38">
        <v>-25289.67644991383</v>
      </c>
      <c r="J38">
        <v>26897.697014834859</v>
      </c>
      <c r="K38">
        <v>1998.1153125000001</v>
      </c>
      <c r="L38">
        <v>1998.891877417037</v>
      </c>
      <c r="M38">
        <v>84439.794003640811</v>
      </c>
      <c r="N38">
        <v>46848.004555880223</v>
      </c>
      <c r="O38">
        <v>106091.1184393994</v>
      </c>
      <c r="P38" s="2">
        <v>43895.291666666657</v>
      </c>
      <c r="Q38" s="2">
        <v>43900.458333333343</v>
      </c>
      <c r="R38">
        <v>342612.67647796939</v>
      </c>
      <c r="S38">
        <v>8.3601198251012825</v>
      </c>
      <c r="T38">
        <f t="shared" si="5"/>
        <v>0.80826747103228525</v>
      </c>
      <c r="U38">
        <f t="shared" si="6"/>
        <v>2173</v>
      </c>
      <c r="V38">
        <f t="shared" si="7"/>
        <v>0</v>
      </c>
      <c r="W38">
        <f t="shared" si="8"/>
        <v>0</v>
      </c>
      <c r="X38">
        <f t="shared" si="9"/>
        <v>0</v>
      </c>
      <c r="Y38">
        <f t="shared" si="10"/>
        <v>0</v>
      </c>
      <c r="Z38">
        <f t="shared" si="11"/>
        <v>-238.37694259354626</v>
      </c>
      <c r="AA38">
        <f t="shared" si="12"/>
        <v>253.53391886615998</v>
      </c>
      <c r="AB38">
        <f t="shared" si="13"/>
        <v>18.833954640994278</v>
      </c>
      <c r="AC38">
        <f t="shared" si="14"/>
        <v>18.841274432966124</v>
      </c>
      <c r="AD38">
        <f t="shared" si="15"/>
        <v>795.91765310565461</v>
      </c>
      <c r="AE38">
        <f t="shared" si="16"/>
        <v>441.58271912874972</v>
      </c>
      <c r="AF38">
        <f t="shared" si="17"/>
        <v>1000</v>
      </c>
      <c r="AG38">
        <f t="shared" si="18"/>
        <v>-1056.4190269440332</v>
      </c>
      <c r="AH38">
        <f t="shared" si="19"/>
        <v>3229.4190269440332</v>
      </c>
      <c r="AI38" s="5">
        <f t="shared" si="2"/>
        <v>0.46019328117809483</v>
      </c>
      <c r="AJ38" s="5">
        <f t="shared" si="3"/>
        <v>0</v>
      </c>
      <c r="AK38" s="5">
        <f t="shared" si="4"/>
        <v>0.30965321986917566</v>
      </c>
    </row>
    <row r="39" spans="1:37" hidden="1" x14ac:dyDescent="0.3">
      <c r="A39">
        <v>4942595</v>
      </c>
      <c r="B39" t="s">
        <v>38</v>
      </c>
      <c r="C39">
        <v>19</v>
      </c>
      <c r="D39">
        <v>49012.682736489587</v>
      </c>
      <c r="I39">
        <v>5811.3017067273486</v>
      </c>
      <c r="J39">
        <v>5747.1430463932866</v>
      </c>
      <c r="K39">
        <v>0</v>
      </c>
      <c r="L39">
        <v>28.20058944706005</v>
      </c>
      <c r="M39">
        <v>20411.851694460551</v>
      </c>
      <c r="N39">
        <v>12320.297366364141</v>
      </c>
      <c r="O39">
        <v>21562.992844914032</v>
      </c>
      <c r="P39" s="2">
        <v>43897.291666666657</v>
      </c>
      <c r="Q39" s="2">
        <v>43898.947916666657</v>
      </c>
      <c r="R39">
        <v>106831.8521768855</v>
      </c>
      <c r="S39">
        <v>8.0165998243656453</v>
      </c>
      <c r="T39">
        <f t="shared" si="5"/>
        <v>0.88113928046316847</v>
      </c>
      <c r="U39">
        <f t="shared" si="6"/>
        <v>2272.9999999999995</v>
      </c>
      <c r="V39">
        <f t="shared" si="7"/>
        <v>0</v>
      </c>
      <c r="W39">
        <f t="shared" si="8"/>
        <v>0</v>
      </c>
      <c r="X39">
        <f t="shared" si="9"/>
        <v>0</v>
      </c>
      <c r="Y39">
        <f t="shared" si="10"/>
        <v>0</v>
      </c>
      <c r="Z39">
        <f t="shared" si="11"/>
        <v>269.50348444316415</v>
      </c>
      <c r="AA39">
        <f t="shared" si="12"/>
        <v>266.52807834830958</v>
      </c>
      <c r="AB39">
        <f t="shared" si="13"/>
        <v>0</v>
      </c>
      <c r="AC39">
        <f t="shared" si="14"/>
        <v>1.3078235312641955</v>
      </c>
      <c r="AD39">
        <f t="shared" si="15"/>
        <v>946.61496394620406</v>
      </c>
      <c r="AE39">
        <f t="shared" si="16"/>
        <v>571.3630503415983</v>
      </c>
      <c r="AF39">
        <f t="shared" si="17"/>
        <v>999.99999999999989</v>
      </c>
      <c r="AG39">
        <f t="shared" si="18"/>
        <v>-2681.4074398783409</v>
      </c>
      <c r="AH39">
        <f t="shared" si="19"/>
        <v>4954.4074398783405</v>
      </c>
      <c r="AI39" s="5">
        <f t="shared" si="2"/>
        <v>0.43994720633523982</v>
      </c>
      <c r="AJ39" s="5">
        <f t="shared" si="3"/>
        <v>0</v>
      </c>
      <c r="AK39" s="5">
        <f t="shared" si="4"/>
        <v>0.20184048488845233</v>
      </c>
    </row>
    <row r="40" spans="1:37" hidden="1" x14ac:dyDescent="0.3">
      <c r="A40">
        <v>4944505</v>
      </c>
      <c r="B40" t="s">
        <v>32</v>
      </c>
      <c r="C40">
        <v>26</v>
      </c>
      <c r="D40">
        <v>68317.276107039856</v>
      </c>
      <c r="I40">
        <v>6265.2676223818562</v>
      </c>
      <c r="J40">
        <v>8874</v>
      </c>
      <c r="K40">
        <v>1713</v>
      </c>
      <c r="L40">
        <v>1668.902089722799</v>
      </c>
      <c r="M40">
        <v>22775</v>
      </c>
      <c r="N40">
        <v>11858</v>
      </c>
      <c r="O40">
        <v>31439.151452848531</v>
      </c>
      <c r="P40" s="2">
        <v>43900.291666666657</v>
      </c>
      <c r="Q40" s="2">
        <v>43902.072916666657</v>
      </c>
      <c r="R40">
        <v>118638.04914089759</v>
      </c>
      <c r="S40">
        <v>9.6739849748945055</v>
      </c>
      <c r="T40">
        <f t="shared" si="5"/>
        <v>0.82699433026982283</v>
      </c>
      <c r="U40">
        <f t="shared" si="6"/>
        <v>2173</v>
      </c>
      <c r="V40">
        <f t="shared" si="7"/>
        <v>0</v>
      </c>
      <c r="W40">
        <f t="shared" si="8"/>
        <v>0</v>
      </c>
      <c r="X40">
        <f t="shared" si="9"/>
        <v>0</v>
      </c>
      <c r="Y40">
        <f t="shared" si="10"/>
        <v>0</v>
      </c>
      <c r="Z40">
        <f t="shared" si="11"/>
        <v>199.28233851280342</v>
      </c>
      <c r="AA40">
        <f t="shared" si="12"/>
        <v>282.25952641593875</v>
      </c>
      <c r="AB40">
        <f t="shared" si="13"/>
        <v>54.48620337508487</v>
      </c>
      <c r="AC40">
        <f t="shared" si="14"/>
        <v>53.083560229854385</v>
      </c>
      <c r="AD40">
        <f t="shared" si="15"/>
        <v>724.41522584212373</v>
      </c>
      <c r="AE40">
        <f t="shared" si="16"/>
        <v>377.17302955152155</v>
      </c>
      <c r="AF40">
        <f t="shared" si="17"/>
        <v>1000</v>
      </c>
      <c r="AG40">
        <f t="shared" si="18"/>
        <v>-1600.5766920690357</v>
      </c>
      <c r="AH40">
        <f t="shared" si="19"/>
        <v>3773.5766920690357</v>
      </c>
      <c r="AI40" s="5">
        <f t="shared" si="2"/>
        <v>0.46019328117809483</v>
      </c>
      <c r="AJ40" s="5">
        <f t="shared" si="3"/>
        <v>0</v>
      </c>
      <c r="AK40" s="5">
        <f t="shared" si="4"/>
        <v>0.26500057680070738</v>
      </c>
    </row>
    <row r="41" spans="1:37" hidden="1" x14ac:dyDescent="0.3">
      <c r="A41">
        <v>4942593</v>
      </c>
      <c r="B41" t="s">
        <v>42</v>
      </c>
      <c r="C41">
        <v>12.58333333333333</v>
      </c>
      <c r="D41">
        <v>35506.298057149252</v>
      </c>
      <c r="I41">
        <v>4512.7247267532339</v>
      </c>
      <c r="J41">
        <v>4463</v>
      </c>
      <c r="K41">
        <v>713</v>
      </c>
      <c r="L41">
        <v>787.0177908037092</v>
      </c>
      <c r="M41">
        <v>8413</v>
      </c>
      <c r="N41">
        <v>5491</v>
      </c>
      <c r="O41">
        <v>16339.759805406929</v>
      </c>
      <c r="P41" s="2">
        <v>43900.465277777781</v>
      </c>
      <c r="Q41" s="2">
        <v>43900.989583333343</v>
      </c>
      <c r="R41">
        <v>35506.386210956887</v>
      </c>
      <c r="S41">
        <v>10.163153915113799</v>
      </c>
      <c r="T41">
        <f t="shared" si="5"/>
        <v>0.77010515963456372</v>
      </c>
      <c r="U41">
        <f t="shared" si="6"/>
        <v>2172.9999999999995</v>
      </c>
      <c r="V41">
        <f t="shared" si="7"/>
        <v>0</v>
      </c>
      <c r="W41">
        <f t="shared" si="8"/>
        <v>0</v>
      </c>
      <c r="X41">
        <f t="shared" si="9"/>
        <v>0</v>
      </c>
      <c r="Y41">
        <f t="shared" si="10"/>
        <v>0</v>
      </c>
      <c r="Z41">
        <f t="shared" si="11"/>
        <v>276.18060366223654</v>
      </c>
      <c r="AA41">
        <f t="shared" si="12"/>
        <v>273.13742999595166</v>
      </c>
      <c r="AB41">
        <f t="shared" si="13"/>
        <v>43.635892356512109</v>
      </c>
      <c r="AC41">
        <f t="shared" si="14"/>
        <v>48.165811503745608</v>
      </c>
      <c r="AD41">
        <f t="shared" si="15"/>
        <v>514.87904964282802</v>
      </c>
      <c r="AE41">
        <f t="shared" si="16"/>
        <v>336.05145151417668</v>
      </c>
      <c r="AF41">
        <f t="shared" si="17"/>
        <v>1000</v>
      </c>
      <c r="AG41">
        <f t="shared" si="18"/>
        <v>-5.3950491737850825E-3</v>
      </c>
      <c r="AH41">
        <f t="shared" si="19"/>
        <v>2173.0053950491733</v>
      </c>
      <c r="AI41" s="5">
        <f t="shared" si="2"/>
        <v>0.46019328117809488</v>
      </c>
      <c r="AJ41" s="5">
        <f t="shared" si="3"/>
        <v>0</v>
      </c>
      <c r="AK41" s="5">
        <f t="shared" si="4"/>
        <v>0.46019213862898434</v>
      </c>
    </row>
    <row r="42" spans="1:37" hidden="1" x14ac:dyDescent="0.3">
      <c r="A42">
        <v>4942601</v>
      </c>
      <c r="B42" t="s">
        <v>40</v>
      </c>
      <c r="C42">
        <v>9.5</v>
      </c>
      <c r="D42">
        <v>25762.745875310011</v>
      </c>
      <c r="I42">
        <v>3269.7746697757138</v>
      </c>
      <c r="J42">
        <v>3260</v>
      </c>
      <c r="K42">
        <v>3972</v>
      </c>
      <c r="L42">
        <v>3929.6372765033211</v>
      </c>
      <c r="M42">
        <v>1167</v>
      </c>
      <c r="N42">
        <v>1739</v>
      </c>
      <c r="O42">
        <v>14823.213967382049</v>
      </c>
      <c r="P42" s="2">
        <v>43901.291666666657</v>
      </c>
      <c r="Q42" s="2">
        <v>43902.46875</v>
      </c>
      <c r="R42">
        <v>77057.28399672755</v>
      </c>
      <c r="S42">
        <v>9.5051437673760191</v>
      </c>
      <c r="T42">
        <f t="shared" si="5"/>
        <v>0.64088665392703692</v>
      </c>
      <c r="U42">
        <f t="shared" si="6"/>
        <v>1738.0000000000007</v>
      </c>
      <c r="V42">
        <f t="shared" si="7"/>
        <v>0</v>
      </c>
      <c r="W42">
        <f t="shared" si="8"/>
        <v>0</v>
      </c>
      <c r="X42">
        <f t="shared" si="9"/>
        <v>0</v>
      </c>
      <c r="Y42">
        <f t="shared" si="10"/>
        <v>0</v>
      </c>
      <c r="Z42">
        <f t="shared" si="11"/>
        <v>220.58473128504625</v>
      </c>
      <c r="AA42">
        <f t="shared" si="12"/>
        <v>219.92531492654109</v>
      </c>
      <c r="AB42">
        <f t="shared" si="13"/>
        <v>267.9580830945464</v>
      </c>
      <c r="AC42">
        <f t="shared" si="14"/>
        <v>265.10021950370191</v>
      </c>
      <c r="AD42">
        <f t="shared" si="15"/>
        <v>78.727865803458116</v>
      </c>
      <c r="AE42">
        <f t="shared" si="16"/>
        <v>117.31598854517024</v>
      </c>
      <c r="AF42">
        <f t="shared" si="17"/>
        <v>1000</v>
      </c>
      <c r="AG42">
        <f t="shared" si="18"/>
        <v>-3460.4194633019079</v>
      </c>
      <c r="AH42">
        <f t="shared" si="19"/>
        <v>5198.4194633019088</v>
      </c>
      <c r="AI42" s="5">
        <f t="shared" si="2"/>
        <v>0.57537399309551185</v>
      </c>
      <c r="AJ42" s="5">
        <f t="shared" si="3"/>
        <v>0</v>
      </c>
      <c r="AK42" s="5">
        <f t="shared" si="4"/>
        <v>0.19236616188044672</v>
      </c>
    </row>
    <row r="43" spans="1:37" hidden="1" x14ac:dyDescent="0.3">
      <c r="A43">
        <v>4945794</v>
      </c>
      <c r="B43" t="s">
        <v>32</v>
      </c>
      <c r="C43">
        <v>10.08333333333333</v>
      </c>
      <c r="D43">
        <v>28455.488432703849</v>
      </c>
      <c r="I43">
        <v>3172.671706859504</v>
      </c>
      <c r="J43">
        <v>3178</v>
      </c>
      <c r="K43">
        <v>1879</v>
      </c>
      <c r="L43">
        <v>1908.3703438587279</v>
      </c>
      <c r="M43">
        <v>5814</v>
      </c>
      <c r="N43">
        <v>4789</v>
      </c>
      <c r="O43">
        <v>13095.024589371311</v>
      </c>
      <c r="P43" s="2">
        <v>43902.625</v>
      </c>
      <c r="Q43" s="2">
        <v>43903.045138888891</v>
      </c>
      <c r="R43">
        <v>28455.24451474235</v>
      </c>
      <c r="S43">
        <v>9.9008329259957186</v>
      </c>
      <c r="T43">
        <f t="shared" si="5"/>
        <v>0.77001255434965388</v>
      </c>
      <c r="U43">
        <f t="shared" si="6"/>
        <v>2172.9999999999991</v>
      </c>
      <c r="V43">
        <f t="shared" si="7"/>
        <v>0</v>
      </c>
      <c r="W43">
        <f t="shared" si="8"/>
        <v>0</v>
      </c>
      <c r="X43">
        <f t="shared" si="9"/>
        <v>0</v>
      </c>
      <c r="Y43">
        <f t="shared" si="10"/>
        <v>0</v>
      </c>
      <c r="Z43">
        <f t="shared" si="11"/>
        <v>242.28069868876995</v>
      </c>
      <c r="AA43">
        <f t="shared" si="12"/>
        <v>242.68759316263149</v>
      </c>
      <c r="AB43">
        <f t="shared" si="13"/>
        <v>143.48961219401653</v>
      </c>
      <c r="AC43">
        <f t="shared" si="14"/>
        <v>145.73247502014414</v>
      </c>
      <c r="AD43">
        <f t="shared" si="15"/>
        <v>443.98542059393941</v>
      </c>
      <c r="AE43">
        <f t="shared" si="16"/>
        <v>365.71141713525554</v>
      </c>
      <c r="AF43">
        <f t="shared" si="17"/>
        <v>1000</v>
      </c>
      <c r="AG43">
        <f t="shared" si="18"/>
        <v>1.8626766206580214E-2</v>
      </c>
      <c r="AH43">
        <f t="shared" si="19"/>
        <v>2172.9813732337925</v>
      </c>
      <c r="AI43" s="5">
        <f t="shared" si="2"/>
        <v>0.46019328117809494</v>
      </c>
      <c r="AJ43" s="5">
        <f t="shared" si="3"/>
        <v>0</v>
      </c>
      <c r="AK43" s="5">
        <f t="shared" si="4"/>
        <v>0.46019722594852147</v>
      </c>
    </row>
    <row r="44" spans="1:37" hidden="1" x14ac:dyDescent="0.3">
      <c r="A44">
        <v>4942599</v>
      </c>
      <c r="B44" t="s">
        <v>41</v>
      </c>
      <c r="C44">
        <v>30.333333333333329</v>
      </c>
      <c r="D44">
        <v>85052.40599645974</v>
      </c>
      <c r="I44">
        <v>-17191.955104337281</v>
      </c>
      <c r="J44">
        <v>10113.87739444645</v>
      </c>
      <c r="K44">
        <v>9665.5580781141816</v>
      </c>
      <c r="L44">
        <v>9739.5262138766939</v>
      </c>
      <c r="M44">
        <v>13086.77068718376</v>
      </c>
      <c r="N44">
        <v>8266.7614216321326</v>
      </c>
      <c r="O44">
        <v>39140.54578760227</v>
      </c>
      <c r="P44" s="2">
        <v>43903.048611111109</v>
      </c>
      <c r="Q44" s="2">
        <v>43904.833333333343</v>
      </c>
      <c r="R44">
        <v>119802.0383828862</v>
      </c>
      <c r="S44">
        <v>9.1883474691907132</v>
      </c>
      <c r="T44">
        <f t="shared" si="5"/>
        <v>0.77498493500674137</v>
      </c>
      <c r="U44">
        <f t="shared" si="6"/>
        <v>2173</v>
      </c>
      <c r="V44">
        <f t="shared" si="7"/>
        <v>0</v>
      </c>
      <c r="W44">
        <f t="shared" si="8"/>
        <v>0</v>
      </c>
      <c r="X44">
        <f t="shared" si="9"/>
        <v>0</v>
      </c>
      <c r="Y44">
        <f t="shared" si="10"/>
        <v>0</v>
      </c>
      <c r="Z44">
        <f t="shared" si="11"/>
        <v>-439.236468434296</v>
      </c>
      <c r="AA44">
        <f t="shared" si="12"/>
        <v>258.39898731432635</v>
      </c>
      <c r="AB44">
        <f t="shared" si="13"/>
        <v>246.94489776828146</v>
      </c>
      <c r="AC44">
        <f t="shared" si="14"/>
        <v>248.83470625904454</v>
      </c>
      <c r="AD44">
        <f t="shared" si="15"/>
        <v>334.35330100401876</v>
      </c>
      <c r="AE44">
        <f t="shared" si="16"/>
        <v>211.20710647449943</v>
      </c>
      <c r="AF44">
        <f t="shared" si="17"/>
        <v>1000</v>
      </c>
      <c r="AG44">
        <f t="shared" si="18"/>
        <v>-887.81675592866623</v>
      </c>
      <c r="AH44">
        <f t="shared" si="19"/>
        <v>3060.8167559286662</v>
      </c>
      <c r="AI44" s="5">
        <f t="shared" si="2"/>
        <v>0.46019328117809477</v>
      </c>
      <c r="AJ44" s="5">
        <f t="shared" si="3"/>
        <v>0</v>
      </c>
      <c r="AK44" s="5">
        <f t="shared" si="4"/>
        <v>0.32671018219664555</v>
      </c>
    </row>
    <row r="45" spans="1:37" hidden="1" x14ac:dyDescent="0.3">
      <c r="A45">
        <v>4946651</v>
      </c>
      <c r="B45" t="s">
        <v>32</v>
      </c>
      <c r="C45">
        <v>12.16666666666667</v>
      </c>
      <c r="D45">
        <v>33606.418449616584</v>
      </c>
      <c r="I45">
        <v>3804.175059667919</v>
      </c>
      <c r="J45">
        <v>3732.6962629140621</v>
      </c>
      <c r="K45">
        <v>124.368167327622</v>
      </c>
      <c r="L45">
        <v>-8.3546193103529731</v>
      </c>
      <c r="M45">
        <v>12917.88465460806</v>
      </c>
      <c r="N45">
        <v>6681.0121049789605</v>
      </c>
      <c r="O45">
        <v>15465.447974973111</v>
      </c>
      <c r="P45" s="2">
        <v>43903.291666666657</v>
      </c>
      <c r="Q45" s="2">
        <v>43905.052083333343</v>
      </c>
      <c r="R45">
        <v>118118.4233554133</v>
      </c>
      <c r="S45">
        <v>9.3667740476791543</v>
      </c>
      <c r="T45">
        <f t="shared" si="5"/>
        <v>0.78669991883554369</v>
      </c>
      <c r="U45">
        <f t="shared" si="6"/>
        <v>2173.0000000000009</v>
      </c>
      <c r="V45">
        <f t="shared" si="7"/>
        <v>0</v>
      </c>
      <c r="W45">
        <f t="shared" si="8"/>
        <v>0</v>
      </c>
      <c r="X45">
        <f t="shared" si="9"/>
        <v>0</v>
      </c>
      <c r="Y45">
        <f t="shared" si="10"/>
        <v>0</v>
      </c>
      <c r="Z45">
        <f t="shared" si="11"/>
        <v>245.97897622002333</v>
      </c>
      <c r="AA45">
        <f t="shared" si="12"/>
        <v>241.35713811552569</v>
      </c>
      <c r="AB45">
        <f t="shared" si="13"/>
        <v>8.0416789432081259</v>
      </c>
      <c r="AC45">
        <f t="shared" si="14"/>
        <v>-0.54021191781012723</v>
      </c>
      <c r="AD45">
        <f t="shared" si="15"/>
        <v>835.27387473756767</v>
      </c>
      <c r="AE45">
        <f t="shared" si="16"/>
        <v>431.99602855284093</v>
      </c>
      <c r="AF45">
        <f t="shared" si="17"/>
        <v>1000</v>
      </c>
      <c r="AG45">
        <f t="shared" si="18"/>
        <v>-5464.568827398848</v>
      </c>
      <c r="AH45">
        <f t="shared" si="19"/>
        <v>7637.568827398849</v>
      </c>
      <c r="AI45" s="5">
        <f t="shared" si="2"/>
        <v>0.4601932811780946</v>
      </c>
      <c r="AJ45" s="5">
        <f t="shared" si="3"/>
        <v>0</v>
      </c>
      <c r="AK45" s="5">
        <f t="shared" si="4"/>
        <v>0.13093171696373088</v>
      </c>
    </row>
    <row r="46" spans="1:37" hidden="1" x14ac:dyDescent="0.3">
      <c r="A46">
        <v>4946772</v>
      </c>
      <c r="B46" t="s">
        <v>38</v>
      </c>
      <c r="C46">
        <v>49.5</v>
      </c>
      <c r="D46">
        <v>107550.2433905686</v>
      </c>
      <c r="I46">
        <v>14686.97952241458</v>
      </c>
      <c r="J46">
        <v>14654</v>
      </c>
      <c r="K46">
        <v>438</v>
      </c>
      <c r="L46">
        <v>-27847.886162707829</v>
      </c>
      <c r="M46">
        <v>43726</v>
      </c>
      <c r="N46">
        <v>21967</v>
      </c>
      <c r="O46">
        <v>47316.429120355722</v>
      </c>
      <c r="P46" s="2">
        <v>43905.052083333343</v>
      </c>
      <c r="Q46" s="2">
        <v>43907.114583333343</v>
      </c>
      <c r="R46">
        <v>121062.85214424841</v>
      </c>
      <c r="S46">
        <v>9.5691844604091347</v>
      </c>
      <c r="T46">
        <f t="shared" si="5"/>
        <v>1.0461482601337069</v>
      </c>
      <c r="U46">
        <f t="shared" si="6"/>
        <v>2273.0000000000009</v>
      </c>
      <c r="V46">
        <f t="shared" si="7"/>
        <v>0</v>
      </c>
      <c r="W46">
        <f t="shared" si="8"/>
        <v>0</v>
      </c>
      <c r="X46">
        <f t="shared" si="9"/>
        <v>0</v>
      </c>
      <c r="Y46">
        <f t="shared" si="10"/>
        <v>0</v>
      </c>
      <c r="Z46">
        <f t="shared" si="11"/>
        <v>310.39915300996756</v>
      </c>
      <c r="AA46">
        <f t="shared" si="12"/>
        <v>309.70215361614828</v>
      </c>
      <c r="AB46">
        <f t="shared" si="13"/>
        <v>9.2568270290618901</v>
      </c>
      <c r="AC46">
        <f t="shared" si="14"/>
        <v>-588.54581126299649</v>
      </c>
      <c r="AD46">
        <f t="shared" si="15"/>
        <v>924.11876409305989</v>
      </c>
      <c r="AE46">
        <f t="shared" si="16"/>
        <v>464.25735010822501</v>
      </c>
      <c r="AF46">
        <f t="shared" si="17"/>
        <v>1000.0000000000001</v>
      </c>
      <c r="AG46">
        <f t="shared" si="18"/>
        <v>-285.57963914201264</v>
      </c>
      <c r="AH46">
        <f t="shared" si="19"/>
        <v>2558.5796391420135</v>
      </c>
      <c r="AI46" s="5">
        <f t="shared" si="2"/>
        <v>0.43994720633523959</v>
      </c>
      <c r="AJ46" s="5">
        <f t="shared" si="3"/>
        <v>0</v>
      </c>
      <c r="AK46" s="5">
        <f t="shared" si="4"/>
        <v>0.39084185018189899</v>
      </c>
    </row>
    <row r="47" spans="1:37" hidden="1" x14ac:dyDescent="0.3">
      <c r="A47">
        <v>4947855</v>
      </c>
      <c r="B47" t="s">
        <v>32</v>
      </c>
      <c r="C47">
        <v>41</v>
      </c>
      <c r="D47">
        <v>83059.814483473427</v>
      </c>
      <c r="I47">
        <v>-16166.267262144211</v>
      </c>
      <c r="J47">
        <v>11279</v>
      </c>
      <c r="K47">
        <v>1721</v>
      </c>
      <c r="L47">
        <v>1778.377242318001</v>
      </c>
      <c r="M47">
        <v>39056</v>
      </c>
      <c r="N47">
        <v>18746</v>
      </c>
      <c r="O47">
        <v>38223.568561193482</v>
      </c>
      <c r="P47" s="2">
        <v>43907.118055555547</v>
      </c>
      <c r="Q47" s="2">
        <v>43909.152777777781</v>
      </c>
      <c r="R47">
        <v>114584.8060772914</v>
      </c>
      <c r="S47">
        <v>11.356479788698699</v>
      </c>
      <c r="T47">
        <f t="shared" si="5"/>
        <v>1.0726366360681794</v>
      </c>
      <c r="U47">
        <f t="shared" si="6"/>
        <v>2172.9999999999995</v>
      </c>
      <c r="V47">
        <f t="shared" si="7"/>
        <v>0</v>
      </c>
      <c r="W47">
        <f t="shared" si="8"/>
        <v>0</v>
      </c>
      <c r="X47">
        <f t="shared" si="9"/>
        <v>0</v>
      </c>
      <c r="Y47">
        <f t="shared" si="10"/>
        <v>0</v>
      </c>
      <c r="Z47">
        <f t="shared" si="11"/>
        <v>-422.93976911818299</v>
      </c>
      <c r="AA47">
        <f t="shared" si="12"/>
        <v>295.07972239543892</v>
      </c>
      <c r="AB47">
        <f t="shared" si="13"/>
        <v>45.024576845691143</v>
      </c>
      <c r="AC47">
        <f t="shared" si="14"/>
        <v>46.52567275268747</v>
      </c>
      <c r="AD47">
        <f t="shared" si="15"/>
        <v>1021.7779623970443</v>
      </c>
      <c r="AE47">
        <f t="shared" si="16"/>
        <v>490.4303995057096</v>
      </c>
      <c r="AF47">
        <f t="shared" si="17"/>
        <v>1000</v>
      </c>
      <c r="AG47">
        <f t="shared" si="18"/>
        <v>-824.7527057383063</v>
      </c>
      <c r="AH47">
        <f t="shared" si="19"/>
        <v>2997.7527057383058</v>
      </c>
      <c r="AI47" s="5">
        <f t="shared" si="2"/>
        <v>0.46019328117809488</v>
      </c>
      <c r="AJ47" s="5">
        <f t="shared" si="3"/>
        <v>0</v>
      </c>
      <c r="AK47" s="5">
        <f t="shared" si="4"/>
        <v>0.33358321988528189</v>
      </c>
    </row>
    <row r="48" spans="1:37" hidden="1" x14ac:dyDescent="0.3">
      <c r="A48">
        <v>4948442</v>
      </c>
      <c r="B48" t="s">
        <v>40</v>
      </c>
      <c r="C48">
        <v>20.166666666666661</v>
      </c>
      <c r="D48">
        <v>57008.337295498597</v>
      </c>
      <c r="I48">
        <v>6106.8275458989256</v>
      </c>
      <c r="J48">
        <v>5691</v>
      </c>
      <c r="K48">
        <v>2211</v>
      </c>
      <c r="L48">
        <v>2714.7587265084921</v>
      </c>
      <c r="M48">
        <v>13000</v>
      </c>
      <c r="N48">
        <v>8445</v>
      </c>
      <c r="O48">
        <v>32801.114669446833</v>
      </c>
      <c r="P48" s="2">
        <v>43909.152777777781</v>
      </c>
      <c r="Q48" s="2">
        <v>43909.993055555547</v>
      </c>
      <c r="R48">
        <v>56893.940599160393</v>
      </c>
      <c r="S48">
        <v>10.931100092538779</v>
      </c>
      <c r="T48">
        <f t="shared" si="5"/>
        <v>0.6148165045577324</v>
      </c>
      <c r="U48">
        <f t="shared" si="6"/>
        <v>1738</v>
      </c>
      <c r="V48">
        <f t="shared" si="7"/>
        <v>0</v>
      </c>
      <c r="W48">
        <f t="shared" si="8"/>
        <v>0</v>
      </c>
      <c r="X48">
        <f t="shared" si="9"/>
        <v>0</v>
      </c>
      <c r="Y48">
        <f t="shared" si="10"/>
        <v>0</v>
      </c>
      <c r="Z48">
        <f t="shared" si="11"/>
        <v>186.17743962180759</v>
      </c>
      <c r="AA48">
        <f t="shared" si="12"/>
        <v>173.50020136056474</v>
      </c>
      <c r="AB48">
        <f t="shared" si="13"/>
        <v>67.406245863329588</v>
      </c>
      <c r="AC48">
        <f t="shared" si="14"/>
        <v>82.76422169997781</v>
      </c>
      <c r="AD48">
        <f t="shared" si="15"/>
        <v>396.32799467357967</v>
      </c>
      <c r="AE48">
        <f t="shared" si="16"/>
        <v>257.46076269372156</v>
      </c>
      <c r="AF48">
        <f t="shared" si="17"/>
        <v>1000</v>
      </c>
      <c r="AG48">
        <f t="shared" si="18"/>
        <v>3.4875856351538914</v>
      </c>
      <c r="AH48">
        <f t="shared" si="19"/>
        <v>1734.5124143648461</v>
      </c>
      <c r="AI48" s="5">
        <f t="shared" si="2"/>
        <v>0.57537399309551207</v>
      </c>
      <c r="AJ48" s="5">
        <f t="shared" si="3"/>
        <v>0</v>
      </c>
      <c r="AK48" s="5">
        <f t="shared" si="4"/>
        <v>0.57653089808883606</v>
      </c>
    </row>
    <row r="49" spans="1:37" hidden="1" x14ac:dyDescent="0.3">
      <c r="A49">
        <v>4949662</v>
      </c>
      <c r="B49" t="s">
        <v>32</v>
      </c>
      <c r="C49">
        <v>14.66666666666667</v>
      </c>
      <c r="D49">
        <v>41414.503011522233</v>
      </c>
      <c r="I49">
        <v>4578.7023500741307</v>
      </c>
      <c r="J49">
        <v>5138.304572251569</v>
      </c>
      <c r="K49">
        <v>4426.7080352907651</v>
      </c>
      <c r="L49">
        <v>3956.8392548353158</v>
      </c>
      <c r="M49">
        <v>4878.0191644317219</v>
      </c>
      <c r="N49">
        <v>3630.0015864160541</v>
      </c>
      <c r="O49">
        <v>19058.676029232509</v>
      </c>
      <c r="P49" s="2">
        <v>43909.996527777781</v>
      </c>
      <c r="Q49" s="2">
        <v>43910.607638888891</v>
      </c>
      <c r="R49">
        <v>41414.374880905729</v>
      </c>
      <c r="S49">
        <v>10.28760396414379</v>
      </c>
      <c r="T49">
        <f t="shared" si="5"/>
        <v>0.76955328083496966</v>
      </c>
      <c r="U49">
        <f t="shared" si="6"/>
        <v>2172.9999999999995</v>
      </c>
      <c r="V49">
        <f t="shared" si="7"/>
        <v>0</v>
      </c>
      <c r="W49">
        <f t="shared" si="8"/>
        <v>0</v>
      </c>
      <c r="X49">
        <f t="shared" si="9"/>
        <v>0</v>
      </c>
      <c r="Y49">
        <f t="shared" si="10"/>
        <v>0</v>
      </c>
      <c r="Z49">
        <f t="shared" si="11"/>
        <v>240.24241469088631</v>
      </c>
      <c r="AA49">
        <f t="shared" si="12"/>
        <v>269.60448692083088</v>
      </c>
      <c r="AB49">
        <f t="shared" si="13"/>
        <v>232.26734262658158</v>
      </c>
      <c r="AC49">
        <f t="shared" si="14"/>
        <v>207.61354297466681</v>
      </c>
      <c r="AD49">
        <f t="shared" si="15"/>
        <v>255.94743081574691</v>
      </c>
      <c r="AE49">
        <f t="shared" si="16"/>
        <v>190.46452024517853</v>
      </c>
      <c r="AF49">
        <f t="shared" si="17"/>
        <v>1000</v>
      </c>
      <c r="AG49">
        <f t="shared" si="18"/>
        <v>6.7229547480565088E-3</v>
      </c>
      <c r="AH49">
        <f t="shared" si="19"/>
        <v>2172.9932770452515</v>
      </c>
      <c r="AI49" s="5">
        <f t="shared" si="2"/>
        <v>0.46019328117809488</v>
      </c>
      <c r="AJ49" s="5">
        <f t="shared" si="3"/>
        <v>0</v>
      </c>
      <c r="AK49" s="5">
        <f t="shared" si="4"/>
        <v>0.46019470495544268</v>
      </c>
    </row>
    <row r="50" spans="1:37" hidden="1" x14ac:dyDescent="0.3">
      <c r="A50">
        <v>4945145</v>
      </c>
      <c r="B50" t="s">
        <v>42</v>
      </c>
      <c r="C50">
        <v>33.416666666666671</v>
      </c>
      <c r="D50">
        <v>87471.674379071279</v>
      </c>
      <c r="I50">
        <v>15142.342835970439</v>
      </c>
      <c r="J50">
        <v>15359.314681414529</v>
      </c>
      <c r="K50">
        <v>3205.7610238726902</v>
      </c>
      <c r="L50">
        <v>3213.3167056100192</v>
      </c>
      <c r="M50">
        <v>30064.930936365519</v>
      </c>
      <c r="N50">
        <v>16631.44307317803</v>
      </c>
      <c r="O50">
        <v>40253.876842646692</v>
      </c>
      <c r="P50" s="2">
        <v>43910.611111111109</v>
      </c>
      <c r="Q50" s="2">
        <v>43912.357638888891</v>
      </c>
      <c r="R50">
        <v>109913.3680316432</v>
      </c>
      <c r="S50">
        <v>9.7993721628003545</v>
      </c>
      <c r="T50">
        <f t="shared" si="5"/>
        <v>0.83014778420705093</v>
      </c>
      <c r="U50">
        <f t="shared" si="6"/>
        <v>2173.0000000000005</v>
      </c>
      <c r="V50">
        <f t="shared" si="7"/>
        <v>0</v>
      </c>
      <c r="W50">
        <f t="shared" si="8"/>
        <v>0</v>
      </c>
      <c r="X50">
        <f t="shared" si="9"/>
        <v>0</v>
      </c>
      <c r="Y50">
        <f t="shared" si="10"/>
        <v>0</v>
      </c>
      <c r="Z50">
        <f t="shared" si="11"/>
        <v>376.1710429820759</v>
      </c>
      <c r="AA50">
        <f t="shared" si="12"/>
        <v>381.56112866977844</v>
      </c>
      <c r="AB50">
        <f t="shared" si="13"/>
        <v>79.638565905194227</v>
      </c>
      <c r="AC50">
        <f t="shared" si="14"/>
        <v>79.826266626962322</v>
      </c>
      <c r="AD50">
        <f t="shared" si="15"/>
        <v>746.88286680783585</v>
      </c>
      <c r="AE50">
        <f t="shared" si="16"/>
        <v>413.16375906327517</v>
      </c>
      <c r="AF50">
        <f t="shared" si="17"/>
        <v>1000.0000000000001</v>
      </c>
      <c r="AG50">
        <f t="shared" si="18"/>
        <v>-557.50390801604044</v>
      </c>
      <c r="AH50">
        <f t="shared" si="19"/>
        <v>2730.5039080160409</v>
      </c>
      <c r="AI50" s="5">
        <f t="shared" si="2"/>
        <v>0.46019328117809472</v>
      </c>
      <c r="AJ50" s="5">
        <f t="shared" si="3"/>
        <v>0</v>
      </c>
      <c r="AK50" s="5">
        <f t="shared" si="4"/>
        <v>0.36623276643708996</v>
      </c>
    </row>
    <row r="51" spans="1:37" hidden="1" x14ac:dyDescent="0.3">
      <c r="A51">
        <v>4950235</v>
      </c>
      <c r="B51" t="s">
        <v>32</v>
      </c>
      <c r="C51">
        <v>37.333333333333329</v>
      </c>
      <c r="D51">
        <v>73339.292835559376</v>
      </c>
      <c r="I51">
        <v>-16892.429396313699</v>
      </c>
      <c r="J51">
        <v>10497</v>
      </c>
      <c r="K51">
        <v>0</v>
      </c>
      <c r="L51">
        <v>158.86225426934431</v>
      </c>
      <c r="M51">
        <v>36232</v>
      </c>
      <c r="N51">
        <v>17346</v>
      </c>
      <c r="O51">
        <v>33750.2498092772</v>
      </c>
      <c r="P51" s="2">
        <v>43913.291666666657</v>
      </c>
      <c r="Q51" s="2">
        <v>43916.076388888891</v>
      </c>
      <c r="R51">
        <v>183190.82833823521</v>
      </c>
      <c r="S51">
        <v>9.1630580590951052</v>
      </c>
      <c r="T51">
        <f t="shared" si="5"/>
        <v>1.1061646519449233</v>
      </c>
      <c r="U51">
        <f t="shared" si="6"/>
        <v>2173.0000000000009</v>
      </c>
      <c r="V51">
        <f t="shared" si="7"/>
        <v>0</v>
      </c>
      <c r="W51">
        <f t="shared" si="8"/>
        <v>0</v>
      </c>
      <c r="X51">
        <f t="shared" si="9"/>
        <v>0</v>
      </c>
      <c r="Y51">
        <f t="shared" si="10"/>
        <v>0</v>
      </c>
      <c r="Z51">
        <f t="shared" si="11"/>
        <v>-500.51272188421967</v>
      </c>
      <c r="AA51">
        <f t="shared" si="12"/>
        <v>311.01992012854987</v>
      </c>
      <c r="AB51">
        <f t="shared" si="13"/>
        <v>0</v>
      </c>
      <c r="AC51">
        <f t="shared" si="14"/>
        <v>4.7069949160991564</v>
      </c>
      <c r="AD51">
        <f t="shared" si="15"/>
        <v>1073.5327947125481</v>
      </c>
      <c r="AE51">
        <f t="shared" si="16"/>
        <v>513.95175140991</v>
      </c>
      <c r="AF51">
        <f t="shared" si="17"/>
        <v>1000</v>
      </c>
      <c r="AG51">
        <f t="shared" si="18"/>
        <v>-3254.8362196856997</v>
      </c>
      <c r="AH51">
        <f t="shared" si="19"/>
        <v>5427.8362196857006</v>
      </c>
      <c r="AI51" s="5">
        <f t="shared" si="2"/>
        <v>0.46019328117809466</v>
      </c>
      <c r="AJ51" s="5">
        <f t="shared" si="3"/>
        <v>0</v>
      </c>
      <c r="AK51" s="5">
        <f t="shared" si="4"/>
        <v>0.184235477919027</v>
      </c>
    </row>
    <row r="52" spans="1:37" hidden="1" x14ac:dyDescent="0.3">
      <c r="A52">
        <v>4950231</v>
      </c>
      <c r="B52" t="s">
        <v>40</v>
      </c>
      <c r="C52">
        <v>18.833333333333339</v>
      </c>
      <c r="D52">
        <v>51379.466903636298</v>
      </c>
      <c r="I52">
        <v>6405.039143082412</v>
      </c>
      <c r="J52">
        <v>6440</v>
      </c>
      <c r="K52">
        <v>2471</v>
      </c>
      <c r="L52">
        <v>2416.3112021838492</v>
      </c>
      <c r="M52">
        <v>12642</v>
      </c>
      <c r="N52">
        <v>12243</v>
      </c>
      <c r="O52">
        <v>29562.409035463919</v>
      </c>
      <c r="P52" s="2">
        <v>43915.291666666657</v>
      </c>
      <c r="Q52" s="2">
        <v>43916.909722222219</v>
      </c>
      <c r="R52">
        <v>107991.799757136</v>
      </c>
      <c r="S52">
        <v>9.2230663278941201</v>
      </c>
      <c r="T52">
        <f t="shared" si="5"/>
        <v>0.63707031827955318</v>
      </c>
      <c r="U52">
        <f t="shared" si="6"/>
        <v>1738.0000000000002</v>
      </c>
      <c r="V52">
        <f t="shared" si="7"/>
        <v>0</v>
      </c>
      <c r="W52">
        <f t="shared" si="8"/>
        <v>0</v>
      </c>
      <c r="X52">
        <f t="shared" si="9"/>
        <v>0</v>
      </c>
      <c r="Y52">
        <f t="shared" si="10"/>
        <v>0</v>
      </c>
      <c r="Z52">
        <f t="shared" si="11"/>
        <v>216.66161020229245</v>
      </c>
      <c r="AA52">
        <f t="shared" si="12"/>
        <v>217.84422210904361</v>
      </c>
      <c r="AB52">
        <f t="shared" si="13"/>
        <v>83.585880874448264</v>
      </c>
      <c r="AC52">
        <f t="shared" si="14"/>
        <v>81.735936989613137</v>
      </c>
      <c r="AD52">
        <f t="shared" si="15"/>
        <v>427.63767948797039</v>
      </c>
      <c r="AE52">
        <f t="shared" si="16"/>
        <v>414.14080920512748</v>
      </c>
      <c r="AF52">
        <f t="shared" si="17"/>
        <v>1000</v>
      </c>
      <c r="AG52">
        <f t="shared" si="18"/>
        <v>-1915.0108093554188</v>
      </c>
      <c r="AH52">
        <f t="shared" si="19"/>
        <v>3653.010809355419</v>
      </c>
      <c r="AI52" s="5">
        <f t="shared" si="2"/>
        <v>0.57537399309551207</v>
      </c>
      <c r="AJ52" s="5">
        <f t="shared" si="3"/>
        <v>0</v>
      </c>
      <c r="AK52" s="5">
        <f t="shared" si="4"/>
        <v>0.27374679468206992</v>
      </c>
    </row>
    <row r="53" spans="1:37" hidden="1" x14ac:dyDescent="0.3">
      <c r="A53">
        <v>4952854</v>
      </c>
      <c r="B53" t="s">
        <v>33</v>
      </c>
      <c r="C53">
        <v>29.083333333333329</v>
      </c>
      <c r="D53">
        <v>81870.741666358706</v>
      </c>
      <c r="I53">
        <v>-17605.727088991011</v>
      </c>
      <c r="J53">
        <v>9958.7907915303367</v>
      </c>
      <c r="K53">
        <v>10221.771313285501</v>
      </c>
      <c r="L53">
        <v>-16511.765219595589</v>
      </c>
      <c r="M53">
        <v>16484.94971710036</v>
      </c>
      <c r="N53">
        <v>11969.08457972078</v>
      </c>
      <c r="O53">
        <v>37676.36523992577</v>
      </c>
      <c r="P53" s="2">
        <v>43916.291666666657</v>
      </c>
      <c r="Q53" s="2">
        <v>43918.284722222219</v>
      </c>
      <c r="R53">
        <v>133719.96814471629</v>
      </c>
      <c r="S53">
        <v>9.3669348395407859</v>
      </c>
      <c r="T53">
        <f t="shared" si="5"/>
        <v>0.77192513524403417</v>
      </c>
      <c r="U53">
        <f t="shared" si="6"/>
        <v>2173.0000000000005</v>
      </c>
      <c r="V53">
        <f t="shared" si="7"/>
        <v>0</v>
      </c>
      <c r="W53">
        <f t="shared" si="8"/>
        <v>0</v>
      </c>
      <c r="X53">
        <f t="shared" si="9"/>
        <v>0</v>
      </c>
      <c r="Y53">
        <f t="shared" si="10"/>
        <v>0</v>
      </c>
      <c r="Z53">
        <f t="shared" si="11"/>
        <v>-467.2883643864393</v>
      </c>
      <c r="AA53">
        <f t="shared" si="12"/>
        <v>264.32461645681718</v>
      </c>
      <c r="AB53">
        <f t="shared" si="13"/>
        <v>271.30460298366188</v>
      </c>
      <c r="AC53">
        <f t="shared" si="14"/>
        <v>-438.25260516632892</v>
      </c>
      <c r="AD53">
        <f t="shared" si="15"/>
        <v>437.540872430847</v>
      </c>
      <c r="AE53">
        <f t="shared" si="16"/>
        <v>317.68150944234668</v>
      </c>
      <c r="AF53">
        <f t="shared" si="17"/>
        <v>1000</v>
      </c>
      <c r="AG53">
        <f t="shared" si="18"/>
        <v>-1376.1737935222259</v>
      </c>
      <c r="AH53">
        <f t="shared" si="19"/>
        <v>3549.1737935222263</v>
      </c>
      <c r="AI53" s="5">
        <f t="shared" si="2"/>
        <v>0.46019328117809477</v>
      </c>
      <c r="AJ53" s="5">
        <f t="shared" si="3"/>
        <v>0</v>
      </c>
      <c r="AK53" s="5">
        <f t="shared" si="4"/>
        <v>0.28175571504138508</v>
      </c>
    </row>
    <row r="54" spans="1:37" hidden="1" x14ac:dyDescent="0.3">
      <c r="A54">
        <v>4953616</v>
      </c>
      <c r="B54" t="s">
        <v>38</v>
      </c>
      <c r="C54">
        <v>12.16666666666667</v>
      </c>
      <c r="D54">
        <v>31102.76981997351</v>
      </c>
      <c r="I54">
        <v>3584.0429858398579</v>
      </c>
      <c r="J54">
        <v>3660.479572032461</v>
      </c>
      <c r="K54">
        <v>1681.7420373688931</v>
      </c>
      <c r="L54">
        <v>1756.2204538820511</v>
      </c>
      <c r="M54">
        <v>11405.077700769511</v>
      </c>
      <c r="N54">
        <v>7962.5017478253903</v>
      </c>
      <c r="O54">
        <v>13683.576691585349</v>
      </c>
      <c r="P54" s="2">
        <v>43918.291666666657</v>
      </c>
      <c r="Q54" s="2">
        <v>43918.798611111109</v>
      </c>
      <c r="R54">
        <v>31380.165488312228</v>
      </c>
      <c r="S54">
        <v>9.5781613514044963</v>
      </c>
      <c r="T54">
        <f t="shared" si="5"/>
        <v>0.88914374807783292</v>
      </c>
      <c r="U54">
        <f t="shared" si="6"/>
        <v>2273.0000000000009</v>
      </c>
      <c r="V54">
        <f t="shared" si="7"/>
        <v>0</v>
      </c>
      <c r="W54">
        <f t="shared" si="8"/>
        <v>0</v>
      </c>
      <c r="X54">
        <f t="shared" si="9"/>
        <v>0</v>
      </c>
      <c r="Y54">
        <f t="shared" si="10"/>
        <v>0</v>
      </c>
      <c r="Z54">
        <f t="shared" si="11"/>
        <v>261.9229655097302</v>
      </c>
      <c r="AA54">
        <f t="shared" si="12"/>
        <v>267.50897477583152</v>
      </c>
      <c r="AB54">
        <f t="shared" si="13"/>
        <v>122.90222617037492</v>
      </c>
      <c r="AC54">
        <f t="shared" si="14"/>
        <v>128.34513179306626</v>
      </c>
      <c r="AD54">
        <f t="shared" si="15"/>
        <v>833.48659183406403</v>
      </c>
      <c r="AE54">
        <f t="shared" si="16"/>
        <v>581.90208066885714</v>
      </c>
      <c r="AF54">
        <f t="shared" si="17"/>
        <v>1000</v>
      </c>
      <c r="AG54">
        <f t="shared" si="18"/>
        <v>-20.2721608970337</v>
      </c>
      <c r="AH54">
        <f t="shared" si="19"/>
        <v>2293.2721608970346</v>
      </c>
      <c r="AI54" s="5">
        <f t="shared" si="2"/>
        <v>0.43994720633523959</v>
      </c>
      <c r="AJ54" s="5">
        <f t="shared" si="3"/>
        <v>0</v>
      </c>
      <c r="AK54" s="5">
        <f t="shared" si="4"/>
        <v>0.43605814305478718</v>
      </c>
    </row>
    <row r="55" spans="1:37" hidden="1" x14ac:dyDescent="0.3">
      <c r="A55">
        <v>4953614</v>
      </c>
      <c r="B55" t="s">
        <v>35</v>
      </c>
      <c r="C55">
        <v>21.833333333333339</v>
      </c>
      <c r="D55">
        <v>40388.538015036829</v>
      </c>
      <c r="I55">
        <v>-45397.534502455739</v>
      </c>
      <c r="J55">
        <v>5824.5943194676756</v>
      </c>
      <c r="K55">
        <v>25412.348589356749</v>
      </c>
      <c r="L55">
        <v>-35093.203218561823</v>
      </c>
      <c r="M55">
        <v>0</v>
      </c>
      <c r="N55">
        <v>20525.274516507001</v>
      </c>
      <c r="O55">
        <v>15752.15991226085</v>
      </c>
      <c r="P55" s="2">
        <v>43918.291666666657</v>
      </c>
      <c r="Q55" s="2">
        <v>43919.75</v>
      </c>
      <c r="R55">
        <v>73876.264575704481</v>
      </c>
      <c r="S55">
        <v>9.5314130253216636</v>
      </c>
      <c r="T55">
        <f t="shared" si="5"/>
        <v>1.3860533066541019</v>
      </c>
      <c r="U55">
        <f t="shared" si="6"/>
        <v>2564.0000000000005</v>
      </c>
      <c r="V55">
        <f t="shared" si="7"/>
        <v>0</v>
      </c>
      <c r="W55">
        <f t="shared" si="8"/>
        <v>0</v>
      </c>
      <c r="X55">
        <f t="shared" si="9"/>
        <v>0</v>
      </c>
      <c r="Y55">
        <f t="shared" si="10"/>
        <v>0</v>
      </c>
      <c r="Z55">
        <f t="shared" si="11"/>
        <v>-2881.9879150109518</v>
      </c>
      <c r="AA55">
        <f t="shared" si="12"/>
        <v>369.76480380535276</v>
      </c>
      <c r="AB55">
        <f t="shared" si="13"/>
        <v>1613.261211853036</v>
      </c>
      <c r="AC55">
        <f t="shared" si="14"/>
        <v>-2227.8343677330672</v>
      </c>
      <c r="AD55">
        <f t="shared" si="15"/>
        <v>0</v>
      </c>
      <c r="AE55">
        <f t="shared" si="16"/>
        <v>1303.0133410803523</v>
      </c>
      <c r="AF55">
        <f t="shared" si="17"/>
        <v>1000</v>
      </c>
      <c r="AG55">
        <f t="shared" si="18"/>
        <v>-2125.9133190110747</v>
      </c>
      <c r="AH55">
        <f t="shared" si="19"/>
        <v>4689.9133190110751</v>
      </c>
      <c r="AI55" s="5">
        <f t="shared" si="2"/>
        <v>0.39001560062402485</v>
      </c>
      <c r="AJ55" s="5">
        <f t="shared" si="3"/>
        <v>0</v>
      </c>
      <c r="AK55" s="5">
        <f t="shared" si="4"/>
        <v>0.21322355702106285</v>
      </c>
    </row>
    <row r="56" spans="1:37" hidden="1" x14ac:dyDescent="0.3">
      <c r="A56">
        <v>4953618</v>
      </c>
      <c r="B56" t="s">
        <v>34</v>
      </c>
      <c r="C56">
        <v>9.0833333333333339</v>
      </c>
      <c r="D56">
        <v>14696.438917246511</v>
      </c>
      <c r="I56">
        <v>3535.2990010833591</v>
      </c>
      <c r="J56">
        <v>3518</v>
      </c>
      <c r="K56">
        <v>7293</v>
      </c>
      <c r="L56">
        <v>7345.0288047500944</v>
      </c>
      <c r="M56">
        <v>0</v>
      </c>
      <c r="N56">
        <v>7710</v>
      </c>
      <c r="O56">
        <v>5731.840451344191</v>
      </c>
      <c r="P56" s="2">
        <v>43919.75</v>
      </c>
      <c r="Q56" s="2">
        <v>43920.128472222219</v>
      </c>
      <c r="R56">
        <v>16624.46731268298</v>
      </c>
      <c r="S56">
        <v>8.7387408494949348</v>
      </c>
      <c r="T56">
        <f t="shared" si="5"/>
        <v>1.5847149637954725</v>
      </c>
      <c r="U56">
        <f t="shared" si="6"/>
        <v>2564.0000000000009</v>
      </c>
      <c r="V56">
        <f t="shared" si="7"/>
        <v>0</v>
      </c>
      <c r="W56">
        <f t="shared" si="8"/>
        <v>0</v>
      </c>
      <c r="X56">
        <f t="shared" si="9"/>
        <v>0</v>
      </c>
      <c r="Y56">
        <f t="shared" si="10"/>
        <v>0</v>
      </c>
      <c r="Z56">
        <f t="shared" si="11"/>
        <v>616.78252056968643</v>
      </c>
      <c r="AA56">
        <f t="shared" si="12"/>
        <v>613.76446707880416</v>
      </c>
      <c r="AB56">
        <f t="shared" si="13"/>
        <v>1272.3661905644456</v>
      </c>
      <c r="AC56">
        <f t="shared" si="14"/>
        <v>1281.4433456583024</v>
      </c>
      <c r="AD56">
        <f t="shared" si="15"/>
        <v>0</v>
      </c>
      <c r="AE56">
        <f t="shared" si="16"/>
        <v>1345.1176922051111</v>
      </c>
      <c r="AF56">
        <f t="shared" si="17"/>
        <v>1000</v>
      </c>
      <c r="AG56">
        <f t="shared" si="18"/>
        <v>-336.37160904999064</v>
      </c>
      <c r="AH56">
        <f t="shared" si="19"/>
        <v>2900.3716090499915</v>
      </c>
      <c r="AI56" s="5">
        <f t="shared" si="2"/>
        <v>0.39001560062402485</v>
      </c>
      <c r="AJ56" s="5">
        <f t="shared" si="3"/>
        <v>0</v>
      </c>
      <c r="AK56" s="5">
        <f t="shared" si="4"/>
        <v>0.34478340529872559</v>
      </c>
    </row>
    <row r="57" spans="1:37" hidden="1" x14ac:dyDescent="0.3">
      <c r="A57">
        <v>4954491</v>
      </c>
      <c r="B57" t="s">
        <v>31</v>
      </c>
      <c r="C57">
        <v>279.41666666666657</v>
      </c>
      <c r="D57">
        <v>0</v>
      </c>
      <c r="E57">
        <v>487063.88475358038</v>
      </c>
      <c r="F57">
        <v>59556.926644373707</v>
      </c>
      <c r="G57">
        <v>427506.95810920658</v>
      </c>
      <c r="H57">
        <v>0</v>
      </c>
      <c r="I57">
        <v>-7423.739605355715</v>
      </c>
      <c r="J57">
        <v>129599.5924759442</v>
      </c>
      <c r="K57">
        <v>321712.62710314931</v>
      </c>
      <c r="L57">
        <v>21497.863096272671</v>
      </c>
      <c r="M57">
        <v>0</v>
      </c>
      <c r="N57">
        <v>262755</v>
      </c>
      <c r="O57">
        <v>231935.04035884779</v>
      </c>
      <c r="P57" s="2">
        <v>43922.291666666657</v>
      </c>
      <c r="Q57" s="2">
        <v>43935.4375</v>
      </c>
      <c r="R57">
        <v>151728.25411292669</v>
      </c>
      <c r="S57">
        <v>5.0041666030883789</v>
      </c>
      <c r="T57">
        <f t="shared" si="5"/>
        <v>1.204719503505618</v>
      </c>
      <c r="U57">
        <f t="shared" si="6"/>
        <v>0</v>
      </c>
      <c r="V57">
        <f t="shared" si="7"/>
        <v>2100.001293465617</v>
      </c>
      <c r="W57">
        <f t="shared" si="8"/>
        <v>256.78278949238444</v>
      </c>
      <c r="X57">
        <f t="shared" si="9"/>
        <v>1843.2185039732317</v>
      </c>
      <c r="Y57">
        <f t="shared" si="10"/>
        <v>0</v>
      </c>
      <c r="Z57">
        <f t="shared" si="11"/>
        <v>-32.007839754914876</v>
      </c>
      <c r="AA57">
        <f t="shared" si="12"/>
        <v>558.77538933068877</v>
      </c>
      <c r="AB57">
        <f t="shared" si="13"/>
        <v>1387.0807386645779</v>
      </c>
      <c r="AC57">
        <f t="shared" si="14"/>
        <v>92.689155821437637</v>
      </c>
      <c r="AD57">
        <f t="shared" si="15"/>
        <v>0</v>
      </c>
      <c r="AE57">
        <f t="shared" si="16"/>
        <v>1132.8818603410155</v>
      </c>
      <c r="AF57">
        <f t="shared" si="17"/>
        <v>1000</v>
      </c>
      <c r="AG57">
        <f t="shared" si="18"/>
        <v>-654.18426589692581</v>
      </c>
      <c r="AH57">
        <f t="shared" si="19"/>
        <v>654.18426589692581</v>
      </c>
      <c r="AI57" s="5">
        <f t="shared" si="2"/>
        <v>0</v>
      </c>
      <c r="AJ57" s="5">
        <f t="shared" si="3"/>
        <v>0.47619018288779591</v>
      </c>
      <c r="AK57" s="5">
        <f t="shared" si="4"/>
        <v>1.528621295452498</v>
      </c>
    </row>
    <row r="58" spans="1:37" hidden="1" x14ac:dyDescent="0.3">
      <c r="A58">
        <v>4959677</v>
      </c>
      <c r="B58" t="s">
        <v>31</v>
      </c>
      <c r="C58">
        <v>88.583333333333329</v>
      </c>
      <c r="D58">
        <v>0</v>
      </c>
      <c r="E58">
        <v>134656.15350144441</v>
      </c>
      <c r="F58">
        <v>18064.109923819211</v>
      </c>
      <c r="G58">
        <v>116592.0435776252</v>
      </c>
      <c r="H58">
        <v>15724.759166666679</v>
      </c>
      <c r="I58">
        <v>-13624.142712582599</v>
      </c>
      <c r="J58">
        <v>43928.780612846189</v>
      </c>
      <c r="K58">
        <v>95771.6640841646</v>
      </c>
      <c r="L58">
        <v>-17983.975997216919</v>
      </c>
      <c r="M58">
        <v>0</v>
      </c>
      <c r="N58">
        <v>76691.316835398713</v>
      </c>
      <c r="O58">
        <v>71610.291746719566</v>
      </c>
      <c r="P58" s="2">
        <v>43935.291666666657</v>
      </c>
      <c r="Q58" s="2">
        <v>43939.708333333343</v>
      </c>
      <c r="R58">
        <v>98369.208462091206</v>
      </c>
      <c r="S58">
        <v>5.0042372234797066</v>
      </c>
      <c r="T58">
        <f t="shared" si="5"/>
        <v>1.237019584372679</v>
      </c>
      <c r="U58">
        <f t="shared" si="6"/>
        <v>0</v>
      </c>
      <c r="V58">
        <f t="shared" si="7"/>
        <v>1880.4022468964865</v>
      </c>
      <c r="W58">
        <f t="shared" si="8"/>
        <v>252.2557789278483</v>
      </c>
      <c r="X58">
        <f t="shared" si="9"/>
        <v>1628.1464679686385</v>
      </c>
      <c r="Y58">
        <f t="shared" si="10"/>
        <v>219.58797797227271</v>
      </c>
      <c r="Z58">
        <f t="shared" si="11"/>
        <v>-190.25397579401309</v>
      </c>
      <c r="AA58">
        <f t="shared" si="12"/>
        <v>613.44227961281206</v>
      </c>
      <c r="AB58">
        <f t="shared" si="13"/>
        <v>1337.400836501296</v>
      </c>
      <c r="AC58">
        <f t="shared" si="14"/>
        <v>-251.13675085733411</v>
      </c>
      <c r="AD58">
        <f t="shared" si="15"/>
        <v>0</v>
      </c>
      <c r="AE58">
        <f t="shared" si="16"/>
        <v>1070.9538386835563</v>
      </c>
      <c r="AF58">
        <f t="shared" si="17"/>
        <v>1000</v>
      </c>
      <c r="AG58">
        <f t="shared" si="18"/>
        <v>-1373.674175354794</v>
      </c>
      <c r="AH58">
        <f t="shared" si="19"/>
        <v>1373.674175354794</v>
      </c>
      <c r="AI58" s="5">
        <f t="shared" si="2"/>
        <v>0</v>
      </c>
      <c r="AJ58" s="5">
        <f t="shared" si="3"/>
        <v>0.4761926927838418</v>
      </c>
      <c r="AK58" s="5">
        <f t="shared" si="4"/>
        <v>0.72797466673035405</v>
      </c>
    </row>
    <row r="59" spans="1:37" hidden="1" x14ac:dyDescent="0.3">
      <c r="A59">
        <v>4962205</v>
      </c>
      <c r="B59" t="s">
        <v>31</v>
      </c>
      <c r="C59">
        <v>106.1666666666667</v>
      </c>
      <c r="D59">
        <v>0</v>
      </c>
      <c r="E59">
        <v>185685.57333333269</v>
      </c>
      <c r="F59">
        <v>138973.20629333291</v>
      </c>
      <c r="G59">
        <v>46712.367039999859</v>
      </c>
      <c r="H59">
        <v>0</v>
      </c>
      <c r="I59">
        <v>-1750.251632254771</v>
      </c>
      <c r="J59">
        <v>53760</v>
      </c>
      <c r="K59">
        <v>120758</v>
      </c>
      <c r="L59">
        <v>-14790.03741404514</v>
      </c>
      <c r="M59">
        <v>0</v>
      </c>
      <c r="N59">
        <v>98944</v>
      </c>
      <c r="O59">
        <v>88421.701587301301</v>
      </c>
      <c r="P59" s="2">
        <v>43952.291666666657</v>
      </c>
      <c r="Q59" s="2">
        <v>43956.715277777781</v>
      </c>
      <c r="R59">
        <v>2523.8319292669439</v>
      </c>
      <c r="S59">
        <v>5.0038888295491537</v>
      </c>
      <c r="T59">
        <f t="shared" si="5"/>
        <v>1.2006856321560979</v>
      </c>
      <c r="U59">
        <f t="shared" si="6"/>
        <v>0</v>
      </c>
      <c r="V59">
        <f t="shared" si="7"/>
        <v>2099.9999999999995</v>
      </c>
      <c r="W59">
        <f t="shared" si="8"/>
        <v>1571.7092500885728</v>
      </c>
      <c r="X59">
        <f t="shared" si="9"/>
        <v>528.29074991142738</v>
      </c>
      <c r="Y59">
        <f t="shared" si="10"/>
        <v>0</v>
      </c>
      <c r="Z59">
        <f t="shared" si="11"/>
        <v>-19.794367229256462</v>
      </c>
      <c r="AA59">
        <f t="shared" si="12"/>
        <v>607.99553768959311</v>
      </c>
      <c r="AB59">
        <f t="shared" si="13"/>
        <v>1365.7054527589264</v>
      </c>
      <c r="AC59">
        <f t="shared" si="14"/>
        <v>-167.26705264139832</v>
      </c>
      <c r="AD59">
        <f t="shared" si="15"/>
        <v>0</v>
      </c>
      <c r="AE59">
        <f t="shared" si="16"/>
        <v>1119.0013110334653</v>
      </c>
      <c r="AF59">
        <f t="shared" si="17"/>
        <v>1000</v>
      </c>
      <c r="AG59">
        <f t="shared" si="18"/>
        <v>-28.543127806414038</v>
      </c>
      <c r="AH59">
        <f t="shared" si="19"/>
        <v>28.543127806414038</v>
      </c>
      <c r="AI59" s="5">
        <f t="shared" si="2"/>
        <v>0</v>
      </c>
      <c r="AJ59" s="5">
        <f t="shared" si="3"/>
        <v>0.47619047619047628</v>
      </c>
      <c r="AK59" s="5">
        <f t="shared" si="4"/>
        <v>35.034702811206493</v>
      </c>
    </row>
    <row r="60" spans="1:37" hidden="1" x14ac:dyDescent="0.3">
      <c r="A60">
        <v>4969784</v>
      </c>
      <c r="B60" t="s">
        <v>32</v>
      </c>
      <c r="C60">
        <v>9.5</v>
      </c>
      <c r="D60">
        <v>16891.890805555639</v>
      </c>
      <c r="I60">
        <v>2922.0848888079299</v>
      </c>
      <c r="J60">
        <v>2971</v>
      </c>
      <c r="K60">
        <v>1122</v>
      </c>
      <c r="L60">
        <v>2248.1224259030341</v>
      </c>
      <c r="M60">
        <v>0</v>
      </c>
      <c r="N60">
        <v>726</v>
      </c>
      <c r="O60">
        <v>7773.5346551107414</v>
      </c>
      <c r="P60" s="2">
        <v>43957.291666666657</v>
      </c>
      <c r="Q60" s="2">
        <v>43957.6875</v>
      </c>
      <c r="R60">
        <v>17662.51363797356</v>
      </c>
      <c r="S60">
        <v>9.0021550333985711</v>
      </c>
      <c r="T60">
        <f t="shared" si="5"/>
        <v>1.2220952785942991</v>
      </c>
      <c r="U60">
        <f t="shared" si="6"/>
        <v>2172.9999999999995</v>
      </c>
      <c r="V60">
        <f t="shared" si="7"/>
        <v>0</v>
      </c>
      <c r="W60">
        <f t="shared" si="8"/>
        <v>0</v>
      </c>
      <c r="X60">
        <f t="shared" si="9"/>
        <v>0</v>
      </c>
      <c r="Y60">
        <f t="shared" si="10"/>
        <v>0</v>
      </c>
      <c r="Z60">
        <f t="shared" si="11"/>
        <v>375.9016996067283</v>
      </c>
      <c r="AA60">
        <f t="shared" si="12"/>
        <v>382.19421817933289</v>
      </c>
      <c r="AB60">
        <f t="shared" si="13"/>
        <v>144.33588448240039</v>
      </c>
      <c r="AC60">
        <f t="shared" si="14"/>
        <v>289.20208446295368</v>
      </c>
      <c r="AD60">
        <f t="shared" si="15"/>
        <v>0</v>
      </c>
      <c r="AE60">
        <f t="shared" si="16"/>
        <v>93.39380760625906</v>
      </c>
      <c r="AF60">
        <f t="shared" si="17"/>
        <v>1000</v>
      </c>
      <c r="AG60">
        <f t="shared" si="18"/>
        <v>-99.134160534200873</v>
      </c>
      <c r="AH60">
        <f t="shared" si="19"/>
        <v>2272.1341605342004</v>
      </c>
      <c r="AI60" s="5">
        <f t="shared" si="2"/>
        <v>0.46019328117809488</v>
      </c>
      <c r="AJ60" s="5">
        <f t="shared" si="3"/>
        <v>0</v>
      </c>
      <c r="AK60" s="5">
        <f t="shared" si="4"/>
        <v>0.44011485649460524</v>
      </c>
    </row>
    <row r="61" spans="1:37" hidden="1" x14ac:dyDescent="0.3">
      <c r="A61">
        <v>4969789</v>
      </c>
      <c r="B61" t="s">
        <v>38</v>
      </c>
      <c r="C61">
        <v>2.083333333333333</v>
      </c>
      <c r="D61">
        <v>5391.6624601663962</v>
      </c>
      <c r="I61">
        <v>786.69974081039129</v>
      </c>
      <c r="J61">
        <v>749</v>
      </c>
      <c r="K61">
        <v>672</v>
      </c>
      <c r="L61">
        <v>688.1723012415506</v>
      </c>
      <c r="M61">
        <v>0</v>
      </c>
      <c r="N61">
        <v>752</v>
      </c>
      <c r="O61">
        <v>2372.0468368527918</v>
      </c>
      <c r="P61" s="2">
        <v>43957.291666666657</v>
      </c>
      <c r="Q61" s="2">
        <v>43957.378472222219</v>
      </c>
      <c r="R61">
        <v>0.52083333333333337</v>
      </c>
      <c r="T61">
        <f t="shared" si="5"/>
        <v>0.87828507471525263</v>
      </c>
      <c r="U61">
        <f t="shared" si="6"/>
        <v>2273.0000000000005</v>
      </c>
      <c r="V61">
        <f t="shared" si="7"/>
        <v>0</v>
      </c>
      <c r="W61">
        <f t="shared" si="8"/>
        <v>0</v>
      </c>
      <c r="X61">
        <f t="shared" si="9"/>
        <v>0</v>
      </c>
      <c r="Y61">
        <f t="shared" si="10"/>
        <v>0</v>
      </c>
      <c r="Z61">
        <f t="shared" si="11"/>
        <v>331.65438750533974</v>
      </c>
      <c r="AA61">
        <f t="shared" si="12"/>
        <v>315.76105006162771</v>
      </c>
      <c r="AB61">
        <f t="shared" si="13"/>
        <v>283.29963370015196</v>
      </c>
      <c r="AC61">
        <f t="shared" si="14"/>
        <v>290.11750128619332</v>
      </c>
      <c r="AD61">
        <f t="shared" si="15"/>
        <v>0</v>
      </c>
      <c r="AE61">
        <f t="shared" si="16"/>
        <v>317.02578056921766</v>
      </c>
      <c r="AF61">
        <f t="shared" si="17"/>
        <v>1000</v>
      </c>
      <c r="AG61">
        <f t="shared" si="18"/>
        <v>2272.7804287313215</v>
      </c>
      <c r="AH61">
        <f t="shared" si="19"/>
        <v>0.21957126867881321</v>
      </c>
      <c r="AI61" s="5">
        <f t="shared" si="2"/>
        <v>0.43994720633523976</v>
      </c>
      <c r="AJ61" s="5">
        <f t="shared" si="3"/>
        <v>0</v>
      </c>
      <c r="AK61" s="5">
        <f t="shared" si="4"/>
        <v>4554.3299267573602</v>
      </c>
    </row>
    <row r="62" spans="1:37" hidden="1" x14ac:dyDescent="0.3">
      <c r="A62">
        <v>4969787</v>
      </c>
      <c r="B62" t="s">
        <v>37</v>
      </c>
      <c r="C62">
        <v>38.5</v>
      </c>
      <c r="D62">
        <v>70745.507668544669</v>
      </c>
      <c r="I62">
        <v>-11874.28012681747</v>
      </c>
      <c r="J62">
        <v>16088</v>
      </c>
      <c r="K62">
        <v>17350</v>
      </c>
      <c r="L62">
        <v>17392.83007904371</v>
      </c>
      <c r="M62">
        <v>0</v>
      </c>
      <c r="N62">
        <v>-1880.226009690625</v>
      </c>
      <c r="O62">
        <v>27591.851664799011</v>
      </c>
      <c r="P62" s="2">
        <v>43957.291666666657</v>
      </c>
      <c r="Q62" s="2">
        <v>43959.708333333343</v>
      </c>
      <c r="R62">
        <v>111558.8442667327</v>
      </c>
      <c r="S62">
        <v>8.020948655880785</v>
      </c>
      <c r="T62">
        <f t="shared" si="5"/>
        <v>1.3953394816599907</v>
      </c>
      <c r="U62">
        <f t="shared" si="6"/>
        <v>2564</v>
      </c>
      <c r="V62">
        <f t="shared" si="7"/>
        <v>0</v>
      </c>
      <c r="W62">
        <f t="shared" si="8"/>
        <v>0</v>
      </c>
      <c r="X62">
        <f t="shared" si="9"/>
        <v>0</v>
      </c>
      <c r="Y62">
        <f t="shared" si="10"/>
        <v>0</v>
      </c>
      <c r="Z62">
        <f t="shared" si="11"/>
        <v>-430.35459421400043</v>
      </c>
      <c r="AA62">
        <f t="shared" si="12"/>
        <v>583.07069041417992</v>
      </c>
      <c r="AB62">
        <f t="shared" si="13"/>
        <v>628.80883134547628</v>
      </c>
      <c r="AC62">
        <f t="shared" si="14"/>
        <v>630.36110408034131</v>
      </c>
      <c r="AD62">
        <f t="shared" si="15"/>
        <v>0</v>
      </c>
      <c r="AE62">
        <f t="shared" si="16"/>
        <v>-68.14424898091815</v>
      </c>
      <c r="AF62">
        <f t="shared" si="17"/>
        <v>1000</v>
      </c>
      <c r="AG62">
        <f t="shared" si="18"/>
        <v>-1479.1807774994918</v>
      </c>
      <c r="AH62">
        <f t="shared" si="19"/>
        <v>4043.1807774994918</v>
      </c>
      <c r="AI62" s="5">
        <f t="shared" si="2"/>
        <v>0.39001560062402491</v>
      </c>
      <c r="AJ62" s="5">
        <f t="shared" si="3"/>
        <v>0</v>
      </c>
      <c r="AK62" s="5">
        <f t="shared" si="4"/>
        <v>0.24733002431280127</v>
      </c>
    </row>
    <row r="63" spans="1:37" hidden="1" x14ac:dyDescent="0.3">
      <c r="A63">
        <v>4970757</v>
      </c>
      <c r="B63" t="s">
        <v>38</v>
      </c>
      <c r="C63">
        <v>41.166666666666657</v>
      </c>
      <c r="D63">
        <v>77759.439538079154</v>
      </c>
      <c r="I63">
        <v>10887.25501186926</v>
      </c>
      <c r="J63">
        <v>12298</v>
      </c>
      <c r="K63">
        <v>5740</v>
      </c>
      <c r="L63">
        <v>5620.0379553494804</v>
      </c>
      <c r="M63">
        <v>23063</v>
      </c>
      <c r="N63">
        <v>13930</v>
      </c>
      <c r="O63">
        <v>34210.394869370502</v>
      </c>
      <c r="P63" s="2">
        <v>43959.291666666657</v>
      </c>
      <c r="Q63" s="2">
        <v>43961.423611111109</v>
      </c>
      <c r="R63">
        <v>100275.54720389241</v>
      </c>
      <c r="S63">
        <v>7.1800445581667498</v>
      </c>
      <c r="T63">
        <f t="shared" si="5"/>
        <v>1.2033379568946247</v>
      </c>
      <c r="U63">
        <f t="shared" si="6"/>
        <v>2272.9769660653433</v>
      </c>
      <c r="V63">
        <f t="shared" si="7"/>
        <v>0</v>
      </c>
      <c r="W63">
        <f t="shared" si="8"/>
        <v>0</v>
      </c>
      <c r="X63">
        <f t="shared" si="9"/>
        <v>0</v>
      </c>
      <c r="Y63">
        <f t="shared" si="10"/>
        <v>0</v>
      </c>
      <c r="Z63">
        <f t="shared" si="11"/>
        <v>318.24406159125965</v>
      </c>
      <c r="AA63">
        <f t="shared" si="12"/>
        <v>359.48138122809962</v>
      </c>
      <c r="AB63">
        <f t="shared" si="13"/>
        <v>167.78526006255422</v>
      </c>
      <c r="AC63">
        <f t="shared" si="14"/>
        <v>164.27866374559898</v>
      </c>
      <c r="AD63">
        <f t="shared" si="15"/>
        <v>674.15182104924872</v>
      </c>
      <c r="AE63">
        <f t="shared" si="16"/>
        <v>407.18617990790597</v>
      </c>
      <c r="AF63">
        <f t="shared" si="17"/>
        <v>1000.0000000000001</v>
      </c>
      <c r="AG63">
        <f t="shared" si="18"/>
        <v>-658.1656760113151</v>
      </c>
      <c r="AH63">
        <f t="shared" si="19"/>
        <v>2931.1426420766584</v>
      </c>
      <c r="AI63" s="5">
        <f t="shared" si="2"/>
        <v>0.43995166468011276</v>
      </c>
      <c r="AJ63" s="5">
        <f t="shared" si="3"/>
        <v>0</v>
      </c>
      <c r="AK63" s="5">
        <f t="shared" si="4"/>
        <v>0.34116388115848201</v>
      </c>
    </row>
    <row r="64" spans="1:37" hidden="1" x14ac:dyDescent="0.3">
      <c r="A64">
        <v>4970910</v>
      </c>
      <c r="B64" t="s">
        <v>40</v>
      </c>
      <c r="C64">
        <v>21</v>
      </c>
      <c r="D64">
        <v>52364.807765384357</v>
      </c>
      <c r="I64">
        <v>8728.8832624629194</v>
      </c>
      <c r="J64">
        <v>8751</v>
      </c>
      <c r="K64">
        <v>0</v>
      </c>
      <c r="L64">
        <v>31.938379031721809</v>
      </c>
      <c r="M64">
        <v>25639</v>
      </c>
      <c r="N64">
        <v>13472</v>
      </c>
      <c r="O64">
        <v>30129.34854164808</v>
      </c>
      <c r="P64" s="2">
        <v>43961.291666666657</v>
      </c>
      <c r="Q64" s="2">
        <v>43962.84375</v>
      </c>
      <c r="R64">
        <v>94169.852437956826</v>
      </c>
      <c r="S64">
        <v>6.7871650507412733</v>
      </c>
      <c r="T64">
        <f t="shared" si="5"/>
        <v>0.69699482453035799</v>
      </c>
      <c r="U64">
        <f t="shared" si="6"/>
        <v>1738</v>
      </c>
      <c r="V64">
        <f t="shared" si="7"/>
        <v>0</v>
      </c>
      <c r="W64">
        <f t="shared" si="8"/>
        <v>0</v>
      </c>
      <c r="X64">
        <f t="shared" si="9"/>
        <v>0</v>
      </c>
      <c r="Y64">
        <f t="shared" si="10"/>
        <v>0</v>
      </c>
      <c r="Z64">
        <f t="shared" si="11"/>
        <v>289.71364085077721</v>
      </c>
      <c r="AA64">
        <f t="shared" si="12"/>
        <v>290.44770045072204</v>
      </c>
      <c r="AB64">
        <f t="shared" si="13"/>
        <v>0</v>
      </c>
      <c r="AC64">
        <f t="shared" si="14"/>
        <v>1.0600421375713813</v>
      </c>
      <c r="AD64">
        <f t="shared" si="15"/>
        <v>850.96430029208796</v>
      </c>
      <c r="AE64">
        <f t="shared" si="16"/>
        <v>447.1387750510944</v>
      </c>
      <c r="AF64">
        <f t="shared" si="17"/>
        <v>1000</v>
      </c>
      <c r="AG64">
        <f t="shared" si="18"/>
        <v>-1387.5190369544484</v>
      </c>
      <c r="AH64">
        <f t="shared" si="19"/>
        <v>3125.5190369544484</v>
      </c>
      <c r="AI64" s="5">
        <f t="shared" si="2"/>
        <v>0.57537399309551218</v>
      </c>
      <c r="AJ64" s="5">
        <f t="shared" si="3"/>
        <v>0</v>
      </c>
      <c r="AK64" s="5">
        <f t="shared" si="4"/>
        <v>0.31994685944207674</v>
      </c>
    </row>
    <row r="65" spans="1:37" hidden="1" x14ac:dyDescent="0.3">
      <c r="A65">
        <v>4970908</v>
      </c>
      <c r="B65" t="s">
        <v>33</v>
      </c>
      <c r="C65">
        <v>13.08333333333333</v>
      </c>
      <c r="D65">
        <v>34582.911473367378</v>
      </c>
      <c r="I65">
        <v>5358.2445988463051</v>
      </c>
      <c r="J65">
        <v>5322</v>
      </c>
      <c r="K65">
        <v>1205</v>
      </c>
      <c r="L65">
        <v>1239.9998865699761</v>
      </c>
      <c r="M65">
        <v>10567</v>
      </c>
      <c r="N65">
        <v>6308</v>
      </c>
      <c r="O65">
        <v>15914.82350362051</v>
      </c>
      <c r="P65" s="2">
        <v>43961.291666666657</v>
      </c>
      <c r="Q65" s="2">
        <v>43961.836805555547</v>
      </c>
      <c r="R65">
        <v>33468.01385908341</v>
      </c>
      <c r="S65">
        <v>7.4820431591298062</v>
      </c>
      <c r="T65">
        <f t="shared" si="5"/>
        <v>0.82208472688100909</v>
      </c>
      <c r="U65">
        <f t="shared" si="6"/>
        <v>2173.0000000000005</v>
      </c>
      <c r="V65">
        <f t="shared" si="7"/>
        <v>0</v>
      </c>
      <c r="W65">
        <f t="shared" si="8"/>
        <v>0</v>
      </c>
      <c r="X65">
        <f t="shared" si="9"/>
        <v>0</v>
      </c>
      <c r="Y65">
        <f t="shared" si="10"/>
        <v>0</v>
      </c>
      <c r="Z65">
        <f t="shared" si="11"/>
        <v>336.68262784235981</v>
      </c>
      <c r="AA65">
        <f t="shared" si="12"/>
        <v>334.40521654476925</v>
      </c>
      <c r="AB65">
        <f t="shared" si="13"/>
        <v>75.715574208276394</v>
      </c>
      <c r="AC65">
        <f t="shared" si="14"/>
        <v>77.91477463057538</v>
      </c>
      <c r="AD65">
        <f t="shared" si="15"/>
        <v>663.97217648037895</v>
      </c>
      <c r="AE65">
        <f t="shared" si="16"/>
        <v>396.36003494257881</v>
      </c>
      <c r="AF65">
        <f t="shared" si="17"/>
        <v>1000</v>
      </c>
      <c r="AG65">
        <f t="shared" si="18"/>
        <v>70.054035725268022</v>
      </c>
      <c r="AH65">
        <f t="shared" si="19"/>
        <v>2102.9459642747324</v>
      </c>
      <c r="AI65" s="5">
        <f t="shared" si="2"/>
        <v>0.46019328117809466</v>
      </c>
      <c r="AJ65" s="5">
        <f t="shared" si="3"/>
        <v>0</v>
      </c>
      <c r="AK65" s="5">
        <f t="shared" si="4"/>
        <v>0.47552339289178153</v>
      </c>
    </row>
    <row r="66" spans="1:37" hidden="1" x14ac:dyDescent="0.3">
      <c r="A66">
        <v>4972073</v>
      </c>
      <c r="B66" t="s">
        <v>42</v>
      </c>
      <c r="C66">
        <v>10.33333333333333</v>
      </c>
      <c r="D66">
        <v>23966.31564797747</v>
      </c>
      <c r="I66">
        <v>4958.5516933600111</v>
      </c>
      <c r="J66">
        <v>4952</v>
      </c>
      <c r="K66">
        <v>0</v>
      </c>
      <c r="L66">
        <v>17.044383616543261</v>
      </c>
      <c r="M66">
        <v>9605</v>
      </c>
      <c r="N66">
        <v>4031</v>
      </c>
      <c r="O66">
        <v>11029.137435792671</v>
      </c>
      <c r="P66" s="2">
        <v>43962.861111111109</v>
      </c>
      <c r="Q66" s="2">
        <v>43963.291666666657</v>
      </c>
      <c r="R66">
        <v>24004.4979532447</v>
      </c>
      <c r="S66">
        <v>7.5206892317286691</v>
      </c>
      <c r="T66">
        <f t="shared" si="5"/>
        <v>0.93691219222626976</v>
      </c>
      <c r="U66">
        <f t="shared" si="6"/>
        <v>2173</v>
      </c>
      <c r="V66">
        <f t="shared" si="7"/>
        <v>0</v>
      </c>
      <c r="W66">
        <f t="shared" si="8"/>
        <v>0</v>
      </c>
      <c r="X66">
        <f t="shared" si="9"/>
        <v>0</v>
      </c>
      <c r="Y66">
        <f t="shared" si="10"/>
        <v>0</v>
      </c>
      <c r="Z66">
        <f t="shared" si="11"/>
        <v>449.58653586708499</v>
      </c>
      <c r="AA66">
        <f t="shared" si="12"/>
        <v>448.99250089398282</v>
      </c>
      <c r="AB66">
        <f t="shared" si="13"/>
        <v>0</v>
      </c>
      <c r="AC66">
        <f t="shared" si="14"/>
        <v>1.5453958857407486</v>
      </c>
      <c r="AD66">
        <f t="shared" si="15"/>
        <v>870.87499416128935</v>
      </c>
      <c r="AE66">
        <f t="shared" si="16"/>
        <v>365.48642389007364</v>
      </c>
      <c r="AF66">
        <f t="shared" si="17"/>
        <v>1000.0000000000001</v>
      </c>
      <c r="AG66">
        <f t="shared" si="18"/>
        <v>-3.4619484515005752</v>
      </c>
      <c r="AH66">
        <f t="shared" si="19"/>
        <v>2176.4619484515006</v>
      </c>
      <c r="AI66" s="5">
        <f t="shared" si="2"/>
        <v>0.46019328117809488</v>
      </c>
      <c r="AJ66" s="5">
        <f t="shared" si="3"/>
        <v>0</v>
      </c>
      <c r="AK66" s="5">
        <f t="shared" si="4"/>
        <v>0.45946128335093367</v>
      </c>
    </row>
    <row r="67" spans="1:37" hidden="1" x14ac:dyDescent="0.3">
      <c r="A67">
        <v>4970758</v>
      </c>
      <c r="B67" t="s">
        <v>32</v>
      </c>
      <c r="C67">
        <v>5.75</v>
      </c>
      <c r="D67">
        <v>13894.686124572971</v>
      </c>
      <c r="I67">
        <v>-24130.21796260319</v>
      </c>
      <c r="J67">
        <v>2218</v>
      </c>
      <c r="K67">
        <v>0</v>
      </c>
      <c r="L67">
        <v>12.91627146986229</v>
      </c>
      <c r="M67">
        <v>5225</v>
      </c>
      <c r="N67">
        <v>1704</v>
      </c>
      <c r="O67">
        <v>6394.2411986069801</v>
      </c>
      <c r="P67" s="2">
        <v>43963.291666666657</v>
      </c>
      <c r="Q67" s="2">
        <v>43963.53125</v>
      </c>
      <c r="R67">
        <v>13691.88573123001</v>
      </c>
      <c r="S67">
        <v>9.922944843019895</v>
      </c>
      <c r="T67">
        <f t="shared" si="5"/>
        <v>0.89924665357519962</v>
      </c>
      <c r="U67">
        <f t="shared" si="6"/>
        <v>2173.0000000000005</v>
      </c>
      <c r="V67">
        <f t="shared" si="7"/>
        <v>0</v>
      </c>
      <c r="W67">
        <f t="shared" si="8"/>
        <v>0</v>
      </c>
      <c r="X67">
        <f t="shared" si="9"/>
        <v>0</v>
      </c>
      <c r="Y67">
        <f t="shared" si="10"/>
        <v>0</v>
      </c>
      <c r="Z67">
        <f t="shared" si="11"/>
        <v>-3773.7422178975808</v>
      </c>
      <c r="AA67">
        <f t="shared" si="12"/>
        <v>346.87462219648569</v>
      </c>
      <c r="AB67">
        <f t="shared" si="13"/>
        <v>0</v>
      </c>
      <c r="AC67">
        <f t="shared" si="14"/>
        <v>2.0199850253813021</v>
      </c>
      <c r="AD67">
        <f t="shared" si="15"/>
        <v>817.14152433572485</v>
      </c>
      <c r="AE67">
        <f t="shared" si="16"/>
        <v>266.48979090298087</v>
      </c>
      <c r="AF67">
        <f t="shared" si="17"/>
        <v>1000</v>
      </c>
      <c r="AG67">
        <f t="shared" si="18"/>
        <v>31.716100009981346</v>
      </c>
      <c r="AH67">
        <f t="shared" si="19"/>
        <v>2141.2838999900191</v>
      </c>
      <c r="AI67" s="5">
        <f t="shared" ref="AI67:AI130" si="20">IFERROR(O67/D67,0)</f>
        <v>0.46019328117809472</v>
      </c>
      <c r="AJ67" s="5">
        <f t="shared" ref="AJ67:AJ130" si="21">IFERROR(O67/(E67+H67),0)</f>
        <v>0</v>
      </c>
      <c r="AK67" s="5">
        <f t="shared" ref="AK67:AK130" si="22">IFERROR(O67/R67,0)</f>
        <v>0.46700953572978393</v>
      </c>
    </row>
    <row r="68" spans="1:37" hidden="1" x14ac:dyDescent="0.3">
      <c r="A68">
        <v>4972658</v>
      </c>
      <c r="B68" t="s">
        <v>32</v>
      </c>
      <c r="C68">
        <v>51.833333333333343</v>
      </c>
      <c r="D68">
        <v>121478.0673508293</v>
      </c>
      <c r="I68">
        <v>-11552.526337241359</v>
      </c>
      <c r="J68">
        <v>18048.726285973949</v>
      </c>
      <c r="K68">
        <v>0</v>
      </c>
      <c r="L68">
        <v>116.53172615503139</v>
      </c>
      <c r="M68">
        <v>51509.387431093914</v>
      </c>
      <c r="N68">
        <v>27837.672146342538</v>
      </c>
      <c r="O68">
        <v>55903.39040535174</v>
      </c>
      <c r="P68" s="2">
        <v>43964.086805555547</v>
      </c>
      <c r="Q68" s="2">
        <v>43968.371527777781</v>
      </c>
      <c r="R68">
        <v>255031.35149342529</v>
      </c>
      <c r="S68">
        <v>6.7129833390665867</v>
      </c>
      <c r="T68">
        <f t="shared" ref="T68:T131" si="23">1000*C68/$O68</f>
        <v>0.92719480799810738</v>
      </c>
      <c r="U68">
        <f t="shared" ref="U68:U131" si="24">1000*D68/$O68</f>
        <v>2172.9999999999995</v>
      </c>
      <c r="V68">
        <f t="shared" ref="V68:V131" si="25">1000*E68/$O68</f>
        <v>0</v>
      </c>
      <c r="W68">
        <f t="shared" ref="W68:W131" si="26">1000*F68/$O68</f>
        <v>0</v>
      </c>
      <c r="X68">
        <f t="shared" ref="X68:X131" si="27">1000*G68/$O68</f>
        <v>0</v>
      </c>
      <c r="Y68">
        <f t="shared" ref="Y68:Y131" si="28">1000*H68/$O68</f>
        <v>0</v>
      </c>
      <c r="Z68">
        <f t="shared" ref="Z68:Z131" si="29">1000*I68/$O68</f>
        <v>-206.6516226202877</v>
      </c>
      <c r="AA68">
        <f t="shared" ref="AA68:AA131" si="30">1000*J68/$O68</f>
        <v>322.8556650160902</v>
      </c>
      <c r="AB68">
        <f t="shared" ref="AB68:AB131" si="31">1000*K68/$O68</f>
        <v>0</v>
      </c>
      <c r="AC68">
        <f t="shared" ref="AC68:AC131" si="32">1000*L68/$O68</f>
        <v>2.0845198352026175</v>
      </c>
      <c r="AD68">
        <f t="shared" ref="AD68:AD131" si="33">1000*M68/$O68</f>
        <v>921.40006281556089</v>
      </c>
      <c r="AE68">
        <f t="shared" ref="AE68:AE131" si="34">1000*N68/$O68</f>
        <v>497.9603552574082</v>
      </c>
      <c r="AF68">
        <f t="shared" ref="AF68:AF131" si="35">1000*O68/$O68</f>
        <v>1000.0000000000001</v>
      </c>
      <c r="AG68">
        <f t="shared" ref="AG68:AG131" si="36">U68-AH68</f>
        <v>-2389.001510896031</v>
      </c>
      <c r="AH68">
        <f t="shared" ref="AH68:AH131" si="37">1000*R68/O68</f>
        <v>4562.0015108960306</v>
      </c>
      <c r="AI68" s="5">
        <f t="shared" si="20"/>
        <v>0.46019328117809494</v>
      </c>
      <c r="AJ68" s="5">
        <f t="shared" si="21"/>
        <v>0</v>
      </c>
      <c r="AK68" s="5">
        <f t="shared" si="22"/>
        <v>0.21920203174233238</v>
      </c>
    </row>
    <row r="69" spans="1:37" hidden="1" x14ac:dyDescent="0.3">
      <c r="A69">
        <v>4972656</v>
      </c>
      <c r="B69" t="s">
        <v>42</v>
      </c>
      <c r="C69">
        <v>14.16666666666667</v>
      </c>
      <c r="D69">
        <v>37397.712912081122</v>
      </c>
      <c r="I69">
        <v>6495.5189047641861</v>
      </c>
      <c r="J69">
        <v>6521</v>
      </c>
      <c r="K69">
        <v>0</v>
      </c>
      <c r="L69">
        <v>69.555674025224334</v>
      </c>
      <c r="M69">
        <v>14805</v>
      </c>
      <c r="N69">
        <v>6680.0905031069769</v>
      </c>
      <c r="O69">
        <v>17210.176213567011</v>
      </c>
      <c r="P69" s="2">
        <v>43964.274305555547</v>
      </c>
      <c r="Q69" s="2">
        <v>43964.864583333343</v>
      </c>
      <c r="R69">
        <v>37400.808947705576</v>
      </c>
      <c r="S69">
        <v>7.8200159171910633</v>
      </c>
      <c r="T69">
        <f t="shared" si="23"/>
        <v>0.82315639833477694</v>
      </c>
      <c r="U69">
        <f t="shared" si="24"/>
        <v>2173.0000000000005</v>
      </c>
      <c r="V69">
        <f t="shared" si="25"/>
        <v>0</v>
      </c>
      <c r="W69">
        <f t="shared" si="26"/>
        <v>0</v>
      </c>
      <c r="X69">
        <f t="shared" si="27"/>
        <v>0</v>
      </c>
      <c r="Y69">
        <f t="shared" si="28"/>
        <v>0</v>
      </c>
      <c r="Z69">
        <f t="shared" si="29"/>
        <v>377.42314919725703</v>
      </c>
      <c r="AA69">
        <f t="shared" si="30"/>
        <v>378.90373224995852</v>
      </c>
      <c r="AB69">
        <f t="shared" si="31"/>
        <v>0</v>
      </c>
      <c r="AC69">
        <f t="shared" si="32"/>
        <v>4.0415433963071612</v>
      </c>
      <c r="AD69">
        <f t="shared" si="33"/>
        <v>860.24685722444963</v>
      </c>
      <c r="AE69">
        <f t="shared" si="34"/>
        <v>388.14771099443902</v>
      </c>
      <c r="AF69">
        <f t="shared" si="35"/>
        <v>1000</v>
      </c>
      <c r="AG69">
        <f t="shared" si="36"/>
        <v>-0.17989563767559957</v>
      </c>
      <c r="AH69">
        <f t="shared" si="37"/>
        <v>2173.1798956376761</v>
      </c>
      <c r="AI69" s="5">
        <f t="shared" si="20"/>
        <v>0.46019328117809472</v>
      </c>
      <c r="AJ69" s="5">
        <f t="shared" si="21"/>
        <v>0</v>
      </c>
      <c r="AK69" s="5">
        <f t="shared" si="22"/>
        <v>0.46015518641937825</v>
      </c>
    </row>
    <row r="70" spans="1:37" hidden="1" x14ac:dyDescent="0.3">
      <c r="A70">
        <v>4972075</v>
      </c>
      <c r="B70" t="s">
        <v>38</v>
      </c>
      <c r="C70">
        <v>13.25</v>
      </c>
      <c r="D70">
        <v>30648.650972770229</v>
      </c>
      <c r="I70">
        <v>5761.6176413974854</v>
      </c>
      <c r="J70">
        <v>5680</v>
      </c>
      <c r="K70">
        <v>0</v>
      </c>
      <c r="L70">
        <v>-44.066538892849387</v>
      </c>
      <c r="M70">
        <v>11492</v>
      </c>
      <c r="N70">
        <v>7161</v>
      </c>
      <c r="O70">
        <v>13483.788373414091</v>
      </c>
      <c r="P70" s="2">
        <v>43963.53125</v>
      </c>
      <c r="Q70" s="2">
        <v>43964.083333333343</v>
      </c>
      <c r="R70">
        <v>32289.21739772545</v>
      </c>
      <c r="S70">
        <v>8.6115896141043855</v>
      </c>
      <c r="T70">
        <f t="shared" si="23"/>
        <v>0.98266152160359843</v>
      </c>
      <c r="U70">
        <f t="shared" si="24"/>
        <v>2273</v>
      </c>
      <c r="V70">
        <f t="shared" si="25"/>
        <v>0</v>
      </c>
      <c r="W70">
        <f t="shared" si="26"/>
        <v>0</v>
      </c>
      <c r="X70">
        <f t="shared" si="27"/>
        <v>0</v>
      </c>
      <c r="Y70">
        <f t="shared" si="28"/>
        <v>0</v>
      </c>
      <c r="Z70">
        <f t="shared" si="29"/>
        <v>427.29961950141808</v>
      </c>
      <c r="AA70">
        <f t="shared" si="30"/>
        <v>421.24659944969352</v>
      </c>
      <c r="AB70">
        <f t="shared" si="31"/>
        <v>0</v>
      </c>
      <c r="AC70">
        <f t="shared" si="32"/>
        <v>-3.2681126158680396</v>
      </c>
      <c r="AD70">
        <f t="shared" si="33"/>
        <v>852.28273254857004</v>
      </c>
      <c r="AE70">
        <f t="shared" si="34"/>
        <v>531.08220046817871</v>
      </c>
      <c r="AF70">
        <f t="shared" si="35"/>
        <v>1000</v>
      </c>
      <c r="AG70">
        <f t="shared" si="36"/>
        <v>-121.66954712741699</v>
      </c>
      <c r="AH70">
        <f t="shared" si="37"/>
        <v>2394.669547127417</v>
      </c>
      <c r="AI70" s="5">
        <f t="shared" si="20"/>
        <v>0.43994720633523976</v>
      </c>
      <c r="AJ70" s="5">
        <f t="shared" si="21"/>
        <v>0</v>
      </c>
      <c r="AK70" s="5">
        <f t="shared" si="22"/>
        <v>0.41759415247902321</v>
      </c>
    </row>
    <row r="71" spans="1:37" hidden="1" x14ac:dyDescent="0.3">
      <c r="A71">
        <v>4972660</v>
      </c>
      <c r="B71" t="s">
        <v>40</v>
      </c>
      <c r="C71">
        <v>10.25</v>
      </c>
      <c r="D71">
        <v>25646.743527047111</v>
      </c>
      <c r="I71">
        <v>3802.3481020609611</v>
      </c>
      <c r="J71">
        <v>3797</v>
      </c>
      <c r="K71">
        <v>0</v>
      </c>
      <c r="L71">
        <v>-40.333129102663179</v>
      </c>
      <c r="M71">
        <v>11399</v>
      </c>
      <c r="N71">
        <v>4890</v>
      </c>
      <c r="O71">
        <v>14756.469233053571</v>
      </c>
      <c r="P71" s="2">
        <v>43964.864583333343</v>
      </c>
      <c r="Q71" s="2">
        <v>43965.291666666657</v>
      </c>
      <c r="R71">
        <v>25646.811662901589</v>
      </c>
      <c r="S71">
        <v>5.26205390589831</v>
      </c>
      <c r="T71">
        <f t="shared" si="23"/>
        <v>0.69461060353384796</v>
      </c>
      <c r="U71">
        <f t="shared" si="24"/>
        <v>1738.0000000000002</v>
      </c>
      <c r="V71">
        <f t="shared" si="25"/>
        <v>0</v>
      </c>
      <c r="W71">
        <f t="shared" si="26"/>
        <v>0</v>
      </c>
      <c r="X71">
        <f t="shared" si="27"/>
        <v>0</v>
      </c>
      <c r="Y71">
        <f t="shared" si="28"/>
        <v>0</v>
      </c>
      <c r="Z71">
        <f t="shared" si="29"/>
        <v>257.67329853837521</v>
      </c>
      <c r="AA71">
        <f t="shared" si="30"/>
        <v>257.31087430419717</v>
      </c>
      <c r="AB71">
        <f t="shared" si="31"/>
        <v>0</v>
      </c>
      <c r="AC71">
        <f t="shared" si="32"/>
        <v>-2.7332506486253152</v>
      </c>
      <c r="AD71">
        <f t="shared" si="33"/>
        <v>772.47475801778864</v>
      </c>
      <c r="AE71">
        <f t="shared" si="34"/>
        <v>331.38008305175771</v>
      </c>
      <c r="AF71">
        <f t="shared" si="35"/>
        <v>1000</v>
      </c>
      <c r="AG71">
        <f t="shared" si="36"/>
        <v>-4.6173548294063949E-3</v>
      </c>
      <c r="AH71">
        <f t="shared" si="37"/>
        <v>1738.0046173548296</v>
      </c>
      <c r="AI71" s="5">
        <f t="shared" si="20"/>
        <v>0.57537399309551196</v>
      </c>
      <c r="AJ71" s="5">
        <f t="shared" si="21"/>
        <v>0</v>
      </c>
      <c r="AK71" s="5">
        <f t="shared" si="22"/>
        <v>0.57537246450009905</v>
      </c>
    </row>
    <row r="72" spans="1:37" hidden="1" x14ac:dyDescent="0.3">
      <c r="A72">
        <v>4973966</v>
      </c>
      <c r="B72" t="s">
        <v>42</v>
      </c>
      <c r="C72">
        <v>46.999999999999993</v>
      </c>
      <c r="D72">
        <v>116819.5366885847</v>
      </c>
      <c r="I72">
        <v>-8726.2414266409251</v>
      </c>
      <c r="J72">
        <v>18744.745587017678</v>
      </c>
      <c r="K72">
        <v>0</v>
      </c>
      <c r="L72">
        <v>131.33124704049951</v>
      </c>
      <c r="M72">
        <v>54806.676030777628</v>
      </c>
      <c r="N72">
        <v>27163.60850303121</v>
      </c>
      <c r="O72">
        <v>53759.565894424602</v>
      </c>
      <c r="P72" s="2">
        <v>43966.927083333343</v>
      </c>
      <c r="Q72" s="2">
        <v>43970.295138888891</v>
      </c>
      <c r="R72">
        <v>198315.47334797159</v>
      </c>
      <c r="S72">
        <v>6.1769599868672591</v>
      </c>
      <c r="T72">
        <f t="shared" si="23"/>
        <v>0.87426301195029477</v>
      </c>
      <c r="U72">
        <f t="shared" si="24"/>
        <v>2173.0000000000009</v>
      </c>
      <c r="V72">
        <f t="shared" si="25"/>
        <v>0</v>
      </c>
      <c r="W72">
        <f t="shared" si="26"/>
        <v>0</v>
      </c>
      <c r="X72">
        <f t="shared" si="27"/>
        <v>0</v>
      </c>
      <c r="Y72">
        <f t="shared" si="28"/>
        <v>0</v>
      </c>
      <c r="Z72">
        <f t="shared" si="29"/>
        <v>-162.3197896310752</v>
      </c>
      <c r="AA72">
        <f t="shared" si="30"/>
        <v>348.67739862017174</v>
      </c>
      <c r="AB72">
        <f t="shared" si="31"/>
        <v>0</v>
      </c>
      <c r="AC72">
        <f t="shared" si="32"/>
        <v>2.4429372681024542</v>
      </c>
      <c r="AD72">
        <f t="shared" si="33"/>
        <v>1019.4776523755676</v>
      </c>
      <c r="AE72">
        <f t="shared" si="34"/>
        <v>505.27953585741926</v>
      </c>
      <c r="AF72">
        <f t="shared" si="35"/>
        <v>1000</v>
      </c>
      <c r="AG72">
        <f t="shared" si="36"/>
        <v>-1515.9336818201282</v>
      </c>
      <c r="AH72">
        <f t="shared" si="37"/>
        <v>3688.9336818201291</v>
      </c>
      <c r="AI72" s="5">
        <f t="shared" si="20"/>
        <v>0.46019328117809466</v>
      </c>
      <c r="AJ72" s="5">
        <f t="shared" si="21"/>
        <v>0</v>
      </c>
      <c r="AK72" s="5">
        <f t="shared" si="22"/>
        <v>0.27108104570386243</v>
      </c>
    </row>
    <row r="73" spans="1:37" hidden="1" x14ac:dyDescent="0.3">
      <c r="A73">
        <v>4975256</v>
      </c>
      <c r="B73" t="s">
        <v>32</v>
      </c>
      <c r="C73">
        <v>91.083333333333329</v>
      </c>
      <c r="D73">
        <v>213968.94531509359</v>
      </c>
      <c r="I73">
        <v>-9139.423533227804</v>
      </c>
      <c r="J73">
        <v>30896.98686285242</v>
      </c>
      <c r="K73">
        <v>2231.5386075304841</v>
      </c>
      <c r="L73">
        <v>2334.6076476891112</v>
      </c>
      <c r="M73">
        <v>92447.244889491893</v>
      </c>
      <c r="N73">
        <v>52428.074701037767</v>
      </c>
      <c r="O73">
        <v>98467.071014769259</v>
      </c>
      <c r="P73" s="2">
        <v>43969.291666666657</v>
      </c>
      <c r="Q73" s="2">
        <v>43980.333333333343</v>
      </c>
      <c r="R73">
        <v>642521.27333846421</v>
      </c>
      <c r="S73">
        <v>6.6363074060163703</v>
      </c>
      <c r="T73">
        <f t="shared" si="23"/>
        <v>0.92501312768480304</v>
      </c>
      <c r="U73">
        <f t="shared" si="24"/>
        <v>2172.9999999999995</v>
      </c>
      <c r="V73">
        <f t="shared" si="25"/>
        <v>0</v>
      </c>
      <c r="W73">
        <f t="shared" si="26"/>
        <v>0</v>
      </c>
      <c r="X73">
        <f t="shared" si="27"/>
        <v>0</v>
      </c>
      <c r="Y73">
        <f t="shared" si="28"/>
        <v>0</v>
      </c>
      <c r="Z73">
        <f t="shared" si="29"/>
        <v>-92.817054869611837</v>
      </c>
      <c r="AA73">
        <f t="shared" si="30"/>
        <v>313.77989153570053</v>
      </c>
      <c r="AB73">
        <f t="shared" si="31"/>
        <v>22.66279056067151</v>
      </c>
      <c r="AC73">
        <f t="shared" si="32"/>
        <v>23.709526683686356</v>
      </c>
      <c r="AD73">
        <f t="shared" si="33"/>
        <v>938.86457611423771</v>
      </c>
      <c r="AE73">
        <f t="shared" si="34"/>
        <v>532.44271572954551</v>
      </c>
      <c r="AF73">
        <f t="shared" si="35"/>
        <v>1000</v>
      </c>
      <c r="AG73">
        <f t="shared" si="36"/>
        <v>-4352.2400291473205</v>
      </c>
      <c r="AH73">
        <f t="shared" si="37"/>
        <v>6525.2400291473205</v>
      </c>
      <c r="AI73" s="5">
        <f t="shared" si="20"/>
        <v>0.46019328117809483</v>
      </c>
      <c r="AJ73" s="5">
        <f t="shared" si="21"/>
        <v>0</v>
      </c>
      <c r="AK73" s="5">
        <f t="shared" si="22"/>
        <v>0.15325106747539433</v>
      </c>
    </row>
    <row r="74" spans="1:37" hidden="1" x14ac:dyDescent="0.3">
      <c r="A74">
        <v>4975226</v>
      </c>
      <c r="B74" t="s">
        <v>40</v>
      </c>
      <c r="C74">
        <v>11</v>
      </c>
      <c r="D74">
        <v>27051.225890529091</v>
      </c>
      <c r="I74">
        <v>3994.9402064450442</v>
      </c>
      <c r="J74">
        <v>4023.454631620602</v>
      </c>
      <c r="K74">
        <v>100.1593990384615</v>
      </c>
      <c r="L74">
        <v>56.525232505805427</v>
      </c>
      <c r="M74">
        <v>11339.62161839613</v>
      </c>
      <c r="N74">
        <v>5714.5620026634479</v>
      </c>
      <c r="O74">
        <v>15564.57185876242</v>
      </c>
      <c r="P74" s="2">
        <v>43969.291666666657</v>
      </c>
      <c r="Q74" s="2">
        <v>43969.75</v>
      </c>
      <c r="R74">
        <v>26466.339962360089</v>
      </c>
      <c r="S74">
        <v>5.5384171016060586</v>
      </c>
      <c r="T74">
        <f t="shared" si="23"/>
        <v>0.70673322079253387</v>
      </c>
      <c r="U74">
        <f t="shared" si="24"/>
        <v>1738.0000000000005</v>
      </c>
      <c r="V74">
        <f t="shared" si="25"/>
        <v>0</v>
      </c>
      <c r="W74">
        <f t="shared" si="26"/>
        <v>0</v>
      </c>
      <c r="X74">
        <f t="shared" si="27"/>
        <v>0</v>
      </c>
      <c r="Y74">
        <f t="shared" si="28"/>
        <v>0</v>
      </c>
      <c r="Z74">
        <f t="shared" si="29"/>
        <v>256.66881445222691</v>
      </c>
      <c r="AA74">
        <f t="shared" si="30"/>
        <v>258.50082277435143</v>
      </c>
      <c r="AB74">
        <f t="shared" si="31"/>
        <v>6.4350886068269562</v>
      </c>
      <c r="AC74">
        <f t="shared" si="32"/>
        <v>3.6316599658976996</v>
      </c>
      <c r="AD74">
        <f t="shared" si="33"/>
        <v>728.55339172161291</v>
      </c>
      <c r="AE74">
        <f t="shared" si="34"/>
        <v>367.15189177827006</v>
      </c>
      <c r="AF74">
        <f t="shared" si="35"/>
        <v>1000</v>
      </c>
      <c r="AG74">
        <f t="shared" si="36"/>
        <v>37.57802871010108</v>
      </c>
      <c r="AH74">
        <f t="shared" si="37"/>
        <v>1700.4219712898994</v>
      </c>
      <c r="AI74" s="5">
        <f t="shared" si="20"/>
        <v>0.57537399309551196</v>
      </c>
      <c r="AJ74" s="5">
        <f t="shared" si="21"/>
        <v>0</v>
      </c>
      <c r="AK74" s="5">
        <f t="shared" si="22"/>
        <v>0.58808931952427312</v>
      </c>
    </row>
    <row r="75" spans="1:37" hidden="1" x14ac:dyDescent="0.3">
      <c r="A75">
        <v>4975638</v>
      </c>
      <c r="B75" t="s">
        <v>40</v>
      </c>
      <c r="C75">
        <v>9.8333333333333321</v>
      </c>
      <c r="D75">
        <v>25343.052650241749</v>
      </c>
      <c r="I75">
        <v>2870.193985385441</v>
      </c>
      <c r="J75">
        <v>4787.478301360451</v>
      </c>
      <c r="K75">
        <v>0</v>
      </c>
      <c r="L75">
        <v>4.3884449655848812</v>
      </c>
      <c r="M75">
        <v>8917.8921462651924</v>
      </c>
      <c r="N75">
        <v>5209.058263384064</v>
      </c>
      <c r="O75">
        <v>14581.733400599391</v>
      </c>
      <c r="P75" s="2">
        <v>43971.930555555547</v>
      </c>
      <c r="Q75" s="2">
        <v>43972.340277777781</v>
      </c>
      <c r="R75">
        <v>25345.455796422579</v>
      </c>
      <c r="S75">
        <v>7.3404709073654857</v>
      </c>
      <c r="T75">
        <f t="shared" si="23"/>
        <v>0.67435969806779816</v>
      </c>
      <c r="U75">
        <f t="shared" si="24"/>
        <v>1738.0000000000005</v>
      </c>
      <c r="V75">
        <f t="shared" si="25"/>
        <v>0</v>
      </c>
      <c r="W75">
        <f t="shared" si="26"/>
        <v>0</v>
      </c>
      <c r="X75">
        <f t="shared" si="27"/>
        <v>0</v>
      </c>
      <c r="Y75">
        <f t="shared" si="28"/>
        <v>0</v>
      </c>
      <c r="Z75">
        <f t="shared" si="29"/>
        <v>196.8348965471732</v>
      </c>
      <c r="AA75">
        <f t="shared" si="30"/>
        <v>328.32024628592228</v>
      </c>
      <c r="AB75">
        <f t="shared" si="31"/>
        <v>0</v>
      </c>
      <c r="AC75">
        <f t="shared" si="32"/>
        <v>0.30095495816735285</v>
      </c>
      <c r="AD75">
        <f t="shared" si="33"/>
        <v>611.57970052439839</v>
      </c>
      <c r="AE75">
        <f t="shared" si="34"/>
        <v>357.23175841151658</v>
      </c>
      <c r="AF75">
        <f t="shared" si="35"/>
        <v>1000</v>
      </c>
      <c r="AG75">
        <f t="shared" si="36"/>
        <v>-0.16480524741541558</v>
      </c>
      <c r="AH75">
        <f t="shared" si="37"/>
        <v>1738.1648052474159</v>
      </c>
      <c r="AI75" s="5">
        <f t="shared" si="20"/>
        <v>0.57537399309551196</v>
      </c>
      <c r="AJ75" s="5">
        <f t="shared" si="21"/>
        <v>0</v>
      </c>
      <c r="AK75" s="5">
        <f t="shared" si="22"/>
        <v>0.57531943862921375</v>
      </c>
    </row>
    <row r="76" spans="1:37" hidden="1" x14ac:dyDescent="0.3">
      <c r="A76">
        <v>4975634</v>
      </c>
      <c r="B76" t="s">
        <v>38</v>
      </c>
      <c r="C76">
        <v>12.75</v>
      </c>
      <c r="D76">
        <v>32735.580201018831</v>
      </c>
      <c r="I76">
        <v>-11243.679499099269</v>
      </c>
      <c r="J76">
        <v>2372.7370596146579</v>
      </c>
      <c r="K76">
        <v>0</v>
      </c>
      <c r="L76">
        <v>12.37417315244471</v>
      </c>
      <c r="M76">
        <v>10318.92296416</v>
      </c>
      <c r="N76">
        <v>5356.4100957265191</v>
      </c>
      <c r="O76">
        <v>14401.927057201419</v>
      </c>
      <c r="P76" s="2">
        <v>43971.354166666657</v>
      </c>
      <c r="Q76" s="2">
        <v>43971.885416666657</v>
      </c>
      <c r="R76">
        <v>32158.584475360021</v>
      </c>
      <c r="S76">
        <v>7.9184945869304064</v>
      </c>
      <c r="T76">
        <f t="shared" si="23"/>
        <v>0.88529819303761825</v>
      </c>
      <c r="U76">
        <f t="shared" si="24"/>
        <v>2273.0000000000005</v>
      </c>
      <c r="V76">
        <f t="shared" si="25"/>
        <v>0</v>
      </c>
      <c r="W76">
        <f t="shared" si="26"/>
        <v>0</v>
      </c>
      <c r="X76">
        <f t="shared" si="27"/>
        <v>0</v>
      </c>
      <c r="Y76">
        <f t="shared" si="28"/>
        <v>0</v>
      </c>
      <c r="Z76">
        <f t="shared" si="29"/>
        <v>-780.7065995017017</v>
      </c>
      <c r="AA76">
        <f t="shared" si="30"/>
        <v>164.75135932786262</v>
      </c>
      <c r="AB76">
        <f t="shared" si="31"/>
        <v>0</v>
      </c>
      <c r="AC76">
        <f t="shared" si="32"/>
        <v>0.85920259860344395</v>
      </c>
      <c r="AD76">
        <f t="shared" si="33"/>
        <v>716.49598856982209</v>
      </c>
      <c r="AE76">
        <f t="shared" si="34"/>
        <v>371.92315128746219</v>
      </c>
      <c r="AF76">
        <f t="shared" si="35"/>
        <v>1000</v>
      </c>
      <c r="AG76">
        <f t="shared" si="36"/>
        <v>40.063786142445224</v>
      </c>
      <c r="AH76">
        <f t="shared" si="37"/>
        <v>2232.9362138575552</v>
      </c>
      <c r="AI76" s="5">
        <f t="shared" si="20"/>
        <v>0.4399472063352397</v>
      </c>
      <c r="AJ76" s="5">
        <f t="shared" si="21"/>
        <v>0</v>
      </c>
      <c r="AK76" s="5">
        <f t="shared" si="22"/>
        <v>0.44784082670791087</v>
      </c>
    </row>
    <row r="77" spans="1:37" hidden="1" x14ac:dyDescent="0.3">
      <c r="A77">
        <v>4976684</v>
      </c>
      <c r="B77" t="s">
        <v>38</v>
      </c>
      <c r="C77">
        <v>17.25</v>
      </c>
      <c r="D77">
        <v>43837.151674041052</v>
      </c>
      <c r="I77">
        <v>5219.1892192951809</v>
      </c>
      <c r="J77">
        <v>5336</v>
      </c>
      <c r="K77">
        <v>0</v>
      </c>
      <c r="L77">
        <v>-26.37607274319009</v>
      </c>
      <c r="M77">
        <v>14762.87858585719</v>
      </c>
      <c r="N77">
        <v>7234.207034207192</v>
      </c>
      <c r="O77">
        <v>19286.032412688539</v>
      </c>
      <c r="P77" s="2">
        <v>43972.347222222219</v>
      </c>
      <c r="Q77" s="2">
        <v>43973.065972222219</v>
      </c>
      <c r="R77">
        <v>43791.713816957337</v>
      </c>
      <c r="S77">
        <v>7.1784559421626524</v>
      </c>
      <c r="T77">
        <f t="shared" si="23"/>
        <v>0.89442969040386944</v>
      </c>
      <c r="U77">
        <f t="shared" si="24"/>
        <v>2273.0000000000005</v>
      </c>
      <c r="V77">
        <f t="shared" si="25"/>
        <v>0</v>
      </c>
      <c r="W77">
        <f t="shared" si="26"/>
        <v>0</v>
      </c>
      <c r="X77">
        <f t="shared" si="27"/>
        <v>0</v>
      </c>
      <c r="Y77">
        <f t="shared" si="28"/>
        <v>0</v>
      </c>
      <c r="Z77">
        <f t="shared" si="29"/>
        <v>270.62016217816824</v>
      </c>
      <c r="AA77">
        <f t="shared" si="30"/>
        <v>276.67691756493025</v>
      </c>
      <c r="AB77">
        <f t="shared" si="31"/>
        <v>0</v>
      </c>
      <c r="AC77">
        <f t="shared" si="32"/>
        <v>-1.3676256566818232</v>
      </c>
      <c r="AD77">
        <f t="shared" si="33"/>
        <v>765.46996655177736</v>
      </c>
      <c r="AE77">
        <f t="shared" si="34"/>
        <v>375.1008439375903</v>
      </c>
      <c r="AF77">
        <f t="shared" si="35"/>
        <v>1000</v>
      </c>
      <c r="AG77">
        <f t="shared" si="36"/>
        <v>2.3559981706671351</v>
      </c>
      <c r="AH77">
        <f t="shared" si="37"/>
        <v>2270.6440018293333</v>
      </c>
      <c r="AI77" s="5">
        <f t="shared" si="20"/>
        <v>0.43994720633523976</v>
      </c>
      <c r="AJ77" s="5">
        <f t="shared" si="21"/>
        <v>0</v>
      </c>
      <c r="AK77" s="5">
        <f t="shared" si="22"/>
        <v>0.44040369128509571</v>
      </c>
    </row>
    <row r="78" spans="1:37" hidden="1" x14ac:dyDescent="0.3">
      <c r="A78">
        <v>4977194</v>
      </c>
      <c r="B78" t="s">
        <v>40</v>
      </c>
      <c r="C78">
        <v>30.333333333333329</v>
      </c>
      <c r="D78">
        <v>75584.563835573063</v>
      </c>
      <c r="I78">
        <v>10237.76956738413</v>
      </c>
      <c r="J78">
        <v>10485</v>
      </c>
      <c r="K78">
        <v>5777.0176316189209</v>
      </c>
      <c r="L78">
        <v>5755.0646988931712</v>
      </c>
      <c r="M78">
        <v>20969.866025487001</v>
      </c>
      <c r="N78">
        <v>13568.2818657634</v>
      </c>
      <c r="O78">
        <v>43489.3923104563</v>
      </c>
      <c r="P78" s="2">
        <v>43973.430555555547</v>
      </c>
      <c r="Q78" s="2">
        <v>43974.6875</v>
      </c>
      <c r="R78">
        <v>75206.431599030926</v>
      </c>
      <c r="S78">
        <v>6.2059982393343738</v>
      </c>
      <c r="T78">
        <f t="shared" si="23"/>
        <v>0.69748809357449182</v>
      </c>
      <c r="U78">
        <f t="shared" si="24"/>
        <v>1738.0000000000002</v>
      </c>
      <c r="V78">
        <f t="shared" si="25"/>
        <v>0</v>
      </c>
      <c r="W78">
        <f t="shared" si="26"/>
        <v>0</v>
      </c>
      <c r="X78">
        <f t="shared" si="27"/>
        <v>0</v>
      </c>
      <c r="Y78">
        <f t="shared" si="28"/>
        <v>0</v>
      </c>
      <c r="Z78">
        <f t="shared" si="29"/>
        <v>235.40843004427606</v>
      </c>
      <c r="AA78">
        <f t="shared" si="30"/>
        <v>241.09327454269939</v>
      </c>
      <c r="AB78">
        <f t="shared" si="31"/>
        <v>132.83739607991564</v>
      </c>
      <c r="AC78">
        <f t="shared" si="32"/>
        <v>132.33260786468753</v>
      </c>
      <c r="AD78">
        <f t="shared" si="33"/>
        <v>482.18346846031113</v>
      </c>
      <c r="AE78">
        <f t="shared" si="34"/>
        <v>311.99060609778013</v>
      </c>
      <c r="AF78">
        <f t="shared" si="35"/>
        <v>1000</v>
      </c>
      <c r="AG78">
        <f t="shared" si="36"/>
        <v>8.6948153665327936</v>
      </c>
      <c r="AH78">
        <f t="shared" si="37"/>
        <v>1729.3051846334674</v>
      </c>
      <c r="AI78" s="5">
        <f t="shared" si="20"/>
        <v>0.57537399309551196</v>
      </c>
      <c r="AJ78" s="5">
        <f t="shared" si="21"/>
        <v>0</v>
      </c>
      <c r="AK78" s="5">
        <f t="shared" si="22"/>
        <v>0.5782669299126364</v>
      </c>
    </row>
    <row r="79" spans="1:37" hidden="1" x14ac:dyDescent="0.3">
      <c r="A79">
        <v>4975636</v>
      </c>
      <c r="B79" t="s">
        <v>42</v>
      </c>
      <c r="C79">
        <v>33.5</v>
      </c>
      <c r="D79">
        <v>82154.173989910167</v>
      </c>
      <c r="I79">
        <v>-13683.805214272281</v>
      </c>
      <c r="J79">
        <v>13421</v>
      </c>
      <c r="K79">
        <v>0</v>
      </c>
      <c r="L79">
        <v>-2.8863366835381039</v>
      </c>
      <c r="M79">
        <v>30382.881625661579</v>
      </c>
      <c r="N79">
        <v>13351.313633833761</v>
      </c>
      <c r="O79">
        <v>37806.798890892853</v>
      </c>
      <c r="P79" s="2">
        <v>43974.6875</v>
      </c>
      <c r="Q79" s="2">
        <v>43976.083333333343</v>
      </c>
      <c r="R79">
        <v>82158.05925409394</v>
      </c>
      <c r="S79">
        <v>6.2280248422898294</v>
      </c>
      <c r="T79">
        <f t="shared" si="23"/>
        <v>0.88608401088592814</v>
      </c>
      <c r="U79">
        <f t="shared" si="24"/>
        <v>2173</v>
      </c>
      <c r="V79">
        <f t="shared" si="25"/>
        <v>0</v>
      </c>
      <c r="W79">
        <f t="shared" si="26"/>
        <v>0</v>
      </c>
      <c r="X79">
        <f t="shared" si="27"/>
        <v>0</v>
      </c>
      <c r="Y79">
        <f t="shared" si="28"/>
        <v>0</v>
      </c>
      <c r="Z79">
        <f t="shared" si="29"/>
        <v>-361.94032861027347</v>
      </c>
      <c r="AA79">
        <f t="shared" si="30"/>
        <v>354.98906000298632</v>
      </c>
      <c r="AB79">
        <f t="shared" si="31"/>
        <v>0</v>
      </c>
      <c r="AC79">
        <f t="shared" si="32"/>
        <v>-7.6344381651242715E-2</v>
      </c>
      <c r="AD79">
        <f t="shared" si="33"/>
        <v>803.63539143697255</v>
      </c>
      <c r="AE79">
        <f t="shared" si="34"/>
        <v>353.14583687353417</v>
      </c>
      <c r="AF79">
        <f t="shared" si="35"/>
        <v>1000.0000000000001</v>
      </c>
      <c r="AG79">
        <f t="shared" si="36"/>
        <v>-0.10276628272549715</v>
      </c>
      <c r="AH79">
        <f t="shared" si="37"/>
        <v>2173.1027662827255</v>
      </c>
      <c r="AI79" s="5">
        <f t="shared" si="20"/>
        <v>0.46019328117809483</v>
      </c>
      <c r="AJ79" s="5">
        <f t="shared" si="21"/>
        <v>0</v>
      </c>
      <c r="AK79" s="5">
        <f t="shared" si="22"/>
        <v>0.46017151858427008</v>
      </c>
    </row>
    <row r="80" spans="1:37" hidden="1" x14ac:dyDescent="0.3">
      <c r="A80">
        <v>4977183</v>
      </c>
      <c r="B80" t="s">
        <v>38</v>
      </c>
      <c r="C80">
        <v>14.08333333333333</v>
      </c>
      <c r="D80">
        <v>33988.922962032077</v>
      </c>
      <c r="I80">
        <v>4633.8459298392891</v>
      </c>
      <c r="J80">
        <v>4745</v>
      </c>
      <c r="K80">
        <v>0</v>
      </c>
      <c r="L80">
        <v>-54.329996276756283</v>
      </c>
      <c r="M80">
        <v>10803.518185494549</v>
      </c>
      <c r="N80">
        <v>4944.8756839004072</v>
      </c>
      <c r="O80">
        <v>14953.33170348969</v>
      </c>
      <c r="P80" s="2">
        <v>43976.291666666657</v>
      </c>
      <c r="Q80" s="2">
        <v>43976.878472222219</v>
      </c>
      <c r="R80">
        <v>34612.472916829749</v>
      </c>
      <c r="S80">
        <v>6.238486179495502</v>
      </c>
      <c r="T80">
        <f t="shared" si="23"/>
        <v>0.9418190950747567</v>
      </c>
      <c r="U80">
        <f t="shared" si="24"/>
        <v>2273.0000000000009</v>
      </c>
      <c r="V80">
        <f t="shared" si="25"/>
        <v>0</v>
      </c>
      <c r="W80">
        <f t="shared" si="26"/>
        <v>0</v>
      </c>
      <c r="X80">
        <f t="shared" si="27"/>
        <v>0</v>
      </c>
      <c r="Y80">
        <f t="shared" si="28"/>
        <v>0</v>
      </c>
      <c r="Z80">
        <f t="shared" si="29"/>
        <v>309.88718913778115</v>
      </c>
      <c r="AA80">
        <f t="shared" si="30"/>
        <v>317.32058741749501</v>
      </c>
      <c r="AB80">
        <f t="shared" si="31"/>
        <v>0</v>
      </c>
      <c r="AC80">
        <f t="shared" si="32"/>
        <v>-3.6333037582572438</v>
      </c>
      <c r="AD80">
        <f t="shared" si="33"/>
        <v>722.48234705937205</v>
      </c>
      <c r="AE80">
        <f t="shared" si="34"/>
        <v>330.68721954094093</v>
      </c>
      <c r="AF80">
        <f t="shared" si="35"/>
        <v>1000</v>
      </c>
      <c r="AG80">
        <f t="shared" si="36"/>
        <v>-41.699734023297879</v>
      </c>
      <c r="AH80">
        <f t="shared" si="37"/>
        <v>2314.6997340232988</v>
      </c>
      <c r="AI80" s="5">
        <f t="shared" si="20"/>
        <v>0.43994720633523965</v>
      </c>
      <c r="AJ80" s="5">
        <f t="shared" si="21"/>
        <v>0</v>
      </c>
      <c r="AK80" s="5">
        <f t="shared" si="22"/>
        <v>0.43202147790540785</v>
      </c>
    </row>
    <row r="81" spans="1:37" hidden="1" x14ac:dyDescent="0.3">
      <c r="A81">
        <v>4973395</v>
      </c>
      <c r="B81" t="s">
        <v>41</v>
      </c>
      <c r="C81">
        <v>16.166666666666671</v>
      </c>
      <c r="D81">
        <v>37609.198677115521</v>
      </c>
      <c r="I81">
        <v>6476.1715704428261</v>
      </c>
      <c r="J81">
        <v>6144</v>
      </c>
      <c r="K81">
        <v>981.2398394764075</v>
      </c>
      <c r="L81">
        <v>985.70477829654374</v>
      </c>
      <c r="M81">
        <v>14167.77066534362</v>
      </c>
      <c r="N81">
        <v>8959.7662071922605</v>
      </c>
      <c r="O81">
        <v>17307.500541700651</v>
      </c>
      <c r="P81" s="2">
        <v>43977.572916666657</v>
      </c>
      <c r="Q81" s="2">
        <v>43978.246527777781</v>
      </c>
      <c r="R81">
        <v>37635.542952184267</v>
      </c>
      <c r="S81">
        <v>6.93416804164056</v>
      </c>
      <c r="T81">
        <f t="shared" si="23"/>
        <v>0.93408442355467469</v>
      </c>
      <c r="U81">
        <f t="shared" si="24"/>
        <v>2173.0000000000005</v>
      </c>
      <c r="V81">
        <f t="shared" si="25"/>
        <v>0</v>
      </c>
      <c r="W81">
        <f t="shared" si="26"/>
        <v>0</v>
      </c>
      <c r="X81">
        <f t="shared" si="27"/>
        <v>0</v>
      </c>
      <c r="Y81">
        <f t="shared" si="28"/>
        <v>0</v>
      </c>
      <c r="Z81">
        <f t="shared" si="29"/>
        <v>374.18294772484069</v>
      </c>
      <c r="AA81">
        <f t="shared" si="30"/>
        <v>354.99059989607747</v>
      </c>
      <c r="AB81">
        <f t="shared" si="31"/>
        <v>56.694485556259878</v>
      </c>
      <c r="AC81">
        <f t="shared" si="32"/>
        <v>56.95246265753908</v>
      </c>
      <c r="AD81">
        <f t="shared" si="33"/>
        <v>818.59137494797858</v>
      </c>
      <c r="AE81">
        <f t="shared" si="34"/>
        <v>517.68111666988659</v>
      </c>
      <c r="AF81">
        <f t="shared" si="35"/>
        <v>1000</v>
      </c>
      <c r="AG81">
        <f t="shared" si="36"/>
        <v>-1.5221305355603363</v>
      </c>
      <c r="AH81">
        <f t="shared" si="37"/>
        <v>2174.5221305355608</v>
      </c>
      <c r="AI81" s="5">
        <f t="shared" si="20"/>
        <v>0.46019328117809472</v>
      </c>
      <c r="AJ81" s="5">
        <f t="shared" si="21"/>
        <v>0</v>
      </c>
      <c r="AK81" s="5">
        <f t="shared" si="22"/>
        <v>0.45987115327895567</v>
      </c>
    </row>
    <row r="82" spans="1:37" hidden="1" x14ac:dyDescent="0.3">
      <c r="A82">
        <v>4978566</v>
      </c>
      <c r="B82" t="s">
        <v>41</v>
      </c>
      <c r="C82">
        <v>14.08333333333333</v>
      </c>
      <c r="D82">
        <v>33426.691894681811</v>
      </c>
      <c r="I82">
        <v>5173.1485374173399</v>
      </c>
      <c r="J82">
        <v>5047</v>
      </c>
      <c r="K82">
        <v>0</v>
      </c>
      <c r="L82">
        <v>43.073274901630043</v>
      </c>
      <c r="M82">
        <v>13813.24397496689</v>
      </c>
      <c r="N82">
        <v>7635.6932219063656</v>
      </c>
      <c r="O82">
        <v>15382.739021942851</v>
      </c>
      <c r="P82" s="2">
        <v>43979.291666666657</v>
      </c>
      <c r="Q82" s="2">
        <v>43979.878472222219</v>
      </c>
      <c r="R82">
        <v>33426.729680156008</v>
      </c>
      <c r="S82">
        <v>6.3996914165136776</v>
      </c>
      <c r="T82">
        <f t="shared" si="23"/>
        <v>0.9155283277733588</v>
      </c>
      <c r="U82">
        <f t="shared" si="24"/>
        <v>2173</v>
      </c>
      <c r="V82">
        <f t="shared" si="25"/>
        <v>0</v>
      </c>
      <c r="W82">
        <f t="shared" si="26"/>
        <v>0</v>
      </c>
      <c r="X82">
        <f t="shared" si="27"/>
        <v>0</v>
      </c>
      <c r="Y82">
        <f t="shared" si="28"/>
        <v>0</v>
      </c>
      <c r="Z82">
        <f t="shared" si="29"/>
        <v>336.29567075395704</v>
      </c>
      <c r="AA82">
        <f t="shared" si="30"/>
        <v>328.09501564062549</v>
      </c>
      <c r="AB82">
        <f t="shared" si="31"/>
        <v>0</v>
      </c>
      <c r="AC82">
        <f t="shared" si="32"/>
        <v>2.8001043793428315</v>
      </c>
      <c r="AD82">
        <f t="shared" si="33"/>
        <v>897.97037804924457</v>
      </c>
      <c r="AE82">
        <f t="shared" si="34"/>
        <v>496.38059977578507</v>
      </c>
      <c r="AF82">
        <f t="shared" si="35"/>
        <v>1000</v>
      </c>
      <c r="AG82">
        <f t="shared" si="36"/>
        <v>-2.4563554084124917E-3</v>
      </c>
      <c r="AH82">
        <f t="shared" si="37"/>
        <v>2173.0024563554084</v>
      </c>
      <c r="AI82" s="5">
        <f t="shared" si="20"/>
        <v>0.46019328117809483</v>
      </c>
      <c r="AJ82" s="5">
        <f t="shared" si="21"/>
        <v>0</v>
      </c>
      <c r="AK82" s="5">
        <f t="shared" si="22"/>
        <v>0.46019276097700074</v>
      </c>
    </row>
    <row r="83" spans="1:37" hidden="1" x14ac:dyDescent="0.3">
      <c r="A83">
        <v>4979704</v>
      </c>
      <c r="B83" t="s">
        <v>46</v>
      </c>
      <c r="C83">
        <v>33.586666666666673</v>
      </c>
      <c r="D83">
        <v>58402.509141392358</v>
      </c>
      <c r="I83">
        <v>11727.707879985701</v>
      </c>
      <c r="J83">
        <v>7805</v>
      </c>
      <c r="K83">
        <v>26377.550716705449</v>
      </c>
      <c r="L83">
        <v>-17659.34856962561</v>
      </c>
      <c r="M83">
        <v>3628.0706889207931</v>
      </c>
      <c r="N83">
        <v>34008.113980945011</v>
      </c>
      <c r="O83">
        <v>22777.889680730252</v>
      </c>
      <c r="P83" s="2">
        <v>43980.211805555547</v>
      </c>
      <c r="Q83" s="2">
        <v>43981.611250000002</v>
      </c>
      <c r="R83">
        <v>60165.760438582103</v>
      </c>
      <c r="S83">
        <v>6.4926760493386606</v>
      </c>
      <c r="T83">
        <f t="shared" si="23"/>
        <v>1.4745293412796041</v>
      </c>
      <c r="U83">
        <f t="shared" si="24"/>
        <v>2563.9999999999995</v>
      </c>
      <c r="V83">
        <f t="shared" si="25"/>
        <v>0</v>
      </c>
      <c r="W83">
        <f t="shared" si="26"/>
        <v>0</v>
      </c>
      <c r="X83">
        <f t="shared" si="27"/>
        <v>0</v>
      </c>
      <c r="Y83">
        <f t="shared" si="28"/>
        <v>0</v>
      </c>
      <c r="Z83">
        <f t="shared" si="29"/>
        <v>514.87245062509737</v>
      </c>
      <c r="AA83">
        <f t="shared" si="30"/>
        <v>342.65685317647802</v>
      </c>
      <c r="AB83">
        <f t="shared" si="31"/>
        <v>1158.0331227532661</v>
      </c>
      <c r="AC83">
        <f t="shared" si="32"/>
        <v>-775.28466496021133</v>
      </c>
      <c r="AD83">
        <f t="shared" si="33"/>
        <v>159.28036968192387</v>
      </c>
      <c r="AE83">
        <f t="shared" si="34"/>
        <v>1493.0318153975152</v>
      </c>
      <c r="AF83">
        <f t="shared" si="35"/>
        <v>1000.0000000000001</v>
      </c>
      <c r="AG83">
        <f t="shared" si="36"/>
        <v>-77.410652255526202</v>
      </c>
      <c r="AH83">
        <f t="shared" si="37"/>
        <v>2641.4106522555257</v>
      </c>
      <c r="AI83" s="5">
        <f t="shared" si="20"/>
        <v>0.39001560062402502</v>
      </c>
      <c r="AJ83" s="5">
        <f t="shared" si="21"/>
        <v>0</v>
      </c>
      <c r="AK83" s="5">
        <f t="shared" si="22"/>
        <v>0.37858558613220195</v>
      </c>
    </row>
    <row r="84" spans="1:37" hidden="1" x14ac:dyDescent="0.3">
      <c r="A84">
        <v>4979707</v>
      </c>
      <c r="B84" t="s">
        <v>34</v>
      </c>
      <c r="C84">
        <v>9.5</v>
      </c>
      <c r="D84">
        <v>17258.491680848689</v>
      </c>
      <c r="I84">
        <v>2715.0195571233198</v>
      </c>
      <c r="J84">
        <v>3057</v>
      </c>
      <c r="K84">
        <v>3983.615313604068</v>
      </c>
      <c r="L84">
        <v>3953.631793329208</v>
      </c>
      <c r="M84">
        <v>0</v>
      </c>
      <c r="N84">
        <v>2249.564666395408</v>
      </c>
      <c r="O84">
        <v>6731.0809987709408</v>
      </c>
      <c r="P84" s="2">
        <v>43983.291666666657</v>
      </c>
      <c r="Q84" s="2">
        <v>43983.6875</v>
      </c>
      <c r="R84">
        <v>16795.941405396559</v>
      </c>
      <c r="S84">
        <v>7.1833781637780429</v>
      </c>
      <c r="T84">
        <f t="shared" si="23"/>
        <v>1.4113631973429899</v>
      </c>
      <c r="U84">
        <f t="shared" si="24"/>
        <v>2563.9999999999995</v>
      </c>
      <c r="V84">
        <f t="shared" si="25"/>
        <v>0</v>
      </c>
      <c r="W84">
        <f t="shared" si="26"/>
        <v>0</v>
      </c>
      <c r="X84">
        <f t="shared" si="27"/>
        <v>0</v>
      </c>
      <c r="Y84">
        <f t="shared" si="28"/>
        <v>0</v>
      </c>
      <c r="Z84">
        <f t="shared" si="29"/>
        <v>403.35565084108595</v>
      </c>
      <c r="AA84">
        <f t="shared" si="30"/>
        <v>454.16182045026522</v>
      </c>
      <c r="AB84">
        <f t="shared" si="31"/>
        <v>591.82400484134041</v>
      </c>
      <c r="AC84">
        <f t="shared" si="32"/>
        <v>587.36951673158001</v>
      </c>
      <c r="AD84">
        <f t="shared" si="33"/>
        <v>0</v>
      </c>
      <c r="AE84">
        <f t="shared" si="34"/>
        <v>334.20555580985678</v>
      </c>
      <c r="AF84">
        <f t="shared" si="35"/>
        <v>1000</v>
      </c>
      <c r="AG84">
        <f t="shared" si="36"/>
        <v>68.718572178315753</v>
      </c>
      <c r="AH84">
        <f t="shared" si="37"/>
        <v>2495.2814278216838</v>
      </c>
      <c r="AI84" s="5">
        <f t="shared" si="20"/>
        <v>0.39001560062402502</v>
      </c>
      <c r="AJ84" s="5">
        <f t="shared" si="21"/>
        <v>0</v>
      </c>
      <c r="AK84" s="5">
        <f t="shared" si="22"/>
        <v>0.40075639919821554</v>
      </c>
    </row>
    <row r="85" spans="1:37" hidden="1" x14ac:dyDescent="0.3">
      <c r="A85">
        <v>4979709</v>
      </c>
      <c r="B85" t="s">
        <v>43</v>
      </c>
      <c r="C85">
        <v>3.583333333333333</v>
      </c>
      <c r="D85">
        <v>3576.5622392200221</v>
      </c>
      <c r="I85">
        <v>1516.5085035425041</v>
      </c>
      <c r="J85">
        <v>1152</v>
      </c>
      <c r="K85">
        <v>1439.3726706326429</v>
      </c>
      <c r="L85">
        <v>1502.7122082289779</v>
      </c>
      <c r="M85">
        <v>0</v>
      </c>
      <c r="N85">
        <v>529.36026623673922</v>
      </c>
      <c r="O85">
        <v>1394.9150698986041</v>
      </c>
      <c r="P85" s="2">
        <v>43983.833333333343</v>
      </c>
      <c r="Q85" s="2">
        <v>43983.982638888891</v>
      </c>
      <c r="R85">
        <v>5856.3411997260564</v>
      </c>
      <c r="S85">
        <v>7.4719023398685733</v>
      </c>
      <c r="T85">
        <f t="shared" si="23"/>
        <v>2.5688541264335214</v>
      </c>
      <c r="U85">
        <f t="shared" si="24"/>
        <v>2564.0000000000009</v>
      </c>
      <c r="V85">
        <f t="shared" si="25"/>
        <v>0</v>
      </c>
      <c r="W85">
        <f t="shared" si="26"/>
        <v>0</v>
      </c>
      <c r="X85">
        <f t="shared" si="27"/>
        <v>0</v>
      </c>
      <c r="Y85">
        <f t="shared" si="28"/>
        <v>0</v>
      </c>
      <c r="Z85">
        <f t="shared" si="29"/>
        <v>1087.1690587246567</v>
      </c>
      <c r="AA85">
        <f t="shared" si="30"/>
        <v>825.85673125155824</v>
      </c>
      <c r="AB85">
        <f t="shared" si="31"/>
        <v>1031.8711882131079</v>
      </c>
      <c r="AC85">
        <f t="shared" si="32"/>
        <v>1077.2786391491272</v>
      </c>
      <c r="AD85">
        <f t="shared" si="33"/>
        <v>0</v>
      </c>
      <c r="AE85">
        <f t="shared" si="34"/>
        <v>379.49282910479866</v>
      </c>
      <c r="AF85">
        <f t="shared" si="35"/>
        <v>1000.0000000000001</v>
      </c>
      <c r="AG85">
        <f t="shared" si="36"/>
        <v>-1634.349653037837</v>
      </c>
      <c r="AH85">
        <f t="shared" si="37"/>
        <v>4198.3496530378379</v>
      </c>
      <c r="AI85" s="5">
        <f t="shared" si="20"/>
        <v>0.39001560062402485</v>
      </c>
      <c r="AJ85" s="5">
        <f t="shared" si="21"/>
        <v>0</v>
      </c>
      <c r="AK85" s="5">
        <f t="shared" si="22"/>
        <v>0.2381888319560094</v>
      </c>
    </row>
    <row r="86" spans="1:37" hidden="1" x14ac:dyDescent="0.3">
      <c r="A86">
        <v>4982222</v>
      </c>
      <c r="B86" t="s">
        <v>31</v>
      </c>
      <c r="C86">
        <v>10.16666666666667</v>
      </c>
      <c r="D86">
        <v>0</v>
      </c>
      <c r="E86">
        <v>17106</v>
      </c>
      <c r="F86">
        <v>0</v>
      </c>
      <c r="G86">
        <v>17106</v>
      </c>
      <c r="H86">
        <v>0</v>
      </c>
      <c r="I86">
        <v>3007.122342852299</v>
      </c>
      <c r="J86">
        <v>3960</v>
      </c>
      <c r="K86">
        <v>9364.6441588528651</v>
      </c>
      <c r="L86">
        <v>8273.9408555221562</v>
      </c>
      <c r="M86">
        <v>0</v>
      </c>
      <c r="N86">
        <v>7325.6029680895153</v>
      </c>
      <c r="O86">
        <v>8145.7142857142853</v>
      </c>
      <c r="P86" s="2">
        <v>43984.291666666657</v>
      </c>
      <c r="Q86" s="2">
        <v>43985.395833333343</v>
      </c>
      <c r="R86">
        <v>13205.9471460601</v>
      </c>
      <c r="S86">
        <v>5.2157257756879254</v>
      </c>
      <c r="T86">
        <f t="shared" si="23"/>
        <v>1.2481000818426287</v>
      </c>
      <c r="U86">
        <f t="shared" si="24"/>
        <v>0</v>
      </c>
      <c r="V86">
        <f t="shared" si="25"/>
        <v>2100</v>
      </c>
      <c r="W86">
        <f t="shared" si="26"/>
        <v>0</v>
      </c>
      <c r="X86">
        <f t="shared" si="27"/>
        <v>2100</v>
      </c>
      <c r="Y86">
        <f t="shared" si="28"/>
        <v>0</v>
      </c>
      <c r="Z86">
        <f t="shared" si="29"/>
        <v>369.16619431718863</v>
      </c>
      <c r="AA86">
        <f t="shared" si="30"/>
        <v>486.14521220624346</v>
      </c>
      <c r="AB86">
        <f t="shared" si="31"/>
        <v>1149.6406368286578</v>
      </c>
      <c r="AC86">
        <f t="shared" si="32"/>
        <v>1015.7415992398297</v>
      </c>
      <c r="AD86">
        <f t="shared" si="33"/>
        <v>0</v>
      </c>
      <c r="AE86">
        <f t="shared" si="34"/>
        <v>899.31990137893035</v>
      </c>
      <c r="AF86">
        <f t="shared" si="35"/>
        <v>1000</v>
      </c>
      <c r="AG86">
        <f t="shared" si="36"/>
        <v>-1621.2141357842986</v>
      </c>
      <c r="AH86">
        <f t="shared" si="37"/>
        <v>1621.2141357842986</v>
      </c>
      <c r="AI86" s="5">
        <f t="shared" si="20"/>
        <v>0</v>
      </c>
      <c r="AJ86" s="5">
        <f t="shared" si="21"/>
        <v>0.47619047619047616</v>
      </c>
      <c r="AK86" s="5">
        <f t="shared" si="22"/>
        <v>0.61682166342339939</v>
      </c>
    </row>
    <row r="87" spans="1:37" hidden="1" x14ac:dyDescent="0.3">
      <c r="A87">
        <v>4981270</v>
      </c>
      <c r="B87" t="s">
        <v>47</v>
      </c>
      <c r="C87">
        <v>198.9133333333333</v>
      </c>
      <c r="D87">
        <v>0</v>
      </c>
      <c r="E87">
        <v>204487.2885</v>
      </c>
      <c r="F87">
        <v>7319.6230800000012</v>
      </c>
      <c r="G87">
        <v>197167.66542</v>
      </c>
      <c r="H87">
        <v>68167.33600000001</v>
      </c>
      <c r="I87">
        <v>11372.997054283451</v>
      </c>
      <c r="J87">
        <v>65849</v>
      </c>
      <c r="K87">
        <v>155153.55041855859</v>
      </c>
      <c r="L87">
        <v>22002.209064522831</v>
      </c>
      <c r="M87">
        <v>0</v>
      </c>
      <c r="N87">
        <v>112296.9146466462</v>
      </c>
      <c r="O87">
        <v>129835.5354761905</v>
      </c>
      <c r="P87" s="2">
        <v>43985.291666666657</v>
      </c>
      <c r="Q87" s="2">
        <v>43994.263888888891</v>
      </c>
      <c r="R87">
        <v>65.947721870614856</v>
      </c>
      <c r="S87">
        <v>5.0041666030883789</v>
      </c>
      <c r="T87">
        <f t="shared" si="23"/>
        <v>1.5320407668346729</v>
      </c>
      <c r="U87">
        <f t="shared" si="24"/>
        <v>0</v>
      </c>
      <c r="V87">
        <f t="shared" si="25"/>
        <v>1574.971657412691</v>
      </c>
      <c r="W87">
        <f t="shared" si="26"/>
        <v>56.376115006991192</v>
      </c>
      <c r="X87">
        <f t="shared" si="27"/>
        <v>1518.5955424056999</v>
      </c>
      <c r="Y87">
        <f t="shared" si="28"/>
        <v>525.02834258730866</v>
      </c>
      <c r="Z87">
        <f t="shared" si="29"/>
        <v>87.595410706100978</v>
      </c>
      <c r="AA87">
        <f t="shared" si="30"/>
        <v>507.17239897759362</v>
      </c>
      <c r="AB87">
        <f t="shared" si="31"/>
        <v>1195.0006587142004</v>
      </c>
      <c r="AC87">
        <f t="shared" si="32"/>
        <v>169.46215058786922</v>
      </c>
      <c r="AD87">
        <f t="shared" si="33"/>
        <v>0</v>
      </c>
      <c r="AE87">
        <f t="shared" si="34"/>
        <v>864.91663653391277</v>
      </c>
      <c r="AF87">
        <f t="shared" si="35"/>
        <v>1000</v>
      </c>
      <c r="AG87">
        <f t="shared" si="36"/>
        <v>-0.5079327599238691</v>
      </c>
      <c r="AH87">
        <f t="shared" si="37"/>
        <v>0.5079327599238691</v>
      </c>
      <c r="AI87" s="5">
        <f t="shared" si="20"/>
        <v>0</v>
      </c>
      <c r="AJ87" s="5">
        <f t="shared" si="21"/>
        <v>0.47619047619047622</v>
      </c>
      <c r="AK87" s="5">
        <f t="shared" si="22"/>
        <v>1968.7645273163398</v>
      </c>
    </row>
    <row r="88" spans="1:37" hidden="1" x14ac:dyDescent="0.3">
      <c r="A88">
        <v>4998494</v>
      </c>
      <c r="B88" t="s">
        <v>32</v>
      </c>
      <c r="C88">
        <v>27.25</v>
      </c>
      <c r="D88">
        <v>48440.352857614002</v>
      </c>
      <c r="I88">
        <v>-21188.898717985179</v>
      </c>
      <c r="J88">
        <v>6247</v>
      </c>
      <c r="K88">
        <v>14702.988953208411</v>
      </c>
      <c r="L88">
        <v>14711.617043999209</v>
      </c>
      <c r="M88">
        <v>0</v>
      </c>
      <c r="N88">
        <v>2774.5591739631891</v>
      </c>
      <c r="O88">
        <v>21633.30763579005</v>
      </c>
      <c r="P88" s="2">
        <v>44028.875</v>
      </c>
      <c r="Q88" s="2">
        <v>44030.482638888891</v>
      </c>
      <c r="R88">
        <v>103446.859845071</v>
      </c>
      <c r="S88">
        <v>6.9227598140766098</v>
      </c>
      <c r="T88">
        <f t="shared" si="23"/>
        <v>1.2596316965842855</v>
      </c>
      <c r="U88">
        <f t="shared" si="24"/>
        <v>2239.1561047037712</v>
      </c>
      <c r="V88">
        <f t="shared" si="25"/>
        <v>0</v>
      </c>
      <c r="W88">
        <f t="shared" si="26"/>
        <v>0</v>
      </c>
      <c r="X88">
        <f t="shared" si="27"/>
        <v>0</v>
      </c>
      <c r="Y88">
        <f t="shared" si="28"/>
        <v>0</v>
      </c>
      <c r="Z88">
        <f t="shared" si="29"/>
        <v>-979.45719049131242</v>
      </c>
      <c r="AA88">
        <f t="shared" si="30"/>
        <v>288.76767737842317</v>
      </c>
      <c r="AB88">
        <f t="shared" si="31"/>
        <v>679.645905320731</v>
      </c>
      <c r="AC88">
        <f t="shared" si="32"/>
        <v>680.04473895893636</v>
      </c>
      <c r="AD88">
        <f t="shared" si="33"/>
        <v>0</v>
      </c>
      <c r="AE88">
        <f t="shared" si="34"/>
        <v>128.25404328707324</v>
      </c>
      <c r="AF88">
        <f t="shared" si="35"/>
        <v>1000</v>
      </c>
      <c r="AG88">
        <f t="shared" si="36"/>
        <v>-2542.6766869646171</v>
      </c>
      <c r="AH88">
        <f t="shared" si="37"/>
        <v>4781.8327916683884</v>
      </c>
      <c r="AI88" s="5">
        <f t="shared" si="20"/>
        <v>0.44659682185592631</v>
      </c>
      <c r="AJ88" s="5">
        <f t="shared" si="21"/>
        <v>0</v>
      </c>
      <c r="AK88" s="5">
        <f t="shared" si="22"/>
        <v>0.20912483634775916</v>
      </c>
    </row>
    <row r="89" spans="1:37" hidden="1" x14ac:dyDescent="0.3">
      <c r="A89">
        <v>4998497</v>
      </c>
      <c r="B89" t="s">
        <v>34</v>
      </c>
      <c r="C89">
        <v>25.833333333333339</v>
      </c>
      <c r="D89">
        <v>46148.039238660152</v>
      </c>
      <c r="I89">
        <v>9487.1124016158174</v>
      </c>
      <c r="J89">
        <v>8677</v>
      </c>
      <c r="K89">
        <v>12754.554076434721</v>
      </c>
      <c r="L89">
        <v>12697.06394741369</v>
      </c>
      <c r="M89">
        <v>0</v>
      </c>
      <c r="N89">
        <v>4223.1955216434653</v>
      </c>
      <c r="O89">
        <v>17998.455241287109</v>
      </c>
      <c r="P89" s="2">
        <v>44030.71875</v>
      </c>
      <c r="Q89" s="2">
        <v>44031.791666666657</v>
      </c>
      <c r="R89">
        <v>47289.872910608901</v>
      </c>
      <c r="S89">
        <v>6.2934405277672276</v>
      </c>
      <c r="T89">
        <f t="shared" si="23"/>
        <v>1.4353083632462862</v>
      </c>
      <c r="U89">
        <f t="shared" si="24"/>
        <v>2564</v>
      </c>
      <c r="V89">
        <f t="shared" si="25"/>
        <v>0</v>
      </c>
      <c r="W89">
        <f t="shared" si="26"/>
        <v>0</v>
      </c>
      <c r="X89">
        <f t="shared" si="27"/>
        <v>0</v>
      </c>
      <c r="Y89">
        <f t="shared" si="28"/>
        <v>0</v>
      </c>
      <c r="Z89">
        <f t="shared" si="29"/>
        <v>527.10703637793824</v>
      </c>
      <c r="AA89">
        <f t="shared" si="30"/>
        <v>482.09692907953632</v>
      </c>
      <c r="AB89">
        <f t="shared" si="31"/>
        <v>708.64715362775848</v>
      </c>
      <c r="AC89">
        <f t="shared" si="32"/>
        <v>705.45298344757816</v>
      </c>
      <c r="AD89">
        <f t="shared" si="33"/>
        <v>0</v>
      </c>
      <c r="AE89">
        <f t="shared" si="34"/>
        <v>234.64211039377264</v>
      </c>
      <c r="AF89">
        <f t="shared" si="35"/>
        <v>1000</v>
      </c>
      <c r="AG89">
        <f t="shared" si="36"/>
        <v>-63.440648469068492</v>
      </c>
      <c r="AH89">
        <f t="shared" si="37"/>
        <v>2627.4406484690685</v>
      </c>
      <c r="AI89" s="5">
        <f t="shared" si="20"/>
        <v>0.39001560062402491</v>
      </c>
      <c r="AJ89" s="5">
        <f t="shared" si="21"/>
        <v>0</v>
      </c>
      <c r="AK89" s="5">
        <f t="shared" si="22"/>
        <v>0.38059851155255225</v>
      </c>
    </row>
    <row r="90" spans="1:37" hidden="1" x14ac:dyDescent="0.3">
      <c r="A90">
        <v>4998499</v>
      </c>
      <c r="B90" t="s">
        <v>43</v>
      </c>
      <c r="C90">
        <v>21</v>
      </c>
      <c r="D90">
        <v>38531.607829825167</v>
      </c>
      <c r="I90">
        <v>5136.2767560012308</v>
      </c>
      <c r="J90">
        <v>6300</v>
      </c>
      <c r="K90">
        <v>7056.0847607517098</v>
      </c>
      <c r="L90">
        <v>-20813.15270320428</v>
      </c>
      <c r="M90">
        <v>0</v>
      </c>
      <c r="N90">
        <v>3388.3014316659451</v>
      </c>
      <c r="O90">
        <v>15027.928170758651</v>
      </c>
      <c r="P90" s="2">
        <v>44031.791666666657</v>
      </c>
      <c r="Q90" s="2">
        <v>44032.666666666657</v>
      </c>
      <c r="R90">
        <v>38576.815747031484</v>
      </c>
      <c r="S90">
        <v>6.3573902768734794</v>
      </c>
      <c r="T90">
        <f t="shared" si="23"/>
        <v>1.397398214935696</v>
      </c>
      <c r="U90">
        <f t="shared" si="24"/>
        <v>2563.9999999999995</v>
      </c>
      <c r="V90">
        <f t="shared" si="25"/>
        <v>0</v>
      </c>
      <c r="W90">
        <f t="shared" si="26"/>
        <v>0</v>
      </c>
      <c r="X90">
        <f t="shared" si="27"/>
        <v>0</v>
      </c>
      <c r="Y90">
        <f t="shared" si="28"/>
        <v>0</v>
      </c>
      <c r="Z90">
        <f t="shared" si="29"/>
        <v>341.78209382151562</v>
      </c>
      <c r="AA90">
        <f t="shared" si="30"/>
        <v>419.21946448070884</v>
      </c>
      <c r="AB90">
        <f t="shared" si="31"/>
        <v>469.53144043378137</v>
      </c>
      <c r="AC90">
        <f t="shared" si="32"/>
        <v>-1384.9648778400817</v>
      </c>
      <c r="AD90">
        <f t="shared" si="33"/>
        <v>0</v>
      </c>
      <c r="AE90">
        <f t="shared" si="34"/>
        <v>225.46697010828834</v>
      </c>
      <c r="AF90">
        <f t="shared" si="35"/>
        <v>999.99999999999989</v>
      </c>
      <c r="AG90">
        <f t="shared" si="36"/>
        <v>-3.0082601335739128</v>
      </c>
      <c r="AH90">
        <f t="shared" si="37"/>
        <v>2567.0082601335735</v>
      </c>
      <c r="AI90" s="5">
        <f t="shared" si="20"/>
        <v>0.39001560062402507</v>
      </c>
      <c r="AJ90" s="5">
        <f t="shared" si="21"/>
        <v>0</v>
      </c>
      <c r="AK90" s="5">
        <f t="shared" si="22"/>
        <v>0.38955854390120476</v>
      </c>
    </row>
    <row r="91" spans="1:37" hidden="1" x14ac:dyDescent="0.3">
      <c r="A91">
        <v>4998501</v>
      </c>
      <c r="B91" t="s">
        <v>37</v>
      </c>
      <c r="C91">
        <v>48.416666666666657</v>
      </c>
      <c r="D91">
        <v>89553.943127535793</v>
      </c>
      <c r="I91">
        <v>-16307.309477694011</v>
      </c>
      <c r="J91">
        <v>11317</v>
      </c>
      <c r="K91">
        <v>16738.992367294009</v>
      </c>
      <c r="L91">
        <v>17552.898866612421</v>
      </c>
      <c r="M91">
        <v>0</v>
      </c>
      <c r="N91">
        <v>8229.4715496198205</v>
      </c>
      <c r="O91">
        <v>34927.434917135637</v>
      </c>
      <c r="P91" s="2">
        <v>44032.697916666657</v>
      </c>
      <c r="Q91" s="2">
        <v>44035.003472222219</v>
      </c>
      <c r="R91">
        <v>102277.6846433429</v>
      </c>
      <c r="S91">
        <v>6.4752842170893947</v>
      </c>
      <c r="T91">
        <f t="shared" si="23"/>
        <v>1.3862073404913313</v>
      </c>
      <c r="U91">
        <f t="shared" si="24"/>
        <v>2564.0000000000005</v>
      </c>
      <c r="V91">
        <f t="shared" si="25"/>
        <v>0</v>
      </c>
      <c r="W91">
        <f t="shared" si="26"/>
        <v>0</v>
      </c>
      <c r="X91">
        <f t="shared" si="27"/>
        <v>0</v>
      </c>
      <c r="Y91">
        <f t="shared" si="28"/>
        <v>0</v>
      </c>
      <c r="Z91">
        <f t="shared" si="29"/>
        <v>-466.89112774478417</v>
      </c>
      <c r="AA91">
        <f t="shared" si="30"/>
        <v>324.01463281942307</v>
      </c>
      <c r="AB91">
        <f t="shared" si="31"/>
        <v>479.25054923176583</v>
      </c>
      <c r="AC91">
        <f t="shared" si="32"/>
        <v>502.55333402685255</v>
      </c>
      <c r="AD91">
        <f t="shared" si="33"/>
        <v>0</v>
      </c>
      <c r="AE91">
        <f t="shared" si="34"/>
        <v>235.61625894211849</v>
      </c>
      <c r="AF91">
        <f t="shared" si="35"/>
        <v>999.99999999999989</v>
      </c>
      <c r="AG91">
        <f t="shared" si="36"/>
        <v>-364.29075155372357</v>
      </c>
      <c r="AH91">
        <f t="shared" si="37"/>
        <v>2928.290751553724</v>
      </c>
      <c r="AI91" s="5">
        <f t="shared" si="20"/>
        <v>0.39001560062402485</v>
      </c>
      <c r="AJ91" s="5">
        <f t="shared" si="21"/>
        <v>0</v>
      </c>
      <c r="AK91" s="5">
        <f t="shared" si="22"/>
        <v>0.34149614394315497</v>
      </c>
    </row>
    <row r="92" spans="1:37" hidden="1" x14ac:dyDescent="0.3">
      <c r="A92">
        <v>4998521</v>
      </c>
      <c r="B92" t="s">
        <v>43</v>
      </c>
      <c r="C92">
        <v>14</v>
      </c>
      <c r="D92">
        <v>25513.932045055419</v>
      </c>
      <c r="I92">
        <v>3373.4267149352349</v>
      </c>
      <c r="J92">
        <v>3301</v>
      </c>
      <c r="K92">
        <v>5057.3703771193086</v>
      </c>
      <c r="L92">
        <v>-23234.6676086716</v>
      </c>
      <c r="M92">
        <v>0</v>
      </c>
      <c r="N92">
        <v>2444.6453506782082</v>
      </c>
      <c r="O92">
        <v>9950.8315308328438</v>
      </c>
      <c r="P92" s="2">
        <v>44034.291666666657</v>
      </c>
      <c r="Q92" s="2">
        <v>44035.298611111109</v>
      </c>
      <c r="R92">
        <v>44563.218930932017</v>
      </c>
      <c r="S92">
        <v>6.132441682048654</v>
      </c>
      <c r="T92">
        <f t="shared" si="23"/>
        <v>1.4069175984560416</v>
      </c>
      <c r="U92">
        <f t="shared" si="24"/>
        <v>2564.0000000000009</v>
      </c>
      <c r="V92">
        <f t="shared" si="25"/>
        <v>0</v>
      </c>
      <c r="W92">
        <f t="shared" si="26"/>
        <v>0</v>
      </c>
      <c r="X92">
        <f t="shared" si="27"/>
        <v>0</v>
      </c>
      <c r="Y92">
        <f t="shared" si="28"/>
        <v>0</v>
      </c>
      <c r="Z92">
        <f t="shared" si="29"/>
        <v>339.00952945315242</v>
      </c>
      <c r="AA92">
        <f t="shared" si="30"/>
        <v>331.73107089309951</v>
      </c>
      <c r="AB92">
        <f t="shared" si="31"/>
        <v>508.23595610567304</v>
      </c>
      <c r="AC92">
        <f t="shared" si="32"/>
        <v>-2334.9473394940446</v>
      </c>
      <c r="AD92">
        <f t="shared" si="33"/>
        <v>0</v>
      </c>
      <c r="AE92">
        <f t="shared" si="34"/>
        <v>245.67246898949372</v>
      </c>
      <c r="AF92">
        <f t="shared" si="35"/>
        <v>1000</v>
      </c>
      <c r="AG92">
        <f t="shared" si="36"/>
        <v>-1914.3412112698334</v>
      </c>
      <c r="AH92">
        <f t="shared" si="37"/>
        <v>4478.3412112698343</v>
      </c>
      <c r="AI92" s="5">
        <f t="shared" si="20"/>
        <v>0.39001560062402485</v>
      </c>
      <c r="AJ92" s="5">
        <f t="shared" si="21"/>
        <v>0</v>
      </c>
      <c r="AK92" s="5">
        <f t="shared" si="22"/>
        <v>0.22329696484124081</v>
      </c>
    </row>
    <row r="93" spans="1:37" hidden="1" x14ac:dyDescent="0.3">
      <c r="A93">
        <v>4998523</v>
      </c>
      <c r="B93" t="s">
        <v>46</v>
      </c>
      <c r="C93">
        <v>20.75</v>
      </c>
      <c r="D93">
        <v>30101.862138591339</v>
      </c>
      <c r="I93">
        <v>5183.8444135205746</v>
      </c>
      <c r="J93">
        <v>5246</v>
      </c>
      <c r="K93">
        <v>0.82406250000000014</v>
      </c>
      <c r="L93">
        <v>106.0080961551009</v>
      </c>
      <c r="M93">
        <v>9458.3858023176454</v>
      </c>
      <c r="N93">
        <v>0.69780423713346529</v>
      </c>
      <c r="O93">
        <v>12128.61689360172</v>
      </c>
      <c r="P93" s="2">
        <v>44035.625</v>
      </c>
      <c r="Q93" s="2">
        <v>44036.5625</v>
      </c>
      <c r="R93">
        <v>32966.423146907728</v>
      </c>
      <c r="S93">
        <v>5.736250276311905</v>
      </c>
      <c r="T93">
        <f t="shared" si="23"/>
        <v>1.7108298647759554</v>
      </c>
      <c r="U93">
        <f t="shared" si="24"/>
        <v>2481.8874569672612</v>
      </c>
      <c r="V93">
        <f t="shared" si="25"/>
        <v>0</v>
      </c>
      <c r="W93">
        <f t="shared" si="26"/>
        <v>0</v>
      </c>
      <c r="X93">
        <f t="shared" si="27"/>
        <v>0</v>
      </c>
      <c r="Y93">
        <f t="shared" si="28"/>
        <v>0</v>
      </c>
      <c r="Z93">
        <f t="shared" si="29"/>
        <v>427.40606443387935</v>
      </c>
      <c r="AA93">
        <f t="shared" si="30"/>
        <v>432.5307696681765</v>
      </c>
      <c r="AB93">
        <f t="shared" si="31"/>
        <v>6.7943649900816194E-2</v>
      </c>
      <c r="AC93">
        <f t="shared" si="32"/>
        <v>8.7403285209729038</v>
      </c>
      <c r="AD93">
        <f t="shared" si="33"/>
        <v>779.84042906881518</v>
      </c>
      <c r="AE93">
        <f t="shared" si="34"/>
        <v>5.7533702585789652E-2</v>
      </c>
      <c r="AF93">
        <f t="shared" si="35"/>
        <v>999.99999999999989</v>
      </c>
      <c r="AG93">
        <f t="shared" si="36"/>
        <v>-236.18200108435713</v>
      </c>
      <c r="AH93">
        <f t="shared" si="37"/>
        <v>2718.0694580516183</v>
      </c>
      <c r="AI93" s="5">
        <f t="shared" si="20"/>
        <v>0.40291915622231655</v>
      </c>
      <c r="AJ93" s="5">
        <f t="shared" si="21"/>
        <v>0</v>
      </c>
      <c r="AK93" s="5">
        <f t="shared" si="22"/>
        <v>0.36790818462631403</v>
      </c>
    </row>
    <row r="94" spans="1:37" hidden="1" x14ac:dyDescent="0.3">
      <c r="A94">
        <v>4998529</v>
      </c>
      <c r="B94" t="s">
        <v>32</v>
      </c>
      <c r="C94">
        <v>44.833333333333343</v>
      </c>
      <c r="D94">
        <v>122857.3369573457</v>
      </c>
      <c r="I94">
        <v>-15129.147724261131</v>
      </c>
      <c r="J94">
        <v>12602</v>
      </c>
      <c r="K94">
        <v>2787.0204571201848</v>
      </c>
      <c r="L94">
        <v>2781.5384188225139</v>
      </c>
      <c r="M94">
        <v>37745.801663188679</v>
      </c>
      <c r="N94">
        <v>24199.879853650538</v>
      </c>
      <c r="O94">
        <v>56538.121011203722</v>
      </c>
      <c r="P94" s="2">
        <v>44037.291666666657</v>
      </c>
      <c r="Q94" s="2">
        <v>44039.638888888891</v>
      </c>
      <c r="R94">
        <v>158845.32256712869</v>
      </c>
      <c r="S94">
        <v>6.9935358192474499</v>
      </c>
      <c r="T94">
        <f t="shared" si="23"/>
        <v>0.79297529757752416</v>
      </c>
      <c r="U94">
        <f t="shared" si="24"/>
        <v>2173.0000000000005</v>
      </c>
      <c r="V94">
        <f t="shared" si="25"/>
        <v>0</v>
      </c>
      <c r="W94">
        <f t="shared" si="26"/>
        <v>0</v>
      </c>
      <c r="X94">
        <f t="shared" si="27"/>
        <v>0</v>
      </c>
      <c r="Y94">
        <f t="shared" si="28"/>
        <v>0</v>
      </c>
      <c r="Z94">
        <f t="shared" si="29"/>
        <v>-267.59197960015518</v>
      </c>
      <c r="AA94">
        <f t="shared" si="30"/>
        <v>222.8938594811589</v>
      </c>
      <c r="AB94">
        <f t="shared" si="31"/>
        <v>49.294536275231053</v>
      </c>
      <c r="AC94">
        <f t="shared" si="32"/>
        <v>49.197574469645318</v>
      </c>
      <c r="AD94">
        <f t="shared" si="33"/>
        <v>667.61683954280841</v>
      </c>
      <c r="AE94">
        <f t="shared" si="34"/>
        <v>428.02766382800439</v>
      </c>
      <c r="AF94">
        <f t="shared" si="35"/>
        <v>1000</v>
      </c>
      <c r="AG94">
        <f t="shared" si="36"/>
        <v>-636.5260282111517</v>
      </c>
      <c r="AH94">
        <f t="shared" si="37"/>
        <v>2809.5260282111522</v>
      </c>
      <c r="AI94" s="5">
        <f t="shared" si="20"/>
        <v>0.46019328117809477</v>
      </c>
      <c r="AJ94" s="5">
        <f t="shared" si="21"/>
        <v>0</v>
      </c>
      <c r="AK94" s="5">
        <f t="shared" si="22"/>
        <v>0.35593192230958187</v>
      </c>
    </row>
    <row r="95" spans="1:37" hidden="1" x14ac:dyDescent="0.3">
      <c r="A95">
        <v>4998531</v>
      </c>
      <c r="B95" t="s">
        <v>40</v>
      </c>
      <c r="C95">
        <v>11.5</v>
      </c>
      <c r="D95">
        <v>32528.706155709318</v>
      </c>
      <c r="I95">
        <v>3186.6452497322439</v>
      </c>
      <c r="J95">
        <v>4211</v>
      </c>
      <c r="K95">
        <v>0</v>
      </c>
      <c r="L95">
        <v>-24.569289629944539</v>
      </c>
      <c r="M95">
        <v>10902.47173798565</v>
      </c>
      <c r="N95">
        <v>7252.9160955819016</v>
      </c>
      <c r="O95">
        <v>18716.171551041039</v>
      </c>
      <c r="P95" s="2">
        <v>44037.8125</v>
      </c>
      <c r="Q95" s="2">
        <v>44038.291666666657</v>
      </c>
      <c r="R95">
        <v>32528.6504232648</v>
      </c>
      <c r="S95">
        <v>6.9429078355212708</v>
      </c>
      <c r="T95">
        <f t="shared" si="23"/>
        <v>0.61444189954330386</v>
      </c>
      <c r="U95">
        <f t="shared" si="24"/>
        <v>1737.9999999999995</v>
      </c>
      <c r="V95">
        <f t="shared" si="25"/>
        <v>0</v>
      </c>
      <c r="W95">
        <f t="shared" si="26"/>
        <v>0</v>
      </c>
      <c r="X95">
        <f t="shared" si="27"/>
        <v>0</v>
      </c>
      <c r="Y95">
        <f t="shared" si="28"/>
        <v>0</v>
      </c>
      <c r="Z95">
        <f t="shared" si="29"/>
        <v>170.26159655792398</v>
      </c>
      <c r="AA95">
        <f t="shared" si="30"/>
        <v>224.99259469363935</v>
      </c>
      <c r="AB95">
        <f t="shared" si="31"/>
        <v>0</v>
      </c>
      <c r="AC95">
        <f t="shared" si="32"/>
        <v>-1.3127305209263234</v>
      </c>
      <c r="AD95">
        <f t="shared" si="33"/>
        <v>582.51612560044248</v>
      </c>
      <c r="AE95">
        <f t="shared" si="34"/>
        <v>387.52135156500401</v>
      </c>
      <c r="AF95">
        <f t="shared" si="35"/>
        <v>1000.0000000000001</v>
      </c>
      <c r="AG95">
        <f t="shared" si="36"/>
        <v>2.9777694846870872E-3</v>
      </c>
      <c r="AH95">
        <f t="shared" si="37"/>
        <v>1737.9970222305149</v>
      </c>
      <c r="AI95" s="5">
        <f t="shared" si="20"/>
        <v>0.57537399309551218</v>
      </c>
      <c r="AJ95" s="5">
        <f t="shared" si="21"/>
        <v>0</v>
      </c>
      <c r="AK95" s="5">
        <f t="shared" si="22"/>
        <v>0.57537497890336864</v>
      </c>
    </row>
    <row r="96" spans="1:37" hidden="1" x14ac:dyDescent="0.3">
      <c r="A96">
        <v>4998527</v>
      </c>
      <c r="B96" t="s">
        <v>38</v>
      </c>
      <c r="C96">
        <v>8.3333333333333321</v>
      </c>
      <c r="D96">
        <v>21571.283645582411</v>
      </c>
      <c r="I96">
        <v>1611.009298178011</v>
      </c>
      <c r="J96">
        <v>2231</v>
      </c>
      <c r="K96">
        <v>0</v>
      </c>
      <c r="L96">
        <v>-19.016349697679399</v>
      </c>
      <c r="M96">
        <v>4878.625027918968</v>
      </c>
      <c r="N96">
        <v>3297.1704950492231</v>
      </c>
      <c r="O96">
        <v>9490.2259769390275</v>
      </c>
      <c r="P96" s="2">
        <v>44040.041666666657</v>
      </c>
      <c r="Q96" s="2">
        <v>44040.791666666657</v>
      </c>
      <c r="R96">
        <v>41351.500537584383</v>
      </c>
      <c r="S96">
        <v>8.1763827918232348</v>
      </c>
      <c r="T96">
        <f t="shared" si="23"/>
        <v>0.87809640714384352</v>
      </c>
      <c r="U96">
        <f t="shared" si="24"/>
        <v>2273</v>
      </c>
      <c r="V96">
        <f t="shared" si="25"/>
        <v>0</v>
      </c>
      <c r="W96">
        <f t="shared" si="26"/>
        <v>0</v>
      </c>
      <c r="X96">
        <f t="shared" si="27"/>
        <v>0</v>
      </c>
      <c r="Y96">
        <f t="shared" si="28"/>
        <v>0</v>
      </c>
      <c r="Z96">
        <f t="shared" si="29"/>
        <v>169.75457719265239</v>
      </c>
      <c r="AA96">
        <f t="shared" si="30"/>
        <v>235.08397012054982</v>
      </c>
      <c r="AB96">
        <f t="shared" si="31"/>
        <v>0</v>
      </c>
      <c r="AC96">
        <f t="shared" si="32"/>
        <v>-2.0037826015827833</v>
      </c>
      <c r="AD96">
        <f t="shared" si="33"/>
        <v>514.06837305812155</v>
      </c>
      <c r="AE96">
        <f t="shared" si="34"/>
        <v>347.4280278532093</v>
      </c>
      <c r="AF96">
        <f t="shared" si="35"/>
        <v>1000.0000000000001</v>
      </c>
      <c r="AG96">
        <f t="shared" si="36"/>
        <v>-2084.2724862471478</v>
      </c>
      <c r="AH96">
        <f t="shared" si="37"/>
        <v>4357.2724862471478</v>
      </c>
      <c r="AI96" s="5">
        <f t="shared" si="20"/>
        <v>0.43994720633523976</v>
      </c>
      <c r="AJ96" s="5">
        <f t="shared" si="21"/>
        <v>0</v>
      </c>
      <c r="AK96" s="5">
        <f t="shared" si="22"/>
        <v>0.22950136883940547</v>
      </c>
    </row>
    <row r="97" spans="1:37" hidden="1" x14ac:dyDescent="0.3">
      <c r="A97">
        <v>4998525</v>
      </c>
      <c r="B97" t="s">
        <v>39</v>
      </c>
      <c r="C97">
        <v>9.5833333333333339</v>
      </c>
      <c r="D97">
        <v>23864.113950229472</v>
      </c>
      <c r="I97">
        <v>2778.4099347608021</v>
      </c>
      <c r="J97">
        <v>2200</v>
      </c>
      <c r="K97">
        <v>777.14298580395337</v>
      </c>
      <c r="L97">
        <v>801.55035831533178</v>
      </c>
      <c r="M97">
        <v>6685.8464415053886</v>
      </c>
      <c r="N97">
        <v>3854.3861046278821</v>
      </c>
      <c r="O97">
        <v>10498.950264069281</v>
      </c>
      <c r="P97" s="2">
        <v>44039.708333333343</v>
      </c>
      <c r="Q97" s="2">
        <v>44040.107638888891</v>
      </c>
      <c r="R97">
        <v>24796.79213300582</v>
      </c>
      <c r="S97">
        <v>8.3402106976028474</v>
      </c>
      <c r="T97">
        <f t="shared" si="23"/>
        <v>0.91278966870912071</v>
      </c>
      <c r="U97">
        <f t="shared" si="24"/>
        <v>2273</v>
      </c>
      <c r="V97">
        <f t="shared" si="25"/>
        <v>0</v>
      </c>
      <c r="W97">
        <f t="shared" si="26"/>
        <v>0</v>
      </c>
      <c r="X97">
        <f t="shared" si="27"/>
        <v>0</v>
      </c>
      <c r="Y97">
        <f t="shared" si="28"/>
        <v>0</v>
      </c>
      <c r="Z97">
        <f t="shared" si="29"/>
        <v>264.63692701444609</v>
      </c>
      <c r="AA97">
        <f t="shared" si="30"/>
        <v>209.54475872974595</v>
      </c>
      <c r="AB97">
        <f t="shared" si="31"/>
        <v>74.021017935819913</v>
      </c>
      <c r="AC97">
        <f t="shared" si="32"/>
        <v>76.345762019512549</v>
      </c>
      <c r="AD97">
        <f t="shared" si="33"/>
        <v>636.81094522244416</v>
      </c>
      <c r="AE97">
        <f t="shared" si="34"/>
        <v>367.12109379342496</v>
      </c>
      <c r="AF97">
        <f t="shared" si="35"/>
        <v>1000.0000000000001</v>
      </c>
      <c r="AG97">
        <f t="shared" si="36"/>
        <v>-88.835374901075738</v>
      </c>
      <c r="AH97">
        <f t="shared" si="37"/>
        <v>2361.8353749010757</v>
      </c>
      <c r="AI97" s="5">
        <f t="shared" si="20"/>
        <v>0.43994720633523982</v>
      </c>
      <c r="AJ97" s="5">
        <f t="shared" si="21"/>
        <v>0</v>
      </c>
      <c r="AK97" s="5">
        <f t="shared" si="22"/>
        <v>0.4233995352203091</v>
      </c>
    </row>
    <row r="98" spans="1:37" hidden="1" x14ac:dyDescent="0.3">
      <c r="A98">
        <v>5008273</v>
      </c>
      <c r="B98" t="s">
        <v>46</v>
      </c>
      <c r="C98">
        <v>7.25</v>
      </c>
      <c r="D98">
        <v>15292.84542389134</v>
      </c>
      <c r="I98">
        <v>1612.080940610412</v>
      </c>
      <c r="J98">
        <v>1604</v>
      </c>
      <c r="K98">
        <v>0</v>
      </c>
      <c r="L98">
        <v>11.99075648412418</v>
      </c>
      <c r="M98">
        <v>3355.9265096650279</v>
      </c>
      <c r="N98">
        <v>2548.1048860359551</v>
      </c>
      <c r="O98">
        <v>6287.5502146687822</v>
      </c>
      <c r="P98" s="2">
        <v>44040.263888888891</v>
      </c>
      <c r="Q98" s="2">
        <v>44040.454861111109</v>
      </c>
      <c r="R98">
        <v>8514.587447373533</v>
      </c>
      <c r="S98">
        <v>7.5759584767736863</v>
      </c>
      <c r="T98">
        <f t="shared" si="23"/>
        <v>1.1530723020049738</v>
      </c>
      <c r="U98">
        <f t="shared" si="24"/>
        <v>2432.242272707947</v>
      </c>
      <c r="V98">
        <f t="shared" si="25"/>
        <v>0</v>
      </c>
      <c r="W98">
        <f t="shared" si="26"/>
        <v>0</v>
      </c>
      <c r="X98">
        <f t="shared" si="27"/>
        <v>0</v>
      </c>
      <c r="Y98">
        <f t="shared" si="28"/>
        <v>0</v>
      </c>
      <c r="Z98">
        <f t="shared" si="29"/>
        <v>256.39253533903326</v>
      </c>
      <c r="AA98">
        <f t="shared" si="30"/>
        <v>255.10730654013489</v>
      </c>
      <c r="AB98">
        <f t="shared" si="31"/>
        <v>0</v>
      </c>
      <c r="AC98">
        <f t="shared" si="32"/>
        <v>1.9070633354386393</v>
      </c>
      <c r="AD98">
        <f t="shared" si="33"/>
        <v>533.74150425640971</v>
      </c>
      <c r="AE98">
        <f t="shared" si="34"/>
        <v>405.26195402642759</v>
      </c>
      <c r="AF98">
        <f t="shared" si="35"/>
        <v>1000</v>
      </c>
      <c r="AG98">
        <f t="shared" si="36"/>
        <v>1078.0443487678567</v>
      </c>
      <c r="AH98">
        <f t="shared" si="37"/>
        <v>1354.1979239400903</v>
      </c>
      <c r="AI98" s="5">
        <f t="shared" si="20"/>
        <v>0.41114325296494653</v>
      </c>
      <c r="AJ98" s="5">
        <f t="shared" si="21"/>
        <v>0</v>
      </c>
      <c r="AK98" s="5">
        <f t="shared" si="22"/>
        <v>0.73844449346847474</v>
      </c>
    </row>
    <row r="99" spans="1:37" hidden="1" x14ac:dyDescent="0.3">
      <c r="A99">
        <v>5008423</v>
      </c>
      <c r="B99" t="s">
        <v>32</v>
      </c>
      <c r="C99">
        <v>15.58333333333333</v>
      </c>
      <c r="D99">
        <v>43955.983971001173</v>
      </c>
      <c r="I99">
        <v>3527.645400700862</v>
      </c>
      <c r="J99">
        <v>3508</v>
      </c>
      <c r="K99">
        <v>0</v>
      </c>
      <c r="L99">
        <v>-3.6157231043674192</v>
      </c>
      <c r="M99">
        <v>13137.52504242752</v>
      </c>
      <c r="N99">
        <v>9686.151752304615</v>
      </c>
      <c r="O99">
        <v>20228.24849102677</v>
      </c>
      <c r="P99" s="2">
        <v>44040.802083333343</v>
      </c>
      <c r="Q99" s="2">
        <v>44042.065972222219</v>
      </c>
      <c r="R99">
        <v>85905.756908702853</v>
      </c>
      <c r="S99">
        <v>9.0793497240594583</v>
      </c>
      <c r="T99">
        <f t="shared" si="23"/>
        <v>0.77037482213282482</v>
      </c>
      <c r="U99">
        <f t="shared" si="24"/>
        <v>2173</v>
      </c>
      <c r="V99">
        <f t="shared" si="25"/>
        <v>0</v>
      </c>
      <c r="W99">
        <f t="shared" si="26"/>
        <v>0</v>
      </c>
      <c r="X99">
        <f t="shared" si="27"/>
        <v>0</v>
      </c>
      <c r="Y99">
        <f t="shared" si="28"/>
        <v>0</v>
      </c>
      <c r="Z99">
        <f t="shared" si="29"/>
        <v>174.39203410348264</v>
      </c>
      <c r="AA99">
        <f t="shared" si="30"/>
        <v>173.42084766044599</v>
      </c>
      <c r="AB99">
        <f t="shared" si="31"/>
        <v>0</v>
      </c>
      <c r="AC99">
        <f t="shared" si="32"/>
        <v>-0.17874622738450885</v>
      </c>
      <c r="AD99">
        <f t="shared" si="33"/>
        <v>649.46428991394441</v>
      </c>
      <c r="AE99">
        <f t="shared" si="34"/>
        <v>478.84282994651676</v>
      </c>
      <c r="AF99">
        <f t="shared" si="35"/>
        <v>1000</v>
      </c>
      <c r="AG99">
        <f t="shared" si="36"/>
        <v>-2073.8213175654109</v>
      </c>
      <c r="AH99">
        <f t="shared" si="37"/>
        <v>4246.8213175654109</v>
      </c>
      <c r="AI99" s="5">
        <f t="shared" si="20"/>
        <v>0.46019328117809477</v>
      </c>
      <c r="AJ99" s="5">
        <f t="shared" si="21"/>
        <v>0</v>
      </c>
      <c r="AK99" s="5">
        <f t="shared" si="22"/>
        <v>0.23547023178579907</v>
      </c>
    </row>
    <row r="100" spans="1:37" hidden="1" x14ac:dyDescent="0.3">
      <c r="A100">
        <v>4998566</v>
      </c>
      <c r="B100" t="s">
        <v>42</v>
      </c>
      <c r="C100">
        <v>44.999999999999993</v>
      </c>
      <c r="D100">
        <v>107920.4578693903</v>
      </c>
      <c r="I100">
        <v>-16953.786206559649</v>
      </c>
      <c r="J100">
        <v>9456</v>
      </c>
      <c r="K100">
        <v>0</v>
      </c>
      <c r="L100">
        <v>18.561917078997681</v>
      </c>
      <c r="M100">
        <v>35971.09578077295</v>
      </c>
      <c r="N100">
        <v>22808.650495364858</v>
      </c>
      <c r="O100">
        <v>49664.26961315707</v>
      </c>
      <c r="P100" s="2">
        <v>44041.256944444453</v>
      </c>
      <c r="Q100" s="2">
        <v>44044.138888888891</v>
      </c>
      <c r="R100">
        <v>175034.47350922701</v>
      </c>
      <c r="S100">
        <v>7.8593137229849281</v>
      </c>
      <c r="T100">
        <f t="shared" si="23"/>
        <v>0.90608399862742739</v>
      </c>
      <c r="U100">
        <f t="shared" si="24"/>
        <v>2173</v>
      </c>
      <c r="V100">
        <f t="shared" si="25"/>
        <v>0</v>
      </c>
      <c r="W100">
        <f t="shared" si="26"/>
        <v>0</v>
      </c>
      <c r="X100">
        <f t="shared" si="27"/>
        <v>0</v>
      </c>
      <c r="Y100">
        <f t="shared" si="28"/>
        <v>0</v>
      </c>
      <c r="Z100">
        <f t="shared" si="29"/>
        <v>-341.36787550920207</v>
      </c>
      <c r="AA100">
        <f t="shared" si="30"/>
        <v>190.39845091157676</v>
      </c>
      <c r="AB100">
        <f t="shared" si="31"/>
        <v>0</v>
      </c>
      <c r="AC100">
        <f t="shared" si="32"/>
        <v>0.37374791220286574</v>
      </c>
      <c r="AD100">
        <f t="shared" si="33"/>
        <v>724.28520666784311</v>
      </c>
      <c r="AE100">
        <f t="shared" si="34"/>
        <v>459.25673875856995</v>
      </c>
      <c r="AF100">
        <f t="shared" si="35"/>
        <v>1000</v>
      </c>
      <c r="AG100">
        <f t="shared" si="36"/>
        <v>-1351.3541256641543</v>
      </c>
      <c r="AH100">
        <f t="shared" si="37"/>
        <v>3524.3541256641543</v>
      </c>
      <c r="AI100" s="5">
        <f t="shared" si="20"/>
        <v>0.46019328117809483</v>
      </c>
      <c r="AJ100" s="5">
        <f t="shared" si="21"/>
        <v>0</v>
      </c>
      <c r="AK100" s="5">
        <f t="shared" si="22"/>
        <v>0.28373993201138747</v>
      </c>
    </row>
    <row r="101" spans="1:37" hidden="1" x14ac:dyDescent="0.3">
      <c r="A101">
        <v>4998564</v>
      </c>
      <c r="B101" t="s">
        <v>32</v>
      </c>
      <c r="C101">
        <v>105.5833333333333</v>
      </c>
      <c r="D101">
        <v>236486.06432447769</v>
      </c>
      <c r="I101">
        <v>-799.77807037661478</v>
      </c>
      <c r="J101">
        <v>28773</v>
      </c>
      <c r="K101">
        <v>2136.5874048283258</v>
      </c>
      <c r="L101">
        <v>2758.9956174141512</v>
      </c>
      <c r="M101">
        <v>84991.629503737291</v>
      </c>
      <c r="N101">
        <v>49530.397034066591</v>
      </c>
      <c r="O101">
        <v>108829.2978943754</v>
      </c>
      <c r="P101" s="2">
        <v>44045.15625</v>
      </c>
      <c r="Q101" s="2">
        <v>44054.819444444453</v>
      </c>
      <c r="R101">
        <v>602155.3809871407</v>
      </c>
      <c r="S101">
        <v>7.0722503049227026</v>
      </c>
      <c r="T101">
        <f t="shared" si="23"/>
        <v>0.97017379856486363</v>
      </c>
      <c r="U101">
        <f t="shared" si="24"/>
        <v>2172.9999999999995</v>
      </c>
      <c r="V101">
        <f t="shared" si="25"/>
        <v>0</v>
      </c>
      <c r="W101">
        <f t="shared" si="26"/>
        <v>0</v>
      </c>
      <c r="X101">
        <f t="shared" si="27"/>
        <v>0</v>
      </c>
      <c r="Y101">
        <f t="shared" si="28"/>
        <v>0</v>
      </c>
      <c r="Z101">
        <f t="shared" si="29"/>
        <v>-7.3489224487402449</v>
      </c>
      <c r="AA101">
        <f t="shared" si="30"/>
        <v>264.38652602468977</v>
      </c>
      <c r="AB101">
        <f t="shared" si="31"/>
        <v>19.63246521081113</v>
      </c>
      <c r="AC101">
        <f t="shared" si="32"/>
        <v>25.351588871701651</v>
      </c>
      <c r="AD101">
        <f t="shared" si="33"/>
        <v>780.96276598445183</v>
      </c>
      <c r="AE101">
        <f t="shared" si="34"/>
        <v>455.12006410386351</v>
      </c>
      <c r="AF101">
        <f t="shared" si="35"/>
        <v>1000</v>
      </c>
      <c r="AG101">
        <f t="shared" si="36"/>
        <v>-3360.0264242958215</v>
      </c>
      <c r="AH101">
        <f t="shared" si="37"/>
        <v>5533.026424295821</v>
      </c>
      <c r="AI101" s="5">
        <f t="shared" si="20"/>
        <v>0.46019328117809488</v>
      </c>
      <c r="AJ101" s="5">
        <f t="shared" si="21"/>
        <v>0</v>
      </c>
      <c r="AK101" s="5">
        <f t="shared" si="22"/>
        <v>0.18073291600577676</v>
      </c>
    </row>
    <row r="102" spans="1:37" hidden="1" x14ac:dyDescent="0.3">
      <c r="A102">
        <v>5010022</v>
      </c>
      <c r="B102" t="s">
        <v>41</v>
      </c>
      <c r="C102">
        <v>15.91666666666667</v>
      </c>
      <c r="D102">
        <v>32906.75827453762</v>
      </c>
      <c r="I102">
        <v>3132.0484910481741</v>
      </c>
      <c r="J102">
        <v>2929</v>
      </c>
      <c r="K102">
        <v>0</v>
      </c>
      <c r="L102">
        <v>-11.783792775460711</v>
      </c>
      <c r="M102">
        <v>11071.538345098001</v>
      </c>
      <c r="N102">
        <v>7327.1702261211894</v>
      </c>
      <c r="O102">
        <v>15143.469063293889</v>
      </c>
      <c r="P102" s="2">
        <v>44044.458333333343</v>
      </c>
      <c r="Q102" s="2">
        <v>44045.121527777781</v>
      </c>
      <c r="R102">
        <v>32909.176371772781</v>
      </c>
      <c r="S102">
        <v>8.4290210858863936</v>
      </c>
      <c r="T102">
        <f t="shared" si="23"/>
        <v>1.0510581558387389</v>
      </c>
      <c r="U102">
        <f t="shared" si="24"/>
        <v>2173</v>
      </c>
      <c r="V102">
        <f t="shared" si="25"/>
        <v>0</v>
      </c>
      <c r="W102">
        <f t="shared" si="26"/>
        <v>0</v>
      </c>
      <c r="X102">
        <f t="shared" si="27"/>
        <v>0</v>
      </c>
      <c r="Y102">
        <f t="shared" si="28"/>
        <v>0</v>
      </c>
      <c r="Z102">
        <f t="shared" si="29"/>
        <v>206.82503315174438</v>
      </c>
      <c r="AA102">
        <f t="shared" si="30"/>
        <v>193.41671236345542</v>
      </c>
      <c r="AB102">
        <f t="shared" si="31"/>
        <v>0</v>
      </c>
      <c r="AC102">
        <f t="shared" si="32"/>
        <v>-0.77814354994941914</v>
      </c>
      <c r="AD102">
        <f t="shared" si="33"/>
        <v>731.10978064690585</v>
      </c>
      <c r="AE102">
        <f t="shared" si="34"/>
        <v>483.850179605243</v>
      </c>
      <c r="AF102">
        <f t="shared" si="35"/>
        <v>1000</v>
      </c>
      <c r="AG102">
        <f t="shared" si="36"/>
        <v>-0.15967921386118178</v>
      </c>
      <c r="AH102">
        <f t="shared" si="37"/>
        <v>2173.1596792138612</v>
      </c>
      <c r="AI102" s="5">
        <f t="shared" si="20"/>
        <v>0.46019328117809483</v>
      </c>
      <c r="AJ102" s="5">
        <f t="shared" si="21"/>
        <v>0</v>
      </c>
      <c r="AK102" s="5">
        <f t="shared" si="22"/>
        <v>0.46015946714129591</v>
      </c>
    </row>
    <row r="103" spans="1:37" hidden="1" x14ac:dyDescent="0.3">
      <c r="A103">
        <v>5010024</v>
      </c>
      <c r="B103" t="s">
        <v>42</v>
      </c>
      <c r="C103">
        <v>13.66666666666667</v>
      </c>
      <c r="D103">
        <v>28259.247405499791</v>
      </c>
      <c r="I103">
        <v>2924.435219955697</v>
      </c>
      <c r="J103">
        <v>2860</v>
      </c>
      <c r="K103">
        <v>201</v>
      </c>
      <c r="L103">
        <v>197.97737287598241</v>
      </c>
      <c r="M103">
        <v>8711.6852941136149</v>
      </c>
      <c r="N103">
        <v>5744.4516061098093</v>
      </c>
      <c r="O103">
        <v>13004.71578716051</v>
      </c>
      <c r="P103" s="2">
        <v>44045.395833333343</v>
      </c>
      <c r="Q103" s="2">
        <v>44045.965277777781</v>
      </c>
      <c r="R103">
        <v>28262.688678770519</v>
      </c>
      <c r="S103">
        <v>6.402914410666801</v>
      </c>
      <c r="T103">
        <f t="shared" si="23"/>
        <v>1.050900834000517</v>
      </c>
      <c r="U103">
        <f t="shared" si="24"/>
        <v>2173</v>
      </c>
      <c r="V103">
        <f t="shared" si="25"/>
        <v>0</v>
      </c>
      <c r="W103">
        <f t="shared" si="26"/>
        <v>0</v>
      </c>
      <c r="X103">
        <f t="shared" si="27"/>
        <v>0</v>
      </c>
      <c r="Y103">
        <f t="shared" si="28"/>
        <v>0</v>
      </c>
      <c r="Z103">
        <f t="shared" si="29"/>
        <v>224.87498133892146</v>
      </c>
      <c r="AA103">
        <f t="shared" si="30"/>
        <v>219.92022331035204</v>
      </c>
      <c r="AB103">
        <f t="shared" si="31"/>
        <v>15.45593177810516</v>
      </c>
      <c r="AC103">
        <f t="shared" si="32"/>
        <v>15.223506312336673</v>
      </c>
      <c r="AD103">
        <f t="shared" si="33"/>
        <v>669.88663471712448</v>
      </c>
      <c r="AE103">
        <f t="shared" si="34"/>
        <v>441.72065734656633</v>
      </c>
      <c r="AF103">
        <f t="shared" si="35"/>
        <v>1000</v>
      </c>
      <c r="AG103">
        <f t="shared" si="36"/>
        <v>-0.26461733782207375</v>
      </c>
      <c r="AH103">
        <f t="shared" si="37"/>
        <v>2173.2646173378221</v>
      </c>
      <c r="AI103" s="5">
        <f t="shared" si="20"/>
        <v>0.46019328117809477</v>
      </c>
      <c r="AJ103" s="5">
        <f t="shared" si="21"/>
        <v>0</v>
      </c>
      <c r="AK103" s="5">
        <f t="shared" si="22"/>
        <v>0.46013724790907756</v>
      </c>
    </row>
    <row r="104" spans="1:37" hidden="1" x14ac:dyDescent="0.3">
      <c r="A104">
        <v>4998570</v>
      </c>
      <c r="B104" t="s">
        <v>40</v>
      </c>
      <c r="C104">
        <v>10.25</v>
      </c>
      <c r="D104">
        <v>28859.674836637041</v>
      </c>
      <c r="I104">
        <v>2694.9158102477918</v>
      </c>
      <c r="J104">
        <v>3471</v>
      </c>
      <c r="K104">
        <v>800</v>
      </c>
      <c r="L104">
        <v>43.565782129505237</v>
      </c>
      <c r="M104">
        <v>10187.15668624584</v>
      </c>
      <c r="N104">
        <v>6189.7788949815531</v>
      </c>
      <c r="O104">
        <v>16605.106350193932</v>
      </c>
      <c r="P104" s="2">
        <v>44046.767361111109</v>
      </c>
      <c r="Q104" s="2">
        <v>44047.194444444453</v>
      </c>
      <c r="R104">
        <v>28907.32767537146</v>
      </c>
      <c r="S104">
        <v>9.2536275748301442</v>
      </c>
      <c r="T104">
        <f t="shared" si="23"/>
        <v>0.61727999711849424</v>
      </c>
      <c r="U104">
        <f t="shared" si="24"/>
        <v>1737.9999999999993</v>
      </c>
      <c r="V104">
        <f t="shared" si="25"/>
        <v>0</v>
      </c>
      <c r="W104">
        <f t="shared" si="26"/>
        <v>0</v>
      </c>
      <c r="X104">
        <f t="shared" si="27"/>
        <v>0</v>
      </c>
      <c r="Y104">
        <f t="shared" si="28"/>
        <v>0</v>
      </c>
      <c r="Z104">
        <f t="shared" si="29"/>
        <v>162.29440230091137</v>
      </c>
      <c r="AA104">
        <f t="shared" si="30"/>
        <v>209.03208487788228</v>
      </c>
      <c r="AB104">
        <f t="shared" si="31"/>
        <v>48.177950994614186</v>
      </c>
      <c r="AC104">
        <f t="shared" si="32"/>
        <v>2.623637645596677</v>
      </c>
      <c r="AD104">
        <f t="shared" si="33"/>
        <v>613.49541950551031</v>
      </c>
      <c r="AE104">
        <f t="shared" si="34"/>
        <v>372.76358033739797</v>
      </c>
      <c r="AF104">
        <f t="shared" si="35"/>
        <v>1000</v>
      </c>
      <c r="AG104">
        <f t="shared" si="36"/>
        <v>-2.8697701616263203</v>
      </c>
      <c r="AH104">
        <f t="shared" si="37"/>
        <v>1740.8697701616256</v>
      </c>
      <c r="AI104" s="5">
        <f t="shared" si="20"/>
        <v>0.57537399309551229</v>
      </c>
      <c r="AJ104" s="5">
        <f t="shared" si="21"/>
        <v>0</v>
      </c>
      <c r="AK104" s="5">
        <f t="shared" si="22"/>
        <v>0.57442550680121129</v>
      </c>
    </row>
    <row r="105" spans="1:37" hidden="1" x14ac:dyDescent="0.3">
      <c r="A105">
        <v>5012269</v>
      </c>
      <c r="B105" t="s">
        <v>41</v>
      </c>
      <c r="C105">
        <v>13.25</v>
      </c>
      <c r="D105">
        <v>37459.58550009341</v>
      </c>
      <c r="I105">
        <v>4117.5036091129086</v>
      </c>
      <c r="J105">
        <v>3587</v>
      </c>
      <c r="K105">
        <v>0</v>
      </c>
      <c r="L105">
        <v>51.520175907427301</v>
      </c>
      <c r="M105">
        <v>13252.115736332869</v>
      </c>
      <c r="N105">
        <v>8139.9471822539363</v>
      </c>
      <c r="O105">
        <v>17238.649562859369</v>
      </c>
      <c r="P105" s="2">
        <v>44047.927083333343</v>
      </c>
      <c r="Q105" s="2">
        <v>44048.489583333343</v>
      </c>
      <c r="R105">
        <v>38165.966476294903</v>
      </c>
      <c r="S105">
        <v>7.1751850901827323</v>
      </c>
      <c r="T105">
        <f t="shared" si="23"/>
        <v>0.76862169230164612</v>
      </c>
      <c r="U105">
        <f t="shared" si="24"/>
        <v>2173</v>
      </c>
      <c r="V105">
        <f t="shared" si="25"/>
        <v>0</v>
      </c>
      <c r="W105">
        <f t="shared" si="26"/>
        <v>0</v>
      </c>
      <c r="X105">
        <f t="shared" si="27"/>
        <v>0</v>
      </c>
      <c r="Y105">
        <f t="shared" si="28"/>
        <v>0</v>
      </c>
      <c r="Z105">
        <f t="shared" si="29"/>
        <v>238.85302581845278</v>
      </c>
      <c r="AA105">
        <f t="shared" si="30"/>
        <v>208.07894417252865</v>
      </c>
      <c r="AB105">
        <f t="shared" si="31"/>
        <v>0</v>
      </c>
      <c r="AC105">
        <f t="shared" si="32"/>
        <v>2.9886433806524728</v>
      </c>
      <c r="AD105">
        <f t="shared" si="33"/>
        <v>768.74442444056183</v>
      </c>
      <c r="AE105">
        <f t="shared" si="34"/>
        <v>472.19169648830461</v>
      </c>
      <c r="AF105">
        <f t="shared" si="35"/>
        <v>999.99999999999989</v>
      </c>
      <c r="AG105">
        <f t="shared" si="36"/>
        <v>-40.976584251900476</v>
      </c>
      <c r="AH105">
        <f t="shared" si="37"/>
        <v>2213.9765842519005</v>
      </c>
      <c r="AI105" s="5">
        <f t="shared" si="20"/>
        <v>0.46019328117809477</v>
      </c>
      <c r="AJ105" s="5">
        <f t="shared" si="21"/>
        <v>0</v>
      </c>
      <c r="AK105" s="5">
        <f t="shared" si="22"/>
        <v>0.45167596040221836</v>
      </c>
    </row>
    <row r="106" spans="1:37" hidden="1" x14ac:dyDescent="0.3">
      <c r="A106">
        <v>5012271</v>
      </c>
      <c r="B106" t="s">
        <v>40</v>
      </c>
      <c r="C106">
        <v>8.75</v>
      </c>
      <c r="D106">
        <v>24738.111612366029</v>
      </c>
      <c r="I106">
        <v>2414.1091674262539</v>
      </c>
      <c r="J106">
        <v>2582</v>
      </c>
      <c r="K106">
        <v>0</v>
      </c>
      <c r="L106">
        <v>-5.0385540208637281</v>
      </c>
      <c r="M106">
        <v>8732.147981477754</v>
      </c>
      <c r="N106">
        <v>5501.6668656617721</v>
      </c>
      <c r="O106">
        <v>14233.6660600495</v>
      </c>
      <c r="P106" s="2">
        <v>44048.739583333343</v>
      </c>
      <c r="Q106" s="2">
        <v>44049.104166666657</v>
      </c>
      <c r="R106">
        <v>24738.070898563721</v>
      </c>
      <c r="S106">
        <v>7.1105134866068784</v>
      </c>
      <c r="T106">
        <f t="shared" si="23"/>
        <v>0.61473972784560116</v>
      </c>
      <c r="U106">
        <f t="shared" si="24"/>
        <v>1737.9999999999998</v>
      </c>
      <c r="V106">
        <f t="shared" si="25"/>
        <v>0</v>
      </c>
      <c r="W106">
        <f t="shared" si="26"/>
        <v>0</v>
      </c>
      <c r="X106">
        <f t="shared" si="27"/>
        <v>0</v>
      </c>
      <c r="Y106">
        <f t="shared" si="28"/>
        <v>0</v>
      </c>
      <c r="Z106">
        <f t="shared" si="29"/>
        <v>169.60557857979271</v>
      </c>
      <c r="AA106">
        <f t="shared" si="30"/>
        <v>181.40091169112483</v>
      </c>
      <c r="AB106">
        <f t="shared" si="31"/>
        <v>0</v>
      </c>
      <c r="AC106">
        <f t="shared" si="32"/>
        <v>-0.35398849457384318</v>
      </c>
      <c r="AD106">
        <f t="shared" si="33"/>
        <v>613.48551698756</v>
      </c>
      <c r="AE106">
        <f t="shared" si="34"/>
        <v>386.52493619360905</v>
      </c>
      <c r="AF106">
        <f t="shared" si="35"/>
        <v>1000</v>
      </c>
      <c r="AG106">
        <f t="shared" si="36"/>
        <v>2.8603876285160368E-3</v>
      </c>
      <c r="AH106">
        <f t="shared" si="37"/>
        <v>1737.9971396123713</v>
      </c>
      <c r="AI106" s="5">
        <f t="shared" si="20"/>
        <v>0.57537399309551218</v>
      </c>
      <c r="AJ106" s="5">
        <f t="shared" si="21"/>
        <v>0</v>
      </c>
      <c r="AK106" s="5">
        <f t="shared" si="22"/>
        <v>0.57537494004336043</v>
      </c>
    </row>
    <row r="107" spans="1:37" hidden="1" x14ac:dyDescent="0.3">
      <c r="A107">
        <v>5010611</v>
      </c>
      <c r="B107" t="s">
        <v>38</v>
      </c>
      <c r="C107">
        <v>11.33333333333333</v>
      </c>
      <c r="D107">
        <v>28747.507526175112</v>
      </c>
      <c r="I107">
        <v>4002.4309151574121</v>
      </c>
      <c r="J107">
        <v>3524</v>
      </c>
      <c r="K107">
        <v>57</v>
      </c>
      <c r="L107">
        <v>16.35886118653929</v>
      </c>
      <c r="M107">
        <v>9171.5371846743037</v>
      </c>
      <c r="N107">
        <v>5155.3260150891783</v>
      </c>
      <c r="O107">
        <v>12647.385625242019</v>
      </c>
      <c r="P107" s="2">
        <v>44049.395833333343</v>
      </c>
      <c r="Q107" s="2">
        <v>44049.868055555547</v>
      </c>
      <c r="R107">
        <v>27937.666658180409</v>
      </c>
      <c r="S107">
        <v>7.5733703584930616</v>
      </c>
      <c r="T107">
        <f t="shared" si="23"/>
        <v>0.89610087563977925</v>
      </c>
      <c r="U107">
        <f t="shared" si="24"/>
        <v>2273</v>
      </c>
      <c r="V107">
        <f t="shared" si="25"/>
        <v>0</v>
      </c>
      <c r="W107">
        <f t="shared" si="26"/>
        <v>0</v>
      </c>
      <c r="X107">
        <f t="shared" si="27"/>
        <v>0</v>
      </c>
      <c r="Y107">
        <f t="shared" si="28"/>
        <v>0</v>
      </c>
      <c r="Z107">
        <f t="shared" si="29"/>
        <v>316.46310421414245</v>
      </c>
      <c r="AA107">
        <f t="shared" si="30"/>
        <v>278.6346605077573</v>
      </c>
      <c r="AB107">
        <f t="shared" si="31"/>
        <v>4.5068602863059501</v>
      </c>
      <c r="AC107">
        <f t="shared" si="32"/>
        <v>1.2934579265053641</v>
      </c>
      <c r="AD107">
        <f t="shared" si="33"/>
        <v>725.1725737190684</v>
      </c>
      <c r="AE107">
        <f t="shared" si="34"/>
        <v>407.61989614676008</v>
      </c>
      <c r="AF107">
        <f t="shared" si="35"/>
        <v>1000</v>
      </c>
      <c r="AG107">
        <f t="shared" si="36"/>
        <v>64.032274494611556</v>
      </c>
      <c r="AH107">
        <f t="shared" si="37"/>
        <v>2208.9677255053884</v>
      </c>
      <c r="AI107" s="5">
        <f t="shared" si="20"/>
        <v>0.43994720633523976</v>
      </c>
      <c r="AJ107" s="5">
        <f t="shared" si="21"/>
        <v>0</v>
      </c>
      <c r="AK107" s="5">
        <f t="shared" si="22"/>
        <v>0.45270014063750547</v>
      </c>
    </row>
    <row r="108" spans="1:37" hidden="1" x14ac:dyDescent="0.3">
      <c r="A108">
        <v>5012273</v>
      </c>
      <c r="B108" t="s">
        <v>42</v>
      </c>
      <c r="C108">
        <v>35.416666666666657</v>
      </c>
      <c r="D108">
        <v>89790.998082652397</v>
      </c>
      <c r="I108">
        <v>11434.43713777763</v>
      </c>
      <c r="J108">
        <v>11056</v>
      </c>
      <c r="K108">
        <v>0</v>
      </c>
      <c r="L108">
        <v>-5.5452520148691056</v>
      </c>
      <c r="M108">
        <v>28676.319996899911</v>
      </c>
      <c r="N108">
        <v>16172.570502280791</v>
      </c>
      <c r="O108">
        <v>41321.214027911818</v>
      </c>
      <c r="P108" s="2">
        <v>44050.333333333343</v>
      </c>
      <c r="Q108" s="2">
        <v>44051.795138888891</v>
      </c>
      <c r="R108">
        <v>93376.385338378182</v>
      </c>
      <c r="S108">
        <v>6.7282905402976434</v>
      </c>
      <c r="T108">
        <f t="shared" si="23"/>
        <v>0.85710614994862611</v>
      </c>
      <c r="U108">
        <f t="shared" si="24"/>
        <v>2173.0000000000005</v>
      </c>
      <c r="V108">
        <f t="shared" si="25"/>
        <v>0</v>
      </c>
      <c r="W108">
        <f t="shared" si="26"/>
        <v>0</v>
      </c>
      <c r="X108">
        <f t="shared" si="27"/>
        <v>0</v>
      </c>
      <c r="Y108">
        <f t="shared" si="28"/>
        <v>0</v>
      </c>
      <c r="Z108">
        <f t="shared" si="29"/>
        <v>276.72074518560493</v>
      </c>
      <c r="AA108">
        <f t="shared" si="30"/>
        <v>267.56232264937449</v>
      </c>
      <c r="AB108">
        <f t="shared" si="31"/>
        <v>0</v>
      </c>
      <c r="AC108">
        <f t="shared" si="32"/>
        <v>-0.13419867119885143</v>
      </c>
      <c r="AD108">
        <f t="shared" si="33"/>
        <v>693.98541818082879</v>
      </c>
      <c r="AE108">
        <f t="shared" si="34"/>
        <v>391.38662507245016</v>
      </c>
      <c r="AF108">
        <f t="shared" si="35"/>
        <v>1000</v>
      </c>
      <c r="AG108">
        <f t="shared" si="36"/>
        <v>-86.768681416376239</v>
      </c>
      <c r="AH108">
        <f t="shared" si="37"/>
        <v>2259.7686814163767</v>
      </c>
      <c r="AI108" s="5">
        <f t="shared" si="20"/>
        <v>0.46019328117809472</v>
      </c>
      <c r="AJ108" s="5">
        <f t="shared" si="21"/>
        <v>0</v>
      </c>
      <c r="AK108" s="5">
        <f t="shared" si="22"/>
        <v>0.44252316983755186</v>
      </c>
    </row>
    <row r="109" spans="1:37" hidden="1" x14ac:dyDescent="0.3">
      <c r="A109">
        <v>5014861</v>
      </c>
      <c r="B109" t="s">
        <v>42</v>
      </c>
      <c r="C109">
        <v>17.833333333333339</v>
      </c>
      <c r="D109">
        <v>33560.482493885989</v>
      </c>
      <c r="I109">
        <v>-21352.05530315619</v>
      </c>
      <c r="J109">
        <v>4953</v>
      </c>
      <c r="K109">
        <v>0</v>
      </c>
      <c r="L109">
        <v>8.8073473865435403</v>
      </c>
      <c r="M109">
        <v>16131.99928577538</v>
      </c>
      <c r="N109">
        <v>8303.5391084848306</v>
      </c>
      <c r="O109">
        <v>15444.3085567814</v>
      </c>
      <c r="P109" s="2">
        <v>44052.760416666657</v>
      </c>
      <c r="Q109" s="2">
        <v>44053.489583333343</v>
      </c>
      <c r="R109">
        <v>32936.292699039928</v>
      </c>
      <c r="S109">
        <v>6.564829351807048</v>
      </c>
      <c r="T109">
        <f t="shared" si="23"/>
        <v>1.1546864184802206</v>
      </c>
      <c r="U109">
        <f t="shared" si="24"/>
        <v>2173.0000000000005</v>
      </c>
      <c r="V109">
        <f t="shared" si="25"/>
        <v>0</v>
      </c>
      <c r="W109">
        <f t="shared" si="26"/>
        <v>0</v>
      </c>
      <c r="X109">
        <f t="shared" si="27"/>
        <v>0</v>
      </c>
      <c r="Y109">
        <f t="shared" si="28"/>
        <v>0</v>
      </c>
      <c r="Z109">
        <f t="shared" si="29"/>
        <v>-1382.5193419734401</v>
      </c>
      <c r="AA109">
        <f t="shared" si="30"/>
        <v>320.70066340556247</v>
      </c>
      <c r="AB109">
        <f t="shared" si="31"/>
        <v>0</v>
      </c>
      <c r="AC109">
        <f t="shared" si="32"/>
        <v>0.57026492019135078</v>
      </c>
      <c r="AD109">
        <f t="shared" si="33"/>
        <v>1044.5271296196697</v>
      </c>
      <c r="AE109">
        <f t="shared" si="34"/>
        <v>537.64395330206298</v>
      </c>
      <c r="AF109">
        <f t="shared" si="35"/>
        <v>1000</v>
      </c>
      <c r="AG109">
        <f t="shared" si="36"/>
        <v>40.415522168002099</v>
      </c>
      <c r="AH109">
        <f t="shared" si="37"/>
        <v>2132.5844778319984</v>
      </c>
      <c r="AI109" s="5">
        <f t="shared" si="20"/>
        <v>0.46019328117809472</v>
      </c>
      <c r="AJ109" s="5">
        <f t="shared" si="21"/>
        <v>0</v>
      </c>
      <c r="AK109" s="5">
        <f t="shared" si="22"/>
        <v>0.46891460122442957</v>
      </c>
    </row>
    <row r="110" spans="1:37" hidden="1" x14ac:dyDescent="0.3">
      <c r="A110">
        <v>5016051</v>
      </c>
      <c r="B110" t="s">
        <v>32</v>
      </c>
      <c r="C110">
        <v>122.3333333333333</v>
      </c>
      <c r="D110">
        <v>281707.9484280725</v>
      </c>
      <c r="E110">
        <v>0</v>
      </c>
      <c r="I110">
        <v>4759.4765776853556</v>
      </c>
      <c r="J110">
        <v>33134</v>
      </c>
      <c r="K110">
        <v>4698.3018335211073</v>
      </c>
      <c r="L110">
        <v>4811.540944401223</v>
      </c>
      <c r="M110">
        <v>87129.980626510893</v>
      </c>
      <c r="N110">
        <v>51591.199872101657</v>
      </c>
      <c r="O110">
        <v>129640.1051210642</v>
      </c>
      <c r="P110" s="2">
        <v>44056.229166666657</v>
      </c>
      <c r="Q110" s="2">
        <v>44070.055555555547</v>
      </c>
      <c r="R110">
        <v>808226.07323313202</v>
      </c>
      <c r="S110">
        <v>8.0515028670053805</v>
      </c>
      <c r="T110">
        <f t="shared" si="23"/>
        <v>0.94363802944384001</v>
      </c>
      <c r="U110">
        <f t="shared" si="24"/>
        <v>2173</v>
      </c>
      <c r="V110">
        <f t="shared" si="25"/>
        <v>0</v>
      </c>
      <c r="W110">
        <f t="shared" si="26"/>
        <v>0</v>
      </c>
      <c r="X110">
        <f t="shared" si="27"/>
        <v>0</v>
      </c>
      <c r="Y110">
        <f t="shared" si="28"/>
        <v>0</v>
      </c>
      <c r="Z110">
        <f t="shared" si="29"/>
        <v>36.712995359273471</v>
      </c>
      <c r="AA110">
        <f t="shared" si="30"/>
        <v>255.58448883590358</v>
      </c>
      <c r="AB110">
        <f t="shared" si="31"/>
        <v>36.241114037462445</v>
      </c>
      <c r="AC110">
        <f t="shared" si="32"/>
        <v>37.11460230542064</v>
      </c>
      <c r="AD110">
        <f t="shared" si="33"/>
        <v>672.09125251128648</v>
      </c>
      <c r="AE110">
        <f t="shared" si="34"/>
        <v>397.95709687155295</v>
      </c>
      <c r="AF110">
        <f t="shared" si="35"/>
        <v>1000</v>
      </c>
      <c r="AG110">
        <f t="shared" si="36"/>
        <v>-4061.3830443393381</v>
      </c>
      <c r="AH110">
        <f t="shared" si="37"/>
        <v>6234.3830443393381</v>
      </c>
      <c r="AI110" s="5">
        <f t="shared" si="20"/>
        <v>0.46019328117809483</v>
      </c>
      <c r="AJ110" s="5">
        <f t="shared" si="21"/>
        <v>0</v>
      </c>
      <c r="AK110" s="5">
        <f t="shared" si="22"/>
        <v>0.16040079553789605</v>
      </c>
    </row>
    <row r="111" spans="1:37" hidden="1" x14ac:dyDescent="0.3">
      <c r="A111">
        <v>5015529</v>
      </c>
      <c r="B111" t="s">
        <v>42</v>
      </c>
      <c r="C111">
        <v>18.5</v>
      </c>
      <c r="D111">
        <v>34743</v>
      </c>
      <c r="E111">
        <v>0</v>
      </c>
      <c r="I111">
        <v>5887.8536669888244</v>
      </c>
      <c r="J111">
        <v>5420</v>
      </c>
      <c r="K111">
        <v>0</v>
      </c>
      <c r="L111">
        <v>61.633396816084478</v>
      </c>
      <c r="M111">
        <v>17342.071820572921</v>
      </c>
      <c r="N111">
        <v>10762.763205199621</v>
      </c>
      <c r="O111">
        <v>15988.49516797055</v>
      </c>
      <c r="P111" s="2">
        <v>44055.416666666657</v>
      </c>
      <c r="Q111" s="2">
        <v>44056.1875</v>
      </c>
      <c r="R111">
        <v>34781.962191626051</v>
      </c>
      <c r="S111">
        <v>9.1744583026081532</v>
      </c>
      <c r="T111">
        <f t="shared" si="23"/>
        <v>1.1570820021299253</v>
      </c>
      <c r="U111">
        <f t="shared" si="24"/>
        <v>2172.9999999999995</v>
      </c>
      <c r="V111">
        <f t="shared" si="25"/>
        <v>0</v>
      </c>
      <c r="W111">
        <f t="shared" si="26"/>
        <v>0</v>
      </c>
      <c r="X111">
        <f t="shared" si="27"/>
        <v>0</v>
      </c>
      <c r="Y111">
        <f t="shared" si="28"/>
        <v>0</v>
      </c>
      <c r="Z111">
        <f t="shared" si="29"/>
        <v>368.25564914851088</v>
      </c>
      <c r="AA111">
        <f t="shared" si="30"/>
        <v>338.99375413752404</v>
      </c>
      <c r="AB111">
        <f t="shared" si="31"/>
        <v>0</v>
      </c>
      <c r="AC111">
        <f t="shared" si="32"/>
        <v>3.8548591451904426</v>
      </c>
      <c r="AD111">
        <f t="shared" si="33"/>
        <v>1084.6594153097012</v>
      </c>
      <c r="AE111">
        <f t="shared" si="34"/>
        <v>673.15673502284687</v>
      </c>
      <c r="AF111">
        <f t="shared" si="35"/>
        <v>1000</v>
      </c>
      <c r="AG111">
        <f t="shared" si="36"/>
        <v>-2.4368892267048068</v>
      </c>
      <c r="AH111">
        <f t="shared" si="37"/>
        <v>2175.4368892267044</v>
      </c>
      <c r="AI111" s="5">
        <f t="shared" si="20"/>
        <v>0.46019328117809488</v>
      </c>
      <c r="AJ111" s="5">
        <f t="shared" si="21"/>
        <v>0</v>
      </c>
      <c r="AK111" s="5">
        <f t="shared" si="22"/>
        <v>0.45967778010580057</v>
      </c>
    </row>
    <row r="112" spans="1:37" hidden="1" x14ac:dyDescent="0.3">
      <c r="A112">
        <v>5016769</v>
      </c>
      <c r="B112" t="s">
        <v>40</v>
      </c>
      <c r="C112">
        <v>15.16666666666667</v>
      </c>
      <c r="D112">
        <v>33629.478837057977</v>
      </c>
      <c r="I112">
        <v>-24014.099962553679</v>
      </c>
      <c r="J112">
        <v>3963</v>
      </c>
      <c r="K112">
        <v>0.88031250000000005</v>
      </c>
      <c r="L112">
        <v>39.228250517496122</v>
      </c>
      <c r="M112">
        <v>15556.31283189997</v>
      </c>
      <c r="N112">
        <v>10898.29681179605</v>
      </c>
      <c r="O112">
        <v>19349.527524199071</v>
      </c>
      <c r="P112" s="2">
        <v>44057.041666666657</v>
      </c>
      <c r="Q112" s="2">
        <v>44057.673611111109</v>
      </c>
      <c r="R112">
        <v>35510.379133712042</v>
      </c>
      <c r="S112">
        <v>8.4087802161165772</v>
      </c>
      <c r="T112">
        <f t="shared" si="23"/>
        <v>0.78382620183871687</v>
      </c>
      <c r="U112">
        <f t="shared" si="24"/>
        <v>1737.9999999999995</v>
      </c>
      <c r="V112">
        <f t="shared" si="25"/>
        <v>0</v>
      </c>
      <c r="W112">
        <f t="shared" si="26"/>
        <v>0</v>
      </c>
      <c r="X112">
        <f t="shared" si="27"/>
        <v>0</v>
      </c>
      <c r="Y112">
        <f t="shared" si="28"/>
        <v>0</v>
      </c>
      <c r="Z112">
        <f t="shared" si="29"/>
        <v>-1241.0690613773882</v>
      </c>
      <c r="AA112">
        <f t="shared" si="30"/>
        <v>204.81120249803305</v>
      </c>
      <c r="AB112">
        <f t="shared" si="31"/>
        <v>4.549529692128431E-2</v>
      </c>
      <c r="AC112">
        <f t="shared" si="32"/>
        <v>2.0273492708509884</v>
      </c>
      <c r="AD112">
        <f t="shared" si="33"/>
        <v>803.96344626217876</v>
      </c>
      <c r="AE112">
        <f t="shared" si="34"/>
        <v>563.23322614292931</v>
      </c>
      <c r="AF112">
        <f t="shared" si="35"/>
        <v>1000</v>
      </c>
      <c r="AG112">
        <f t="shared" si="36"/>
        <v>-97.206523223978138</v>
      </c>
      <c r="AH112">
        <f t="shared" si="37"/>
        <v>1835.2065232239777</v>
      </c>
      <c r="AI112" s="5">
        <f t="shared" si="20"/>
        <v>0.57537399309551218</v>
      </c>
      <c r="AJ112" s="5">
        <f t="shared" si="21"/>
        <v>0</v>
      </c>
      <c r="AK112" s="5">
        <f t="shared" si="22"/>
        <v>0.54489780160723356</v>
      </c>
    </row>
    <row r="113" spans="1:37" hidden="1" x14ac:dyDescent="0.3">
      <c r="A113">
        <v>5017261</v>
      </c>
      <c r="B113" t="s">
        <v>38</v>
      </c>
      <c r="C113">
        <v>8.0833333333333339</v>
      </c>
      <c r="D113">
        <v>20875.715127458479</v>
      </c>
      <c r="I113">
        <v>2359.100175209051</v>
      </c>
      <c r="J113">
        <v>2193</v>
      </c>
      <c r="K113">
        <v>1.0518749999999999</v>
      </c>
      <c r="L113">
        <v>-34.974424961376371</v>
      </c>
      <c r="M113">
        <v>5985.823535179773</v>
      </c>
      <c r="N113">
        <v>3599.9699712449992</v>
      </c>
      <c r="O113">
        <v>9184.2125505756612</v>
      </c>
      <c r="P113" s="2">
        <v>44057.673611111109</v>
      </c>
      <c r="Q113" s="2">
        <v>44058.010416666657</v>
      </c>
      <c r="R113">
        <v>20875.905258770868</v>
      </c>
      <c r="S113">
        <v>9.004414564947373</v>
      </c>
      <c r="T113">
        <f t="shared" si="23"/>
        <v>0.88013352139010281</v>
      </c>
      <c r="U113">
        <f t="shared" si="24"/>
        <v>2273</v>
      </c>
      <c r="V113">
        <f t="shared" si="25"/>
        <v>0</v>
      </c>
      <c r="W113">
        <f t="shared" si="26"/>
        <v>0</v>
      </c>
      <c r="X113">
        <f t="shared" si="27"/>
        <v>0</v>
      </c>
      <c r="Y113">
        <f t="shared" si="28"/>
        <v>0</v>
      </c>
      <c r="Z113">
        <f t="shared" si="29"/>
        <v>256.86471890953612</v>
      </c>
      <c r="AA113">
        <f t="shared" si="30"/>
        <v>238.77931699898909</v>
      </c>
      <c r="AB113">
        <f t="shared" si="31"/>
        <v>0.11453077704893372</v>
      </c>
      <c r="AC113">
        <f t="shared" si="32"/>
        <v>-3.8081027381257844</v>
      </c>
      <c r="AD113">
        <f t="shared" si="33"/>
        <v>651.75141605412705</v>
      </c>
      <c r="AE113">
        <f t="shared" si="34"/>
        <v>391.97372136377169</v>
      </c>
      <c r="AF113">
        <f t="shared" si="35"/>
        <v>999.99999999999989</v>
      </c>
      <c r="AG113">
        <f t="shared" si="36"/>
        <v>-2.0701972144252068E-2</v>
      </c>
      <c r="AH113">
        <f t="shared" si="37"/>
        <v>2273.0207019721443</v>
      </c>
      <c r="AI113" s="5">
        <f t="shared" si="20"/>
        <v>0.43994720633523976</v>
      </c>
      <c r="AJ113" s="5">
        <f t="shared" si="21"/>
        <v>0</v>
      </c>
      <c r="AK113" s="5">
        <f t="shared" si="22"/>
        <v>0.43994319943164989</v>
      </c>
    </row>
    <row r="114" spans="1:37" hidden="1" x14ac:dyDescent="0.3">
      <c r="A114">
        <v>5017263</v>
      </c>
      <c r="B114" t="s">
        <v>46</v>
      </c>
      <c r="C114">
        <v>41.833333333333343</v>
      </c>
      <c r="D114">
        <v>73493.782633336305</v>
      </c>
      <c r="I114">
        <v>11040.436361909629</v>
      </c>
      <c r="J114">
        <v>10837</v>
      </c>
      <c r="K114">
        <v>1745.4889730342329</v>
      </c>
      <c r="L114">
        <v>1689.5349111311191</v>
      </c>
      <c r="M114">
        <v>23547.724701669998</v>
      </c>
      <c r="N114">
        <v>14201.2388749028</v>
      </c>
      <c r="O114">
        <v>28663.721775872189</v>
      </c>
      <c r="P114" s="2">
        <v>44058.145833333343</v>
      </c>
      <c r="Q114" s="2">
        <v>44059.826388888891</v>
      </c>
      <c r="R114">
        <v>72351.624853373462</v>
      </c>
      <c r="S114">
        <v>8.1426272562966027</v>
      </c>
      <c r="T114">
        <f t="shared" si="23"/>
        <v>1.4594522532850822</v>
      </c>
      <c r="U114">
        <f t="shared" si="24"/>
        <v>2564.0000000000005</v>
      </c>
      <c r="V114">
        <f t="shared" si="25"/>
        <v>0</v>
      </c>
      <c r="W114">
        <f t="shared" si="26"/>
        <v>0</v>
      </c>
      <c r="X114">
        <f t="shared" si="27"/>
        <v>0</v>
      </c>
      <c r="Y114">
        <f t="shared" si="28"/>
        <v>0</v>
      </c>
      <c r="Z114">
        <f t="shared" si="29"/>
        <v>385.17106913879428</v>
      </c>
      <c r="AA114">
        <f t="shared" si="30"/>
        <v>378.07372276136488</v>
      </c>
      <c r="AB114">
        <f t="shared" si="31"/>
        <v>60.895405930973894</v>
      </c>
      <c r="AC114">
        <f t="shared" si="32"/>
        <v>58.943319515237981</v>
      </c>
      <c r="AD114">
        <f t="shared" si="33"/>
        <v>821.51665041248748</v>
      </c>
      <c r="AE114">
        <f t="shared" si="34"/>
        <v>495.44295000995834</v>
      </c>
      <c r="AF114">
        <f t="shared" si="35"/>
        <v>1000</v>
      </c>
      <c r="AG114">
        <f t="shared" si="36"/>
        <v>39.84680666710392</v>
      </c>
      <c r="AH114">
        <f t="shared" si="37"/>
        <v>2524.1531933328965</v>
      </c>
      <c r="AI114" s="5">
        <f t="shared" si="20"/>
        <v>0.39001560062402491</v>
      </c>
      <c r="AJ114" s="5">
        <f t="shared" si="21"/>
        <v>0</v>
      </c>
      <c r="AK114" s="5">
        <f t="shared" si="22"/>
        <v>0.39617246791570454</v>
      </c>
    </row>
    <row r="115" spans="1:37" hidden="1" x14ac:dyDescent="0.3">
      <c r="A115">
        <v>5018243</v>
      </c>
      <c r="B115" t="s">
        <v>38</v>
      </c>
      <c r="C115">
        <v>20.083333333333329</v>
      </c>
      <c r="D115">
        <v>46642.44428694361</v>
      </c>
      <c r="I115">
        <v>5993.0963297920171</v>
      </c>
      <c r="J115">
        <v>5754</v>
      </c>
      <c r="K115">
        <v>0</v>
      </c>
      <c r="L115">
        <v>56.740825691242947</v>
      </c>
      <c r="M115">
        <v>18595.69417908453</v>
      </c>
      <c r="N115">
        <v>10142.905758194</v>
      </c>
      <c r="O115">
        <v>20520.213060687911</v>
      </c>
      <c r="P115" s="2">
        <v>44060.677083333343</v>
      </c>
      <c r="Q115" s="2">
        <v>44062.451388888891</v>
      </c>
      <c r="R115">
        <v>90026.296583680829</v>
      </c>
      <c r="S115">
        <v>7.8560285223353929</v>
      </c>
      <c r="T115">
        <f t="shared" si="23"/>
        <v>0.97870978600161096</v>
      </c>
      <c r="U115">
        <f t="shared" si="24"/>
        <v>2272.9999999999991</v>
      </c>
      <c r="V115">
        <f t="shared" si="25"/>
        <v>0</v>
      </c>
      <c r="W115">
        <f t="shared" si="26"/>
        <v>0</v>
      </c>
      <c r="X115">
        <f t="shared" si="27"/>
        <v>0</v>
      </c>
      <c r="Y115">
        <f t="shared" si="28"/>
        <v>0</v>
      </c>
      <c r="Z115">
        <f t="shared" si="29"/>
        <v>292.05819218677777</v>
      </c>
      <c r="AA115">
        <f t="shared" si="30"/>
        <v>280.40644524414625</v>
      </c>
      <c r="AB115">
        <f t="shared" si="31"/>
        <v>0</v>
      </c>
      <c r="AC115">
        <f t="shared" si="32"/>
        <v>2.7651187404065283</v>
      </c>
      <c r="AD115">
        <f t="shared" si="33"/>
        <v>906.21350392845955</v>
      </c>
      <c r="AE115">
        <f t="shared" si="34"/>
        <v>494.28852069891582</v>
      </c>
      <c r="AF115">
        <f t="shared" si="35"/>
        <v>1000</v>
      </c>
      <c r="AG115">
        <f t="shared" si="36"/>
        <v>-2114.2008695733712</v>
      </c>
      <c r="AH115">
        <f t="shared" si="37"/>
        <v>4387.2008695733703</v>
      </c>
      <c r="AI115" s="5">
        <f t="shared" si="20"/>
        <v>0.43994720633523987</v>
      </c>
      <c r="AJ115" s="5">
        <f t="shared" si="21"/>
        <v>0</v>
      </c>
      <c r="AK115" s="5">
        <f t="shared" si="22"/>
        <v>0.22793576809653673</v>
      </c>
    </row>
    <row r="116" spans="1:37" hidden="1" x14ac:dyDescent="0.3">
      <c r="A116">
        <v>5018657</v>
      </c>
      <c r="B116" t="s">
        <v>46</v>
      </c>
      <c r="C116">
        <v>15.66666666666667</v>
      </c>
      <c r="D116">
        <v>27583.07330914709</v>
      </c>
      <c r="I116">
        <v>5795.3019674974794</v>
      </c>
      <c r="J116">
        <v>5851</v>
      </c>
      <c r="K116">
        <v>48</v>
      </c>
      <c r="L116">
        <v>9.9070765564306384</v>
      </c>
      <c r="M116">
        <v>19042.66825087347</v>
      </c>
      <c r="N116">
        <v>6073.6807780398194</v>
      </c>
      <c r="O116">
        <v>10757.82890372351</v>
      </c>
      <c r="P116" s="2">
        <v>44061.239583333343</v>
      </c>
      <c r="Q116" s="2">
        <v>44061.892361111109</v>
      </c>
      <c r="R116">
        <v>27881.878619432649</v>
      </c>
      <c r="S116">
        <v>8.4152865586722108</v>
      </c>
      <c r="T116">
        <f t="shared" si="23"/>
        <v>1.4563037585812606</v>
      </c>
      <c r="U116">
        <f t="shared" si="24"/>
        <v>2564.0000000000009</v>
      </c>
      <c r="V116">
        <f t="shared" si="25"/>
        <v>0</v>
      </c>
      <c r="W116">
        <f t="shared" si="26"/>
        <v>0</v>
      </c>
      <c r="X116">
        <f t="shared" si="27"/>
        <v>0</v>
      </c>
      <c r="Y116">
        <f t="shared" si="28"/>
        <v>0</v>
      </c>
      <c r="Z116">
        <f t="shared" si="29"/>
        <v>538.70553430084794</v>
      </c>
      <c r="AA116">
        <f t="shared" si="30"/>
        <v>543.88297605057153</v>
      </c>
      <c r="AB116">
        <f t="shared" si="31"/>
        <v>4.4618668348021595</v>
      </c>
      <c r="AC116">
        <f t="shared" si="32"/>
        <v>0.92091783993716347</v>
      </c>
      <c r="AD116">
        <f t="shared" si="33"/>
        <v>1770.1218732231744</v>
      </c>
      <c r="AE116">
        <f t="shared" si="34"/>
        <v>564.5823922648176</v>
      </c>
      <c r="AF116">
        <f t="shared" si="35"/>
        <v>1000</v>
      </c>
      <c r="AG116">
        <f t="shared" si="36"/>
        <v>-27.775614667206355</v>
      </c>
      <c r="AH116">
        <f t="shared" si="37"/>
        <v>2591.7756146672073</v>
      </c>
      <c r="AI116" s="5">
        <f t="shared" si="20"/>
        <v>0.39001560062402479</v>
      </c>
      <c r="AJ116" s="5">
        <f t="shared" si="21"/>
        <v>0</v>
      </c>
      <c r="AK116" s="5">
        <f t="shared" si="22"/>
        <v>0.3858358703357132</v>
      </c>
    </row>
    <row r="117" spans="1:37" hidden="1" x14ac:dyDescent="0.3">
      <c r="A117">
        <v>5018825</v>
      </c>
      <c r="B117" t="s">
        <v>41</v>
      </c>
      <c r="C117">
        <v>11.776666666666671</v>
      </c>
      <c r="D117">
        <v>33245.11210929713</v>
      </c>
      <c r="I117">
        <v>3775.2647230688622</v>
      </c>
      <c r="J117">
        <v>4721</v>
      </c>
      <c r="K117">
        <v>268</v>
      </c>
      <c r="L117">
        <v>13.10633009919826</v>
      </c>
      <c r="M117">
        <v>11867.523893574389</v>
      </c>
      <c r="N117">
        <v>7399.951604479922</v>
      </c>
      <c r="O117">
        <v>15299.511325033191</v>
      </c>
      <c r="P117" s="2">
        <v>44062.895833333343</v>
      </c>
      <c r="Q117" s="2">
        <v>44063.39</v>
      </c>
      <c r="R117">
        <v>33492.659270281787</v>
      </c>
      <c r="S117">
        <v>9.2514394351414264</v>
      </c>
      <c r="T117">
        <f t="shared" si="23"/>
        <v>0.76974136078435329</v>
      </c>
      <c r="U117">
        <f t="shared" si="24"/>
        <v>2172.9525475039973</v>
      </c>
      <c r="V117">
        <f t="shared" si="25"/>
        <v>0</v>
      </c>
      <c r="W117">
        <f t="shared" si="26"/>
        <v>0</v>
      </c>
      <c r="X117">
        <f t="shared" si="27"/>
        <v>0</v>
      </c>
      <c r="Y117">
        <f t="shared" si="28"/>
        <v>0</v>
      </c>
      <c r="Z117">
        <f t="shared" si="29"/>
        <v>246.75720961699881</v>
      </c>
      <c r="AA117">
        <f t="shared" si="30"/>
        <v>308.5719471494138</v>
      </c>
      <c r="AB117">
        <f t="shared" si="31"/>
        <v>17.516899350994048</v>
      </c>
      <c r="AC117">
        <f t="shared" si="32"/>
        <v>0.85665024331552153</v>
      </c>
      <c r="AD117">
        <f t="shared" si="33"/>
        <v>775.67993130320735</v>
      </c>
      <c r="AE117">
        <f t="shared" si="34"/>
        <v>483.67241588769298</v>
      </c>
      <c r="AF117">
        <f t="shared" si="35"/>
        <v>1000</v>
      </c>
      <c r="AG117">
        <f t="shared" si="36"/>
        <v>-16.180069789524623</v>
      </c>
      <c r="AH117">
        <f t="shared" si="37"/>
        <v>2189.1326172935219</v>
      </c>
      <c r="AI117" s="5">
        <f t="shared" si="20"/>
        <v>0.46020333078541853</v>
      </c>
      <c r="AJ117" s="5">
        <f t="shared" si="21"/>
        <v>0</v>
      </c>
      <c r="AK117" s="5">
        <f t="shared" si="22"/>
        <v>0.45680192789613833</v>
      </c>
    </row>
    <row r="118" spans="1:37" hidden="1" x14ac:dyDescent="0.3">
      <c r="A118">
        <v>5015532</v>
      </c>
      <c r="B118" t="s">
        <v>42</v>
      </c>
      <c r="C118">
        <v>12.31</v>
      </c>
      <c r="D118">
        <v>34769</v>
      </c>
      <c r="I118">
        <v>-22340.927189788508</v>
      </c>
      <c r="J118">
        <v>4019</v>
      </c>
      <c r="K118">
        <v>874</v>
      </c>
      <c r="L118">
        <v>1001.793069579364</v>
      </c>
      <c r="M118">
        <v>8774</v>
      </c>
      <c r="N118">
        <v>5738</v>
      </c>
      <c r="O118">
        <v>16000</v>
      </c>
      <c r="P118" s="2">
        <v>44063.395833333343</v>
      </c>
      <c r="Q118" s="2">
        <v>44063.908750000002</v>
      </c>
      <c r="R118">
        <v>34767.360735661583</v>
      </c>
      <c r="S118">
        <v>8.345159296190932</v>
      </c>
      <c r="T118">
        <f t="shared" si="23"/>
        <v>0.76937500000000003</v>
      </c>
      <c r="U118">
        <f t="shared" si="24"/>
        <v>2173.0625</v>
      </c>
      <c r="V118">
        <f t="shared" si="25"/>
        <v>0</v>
      </c>
      <c r="W118">
        <f t="shared" si="26"/>
        <v>0</v>
      </c>
      <c r="X118">
        <f t="shared" si="27"/>
        <v>0</v>
      </c>
      <c r="Y118">
        <f t="shared" si="28"/>
        <v>0</v>
      </c>
      <c r="Z118">
        <f t="shared" si="29"/>
        <v>-1396.3079493617818</v>
      </c>
      <c r="AA118">
        <f t="shared" si="30"/>
        <v>251.1875</v>
      </c>
      <c r="AB118">
        <f t="shared" si="31"/>
        <v>54.625</v>
      </c>
      <c r="AC118">
        <f t="shared" si="32"/>
        <v>62.612066848710249</v>
      </c>
      <c r="AD118">
        <f t="shared" si="33"/>
        <v>548.375</v>
      </c>
      <c r="AE118">
        <f t="shared" si="34"/>
        <v>358.625</v>
      </c>
      <c r="AF118">
        <f t="shared" si="35"/>
        <v>1000</v>
      </c>
      <c r="AG118">
        <f t="shared" si="36"/>
        <v>0.10245402115106117</v>
      </c>
      <c r="AH118">
        <f t="shared" si="37"/>
        <v>2172.9600459788489</v>
      </c>
      <c r="AI118" s="5">
        <f t="shared" si="20"/>
        <v>0.46018004544277946</v>
      </c>
      <c r="AJ118" s="5">
        <f t="shared" si="21"/>
        <v>0</v>
      </c>
      <c r="AK118" s="5">
        <f t="shared" si="22"/>
        <v>0.46020174271061298</v>
      </c>
    </row>
    <row r="119" spans="1:37" hidden="1" x14ac:dyDescent="0.3">
      <c r="A119">
        <v>5020680</v>
      </c>
      <c r="B119" t="s">
        <v>42</v>
      </c>
      <c r="C119">
        <v>11.5</v>
      </c>
      <c r="D119">
        <v>31322.622064386149</v>
      </c>
      <c r="E119">
        <v>0</v>
      </c>
      <c r="F119">
        <v>0</v>
      </c>
      <c r="G119">
        <v>0</v>
      </c>
      <c r="H119">
        <v>0</v>
      </c>
      <c r="I119">
        <v>3958.008147477427</v>
      </c>
      <c r="J119">
        <v>3699</v>
      </c>
      <c r="K119">
        <v>22</v>
      </c>
      <c r="L119">
        <v>54.473875921487448</v>
      </c>
      <c r="M119">
        <v>11238.00448261792</v>
      </c>
      <c r="N119">
        <v>5691.3070487677905</v>
      </c>
      <c r="O119">
        <v>14414.46022291125</v>
      </c>
      <c r="P119" s="2">
        <v>44064.381944444453</v>
      </c>
      <c r="Q119" s="2">
        <v>44064.861111111109</v>
      </c>
      <c r="R119">
        <v>31590.755829557609</v>
      </c>
      <c r="S119">
        <v>8.8571994521511286</v>
      </c>
      <c r="T119">
        <f t="shared" si="23"/>
        <v>0.79780996458828035</v>
      </c>
      <c r="U119">
        <f t="shared" si="24"/>
        <v>2173</v>
      </c>
      <c r="V119">
        <f t="shared" si="25"/>
        <v>0</v>
      </c>
      <c r="W119">
        <f t="shared" si="26"/>
        <v>0</v>
      </c>
      <c r="X119">
        <f t="shared" si="27"/>
        <v>0</v>
      </c>
      <c r="Y119">
        <f t="shared" si="28"/>
        <v>0</v>
      </c>
      <c r="Z119">
        <f t="shared" si="29"/>
        <v>274.5859426068775</v>
      </c>
      <c r="AA119">
        <f t="shared" si="30"/>
        <v>256.61730947930863</v>
      </c>
      <c r="AB119">
        <f t="shared" si="31"/>
        <v>1.526245149647145</v>
      </c>
      <c r="AC119">
        <f t="shared" si="32"/>
        <v>3.779113132165937</v>
      </c>
      <c r="AD119">
        <f t="shared" si="33"/>
        <v>779.63408333220343</v>
      </c>
      <c r="AE119">
        <f t="shared" si="34"/>
        <v>394.83317174247486</v>
      </c>
      <c r="AF119">
        <f t="shared" si="35"/>
        <v>1000</v>
      </c>
      <c r="AG119">
        <f t="shared" si="36"/>
        <v>-18.601720843162184</v>
      </c>
      <c r="AH119">
        <f t="shared" si="37"/>
        <v>2191.6017208431622</v>
      </c>
      <c r="AI119" s="5">
        <f t="shared" si="20"/>
        <v>0.46019328117809477</v>
      </c>
      <c r="AJ119" s="5">
        <f t="shared" si="21"/>
        <v>0</v>
      </c>
      <c r="AK119" s="5">
        <f t="shared" si="22"/>
        <v>0.45628728545407227</v>
      </c>
    </row>
    <row r="120" spans="1:37" hidden="1" x14ac:dyDescent="0.3">
      <c r="A120">
        <v>5020687</v>
      </c>
      <c r="B120" t="s">
        <v>41</v>
      </c>
      <c r="C120">
        <v>1.5</v>
      </c>
      <c r="D120">
        <v>4085.5593997025421</v>
      </c>
      <c r="E120">
        <v>0</v>
      </c>
      <c r="F120">
        <v>0</v>
      </c>
      <c r="G120">
        <v>0</v>
      </c>
      <c r="H120">
        <v>0</v>
      </c>
      <c r="I120">
        <v>516.26193227966428</v>
      </c>
      <c r="J120">
        <v>482.53846153846149</v>
      </c>
      <c r="K120">
        <v>0</v>
      </c>
      <c r="L120">
        <v>7.1052881636722756</v>
      </c>
      <c r="M120">
        <v>1465.8266716458149</v>
      </c>
      <c r="N120">
        <v>742.34439766536389</v>
      </c>
      <c r="O120">
        <v>1880.14698559712</v>
      </c>
      <c r="P120" s="2">
        <v>44065.232638888891</v>
      </c>
      <c r="Q120" s="2">
        <v>44065.295138888891</v>
      </c>
      <c r="R120">
        <v>3818.6284016628429</v>
      </c>
      <c r="S120">
        <v>8.0324807157847875</v>
      </c>
      <c r="T120">
        <f t="shared" si="23"/>
        <v>0.79780996458828013</v>
      </c>
      <c r="U120">
        <f t="shared" si="24"/>
        <v>2173</v>
      </c>
      <c r="V120">
        <f t="shared" si="25"/>
        <v>0</v>
      </c>
      <c r="W120">
        <f t="shared" si="26"/>
        <v>0</v>
      </c>
      <c r="X120">
        <f t="shared" si="27"/>
        <v>0</v>
      </c>
      <c r="Y120">
        <f t="shared" si="28"/>
        <v>0</v>
      </c>
      <c r="Z120">
        <f t="shared" si="29"/>
        <v>274.58594260687738</v>
      </c>
      <c r="AA120">
        <f t="shared" si="30"/>
        <v>256.64932860832209</v>
      </c>
      <c r="AB120">
        <f t="shared" si="31"/>
        <v>0</v>
      </c>
      <c r="AC120">
        <f t="shared" si="32"/>
        <v>3.7791131321659366</v>
      </c>
      <c r="AD120">
        <f t="shared" si="33"/>
        <v>779.63408333220286</v>
      </c>
      <c r="AE120">
        <f t="shared" si="34"/>
        <v>394.83317174247475</v>
      </c>
      <c r="AF120">
        <f t="shared" si="35"/>
        <v>1000</v>
      </c>
      <c r="AG120">
        <f t="shared" si="36"/>
        <v>141.97347339571093</v>
      </c>
      <c r="AH120">
        <f t="shared" si="37"/>
        <v>2031.0265266042891</v>
      </c>
      <c r="AI120" s="5">
        <f t="shared" si="20"/>
        <v>0.46019328117809477</v>
      </c>
      <c r="AJ120" s="5">
        <f t="shared" si="21"/>
        <v>0</v>
      </c>
      <c r="AK120" s="5">
        <f t="shared" si="22"/>
        <v>0.49236186081326988</v>
      </c>
    </row>
    <row r="121" spans="1:37" hidden="1" x14ac:dyDescent="0.3">
      <c r="A121">
        <v>5018197</v>
      </c>
      <c r="B121" t="s">
        <v>40</v>
      </c>
      <c r="C121">
        <v>32.583333333333343</v>
      </c>
      <c r="D121">
        <v>82438.140535672967</v>
      </c>
      <c r="I121">
        <v>7562.0892627284529</v>
      </c>
      <c r="J121">
        <v>8144</v>
      </c>
      <c r="K121">
        <v>3081.0325123028579</v>
      </c>
      <c r="L121">
        <v>2919.2534747755089</v>
      </c>
      <c r="M121">
        <v>20718.11750487989</v>
      </c>
      <c r="N121">
        <v>12636.518027489081</v>
      </c>
      <c r="O121">
        <v>47432.762103379151</v>
      </c>
      <c r="P121" s="2">
        <v>44066.159722222219</v>
      </c>
      <c r="Q121" s="2">
        <v>44068.493055555547</v>
      </c>
      <c r="R121">
        <v>156049.3364799548</v>
      </c>
      <c r="S121">
        <v>7.5156438511584076</v>
      </c>
      <c r="T121">
        <f t="shared" si="23"/>
        <v>0.68693729583612162</v>
      </c>
      <c r="U121">
        <f t="shared" si="24"/>
        <v>1738</v>
      </c>
      <c r="V121">
        <f t="shared" si="25"/>
        <v>0</v>
      </c>
      <c r="W121">
        <f t="shared" si="26"/>
        <v>0</v>
      </c>
      <c r="X121">
        <f t="shared" si="27"/>
        <v>0</v>
      </c>
      <c r="Y121">
        <f t="shared" si="28"/>
        <v>0</v>
      </c>
      <c r="Z121">
        <f t="shared" si="29"/>
        <v>159.42755444532131</v>
      </c>
      <c r="AA121">
        <f t="shared" si="30"/>
        <v>171.69567275568409</v>
      </c>
      <c r="AB121">
        <f t="shared" si="31"/>
        <v>64.955789536097086</v>
      </c>
      <c r="AC121">
        <f t="shared" si="32"/>
        <v>61.545087094296349</v>
      </c>
      <c r="AD121">
        <f t="shared" si="33"/>
        <v>436.78918507265075</v>
      </c>
      <c r="AE121">
        <f t="shared" si="34"/>
        <v>266.4090697469386</v>
      </c>
      <c r="AF121">
        <f t="shared" si="35"/>
        <v>1000</v>
      </c>
      <c r="AG121">
        <f t="shared" si="36"/>
        <v>-1551.9061652755349</v>
      </c>
      <c r="AH121">
        <f t="shared" si="37"/>
        <v>3289.9061652755349</v>
      </c>
      <c r="AI121" s="5">
        <f t="shared" si="20"/>
        <v>0.57537399309551207</v>
      </c>
      <c r="AJ121" s="5">
        <f t="shared" si="21"/>
        <v>0</v>
      </c>
      <c r="AK121" s="5">
        <f t="shared" si="22"/>
        <v>0.30396003708399039</v>
      </c>
    </row>
    <row r="122" spans="1:37" hidden="1" x14ac:dyDescent="0.3">
      <c r="A122" t="s">
        <v>19</v>
      </c>
      <c r="B122" t="s">
        <v>41</v>
      </c>
      <c r="C122">
        <v>11.66666666666667</v>
      </c>
      <c r="D122">
        <v>27029.789553548559</v>
      </c>
      <c r="I122">
        <v>3478.501209223964</v>
      </c>
      <c r="J122">
        <v>3040</v>
      </c>
      <c r="K122">
        <v>1148.8418047683999</v>
      </c>
      <c r="L122">
        <v>1222.1999141051469</v>
      </c>
      <c r="M122">
        <v>4702.3132047860618</v>
      </c>
      <c r="N122">
        <v>4688.8819977244202</v>
      </c>
      <c r="O122">
        <v>12438.9275442009</v>
      </c>
      <c r="P122" s="2">
        <v>44065.291666666657</v>
      </c>
      <c r="Q122" s="2">
        <v>44065.777777777781</v>
      </c>
      <c r="R122">
        <v>28442.547313328811</v>
      </c>
      <c r="S122">
        <v>7.5016043996822841</v>
      </c>
      <c r="T122">
        <f t="shared" si="23"/>
        <v>0.93791579902768518</v>
      </c>
      <c r="U122">
        <f t="shared" si="24"/>
        <v>2173.0000000000005</v>
      </c>
      <c r="V122">
        <f t="shared" si="25"/>
        <v>0</v>
      </c>
      <c r="W122">
        <f t="shared" si="26"/>
        <v>0</v>
      </c>
      <c r="X122">
        <f t="shared" si="27"/>
        <v>0</v>
      </c>
      <c r="Y122">
        <f t="shared" si="28"/>
        <v>0</v>
      </c>
      <c r="Z122">
        <f t="shared" si="29"/>
        <v>279.64639209154819</v>
      </c>
      <c r="AA122">
        <f t="shared" si="30"/>
        <v>244.39405963235677</v>
      </c>
      <c r="AB122">
        <f t="shared" si="31"/>
        <v>92.358589652208138</v>
      </c>
      <c r="AC122">
        <f t="shared" si="32"/>
        <v>98.256052200814011</v>
      </c>
      <c r="AD122">
        <f t="shared" si="33"/>
        <v>378.03204400674451</v>
      </c>
      <c r="AE122">
        <f t="shared" si="34"/>
        <v>376.95227189504806</v>
      </c>
      <c r="AF122">
        <f t="shared" si="35"/>
        <v>1000.0000000000001</v>
      </c>
      <c r="AG122">
        <f t="shared" si="36"/>
        <v>-113.57552769401582</v>
      </c>
      <c r="AH122">
        <f t="shared" si="37"/>
        <v>2286.5755276940163</v>
      </c>
      <c r="AI122" s="5">
        <f t="shared" si="20"/>
        <v>0.46019328117809477</v>
      </c>
      <c r="AJ122" s="5">
        <f t="shared" si="21"/>
        <v>0</v>
      </c>
      <c r="AK122" s="5">
        <f t="shared" si="22"/>
        <v>0.43733521499221489</v>
      </c>
    </row>
    <row r="123" spans="1:37" hidden="1" x14ac:dyDescent="0.3">
      <c r="A123">
        <v>5023096</v>
      </c>
      <c r="B123" t="s">
        <v>40</v>
      </c>
      <c r="C123">
        <v>13.25</v>
      </c>
      <c r="D123">
        <v>37214.273353129</v>
      </c>
      <c r="I123">
        <v>3562.9624113630598</v>
      </c>
      <c r="J123">
        <v>3612</v>
      </c>
      <c r="K123">
        <v>494.24151486328128</v>
      </c>
      <c r="L123">
        <v>485.08259585763369</v>
      </c>
      <c r="M123">
        <v>10576.71985428778</v>
      </c>
      <c r="N123">
        <v>5931.5775993987472</v>
      </c>
      <c r="O123">
        <v>21412.125059337741</v>
      </c>
      <c r="P123" s="2">
        <v>44069.291666666657</v>
      </c>
      <c r="Q123" s="2">
        <v>44069.84375</v>
      </c>
      <c r="R123">
        <v>34728.383927812203</v>
      </c>
      <c r="S123">
        <v>8.398027822694841</v>
      </c>
      <c r="T123">
        <f t="shared" si="23"/>
        <v>0.61880826696469016</v>
      </c>
      <c r="U123">
        <f t="shared" si="24"/>
        <v>1738.0000000000002</v>
      </c>
      <c r="V123">
        <f t="shared" si="25"/>
        <v>0</v>
      </c>
      <c r="W123">
        <f t="shared" si="26"/>
        <v>0</v>
      </c>
      <c r="X123">
        <f t="shared" si="27"/>
        <v>0</v>
      </c>
      <c r="Y123">
        <f t="shared" si="28"/>
        <v>0</v>
      </c>
      <c r="Z123">
        <f t="shared" si="29"/>
        <v>166.3992901913893</v>
      </c>
      <c r="AA123">
        <f t="shared" si="30"/>
        <v>168.68946870011024</v>
      </c>
      <c r="AB123">
        <f t="shared" si="31"/>
        <v>23.082319643362283</v>
      </c>
      <c r="AC123">
        <f t="shared" si="32"/>
        <v>22.654575130369469</v>
      </c>
      <c r="AD123">
        <f t="shared" si="33"/>
        <v>493.95937231719626</v>
      </c>
      <c r="AE123">
        <f t="shared" si="34"/>
        <v>277.01956638871815</v>
      </c>
      <c r="AF123">
        <f t="shared" si="35"/>
        <v>1000.0000000000001</v>
      </c>
      <c r="AG123">
        <f t="shared" si="36"/>
        <v>116.09727752046297</v>
      </c>
      <c r="AH123">
        <f t="shared" si="37"/>
        <v>1621.9027224795373</v>
      </c>
      <c r="AI123" s="5">
        <f t="shared" si="20"/>
        <v>0.57537399309551196</v>
      </c>
      <c r="AJ123" s="5">
        <f t="shared" si="21"/>
        <v>0</v>
      </c>
      <c r="AK123" s="5">
        <f t="shared" si="22"/>
        <v>0.61655978878389028</v>
      </c>
    </row>
    <row r="124" spans="1:37" hidden="1" x14ac:dyDescent="0.3">
      <c r="A124">
        <v>5023152</v>
      </c>
      <c r="B124" t="s">
        <v>42</v>
      </c>
      <c r="C124">
        <v>12.83333333333333</v>
      </c>
      <c r="D124">
        <v>32660.43017699588</v>
      </c>
      <c r="I124">
        <v>-23777.187229864641</v>
      </c>
      <c r="J124">
        <v>3454</v>
      </c>
      <c r="K124">
        <v>0</v>
      </c>
      <c r="L124">
        <v>-14.13472583254816</v>
      </c>
      <c r="M124">
        <v>9946.4502564763643</v>
      </c>
      <c r="N124">
        <v>7038.8461249921802</v>
      </c>
      <c r="O124">
        <v>15030.110527839801</v>
      </c>
      <c r="P124" s="2">
        <v>44070.25</v>
      </c>
      <c r="Q124" s="2">
        <v>44070.774305555547</v>
      </c>
      <c r="R124">
        <v>32015.936691212821</v>
      </c>
      <c r="S124">
        <v>8.984283829979951</v>
      </c>
      <c r="T124">
        <f t="shared" si="23"/>
        <v>0.85384158084283879</v>
      </c>
      <c r="U124">
        <f t="shared" si="24"/>
        <v>2172.9999999999995</v>
      </c>
      <c r="V124">
        <f t="shared" si="25"/>
        <v>0</v>
      </c>
      <c r="W124">
        <f t="shared" si="26"/>
        <v>0</v>
      </c>
      <c r="X124">
        <f t="shared" si="27"/>
        <v>0</v>
      </c>
      <c r="Y124">
        <f t="shared" si="28"/>
        <v>0</v>
      </c>
      <c r="Z124">
        <f t="shared" si="29"/>
        <v>-1581.970218104711</v>
      </c>
      <c r="AA124">
        <f t="shared" si="30"/>
        <v>229.80536261541553</v>
      </c>
      <c r="AB124">
        <f t="shared" si="31"/>
        <v>0</v>
      </c>
      <c r="AC124">
        <f t="shared" si="32"/>
        <v>-0.94042727140075599</v>
      </c>
      <c r="AD124">
        <f t="shared" si="33"/>
        <v>661.7682709686577</v>
      </c>
      <c r="AE124">
        <f t="shared" si="34"/>
        <v>468.316324883596</v>
      </c>
      <c r="AF124">
        <f t="shared" si="35"/>
        <v>1000</v>
      </c>
      <c r="AG124">
        <f t="shared" si="36"/>
        <v>42.880156109915788</v>
      </c>
      <c r="AH124">
        <f t="shared" si="37"/>
        <v>2130.1198438900838</v>
      </c>
      <c r="AI124" s="5">
        <f t="shared" si="20"/>
        <v>0.46019328117809488</v>
      </c>
      <c r="AJ124" s="5">
        <f t="shared" si="21"/>
        <v>0</v>
      </c>
      <c r="AK124" s="5">
        <f t="shared" si="22"/>
        <v>0.46945715419174366</v>
      </c>
    </row>
    <row r="125" spans="1:37" hidden="1" x14ac:dyDescent="0.3">
      <c r="A125">
        <v>5023098</v>
      </c>
      <c r="B125" t="s">
        <v>32</v>
      </c>
      <c r="C125">
        <v>7.583333333333333</v>
      </c>
      <c r="D125">
        <v>19304.770234736719</v>
      </c>
      <c r="I125">
        <v>2015.610895043231</v>
      </c>
      <c r="J125">
        <v>2038</v>
      </c>
      <c r="K125">
        <v>0</v>
      </c>
      <c r="L125">
        <v>0.83920885180077676</v>
      </c>
      <c r="M125">
        <v>7008.5694120172166</v>
      </c>
      <c r="N125">
        <v>4071.7617018917031</v>
      </c>
      <c r="O125">
        <v>8883.9255567127111</v>
      </c>
      <c r="P125" s="2">
        <v>44070.791666666657</v>
      </c>
      <c r="Q125" s="2">
        <v>44071.107638888891</v>
      </c>
      <c r="R125">
        <v>19425.263731345251</v>
      </c>
      <c r="S125">
        <v>8.0087349816050644</v>
      </c>
      <c r="T125">
        <f t="shared" si="23"/>
        <v>0.85360162969886122</v>
      </c>
      <c r="U125">
        <f t="shared" si="24"/>
        <v>2172.9999999999995</v>
      </c>
      <c r="V125">
        <f t="shared" si="25"/>
        <v>0</v>
      </c>
      <c r="W125">
        <f t="shared" si="26"/>
        <v>0</v>
      </c>
      <c r="X125">
        <f t="shared" si="27"/>
        <v>0</v>
      </c>
      <c r="Y125">
        <f t="shared" si="28"/>
        <v>0</v>
      </c>
      <c r="Z125">
        <f t="shared" si="29"/>
        <v>226.8829114084856</v>
      </c>
      <c r="AA125">
        <f t="shared" si="30"/>
        <v>229.4030929221467</v>
      </c>
      <c r="AB125">
        <f t="shared" si="31"/>
        <v>0</v>
      </c>
      <c r="AC125">
        <f t="shared" si="32"/>
        <v>9.4463742007233384E-2</v>
      </c>
      <c r="AD125">
        <f t="shared" si="33"/>
        <v>788.90456333478937</v>
      </c>
      <c r="AE125">
        <f t="shared" si="34"/>
        <v>458.32911092046152</v>
      </c>
      <c r="AF125">
        <f t="shared" si="35"/>
        <v>1000</v>
      </c>
      <c r="AG125">
        <f t="shared" si="36"/>
        <v>-13.563091657998939</v>
      </c>
      <c r="AH125">
        <f t="shared" si="37"/>
        <v>2186.5630916579985</v>
      </c>
      <c r="AI125" s="5">
        <f t="shared" si="20"/>
        <v>0.46019328117809483</v>
      </c>
      <c r="AJ125" s="5">
        <f t="shared" si="21"/>
        <v>0</v>
      </c>
      <c r="AK125" s="5">
        <f t="shared" si="22"/>
        <v>0.45733873576075645</v>
      </c>
    </row>
    <row r="126" spans="1:37" hidden="1" x14ac:dyDescent="0.3">
      <c r="A126">
        <v>5023620</v>
      </c>
      <c r="B126" t="s">
        <v>40</v>
      </c>
      <c r="C126">
        <v>8.8333333333333321</v>
      </c>
      <c r="D126">
        <v>25037.346755520881</v>
      </c>
      <c r="I126">
        <v>2171.221981276432</v>
      </c>
      <c r="J126">
        <v>2274</v>
      </c>
      <c r="K126">
        <v>0</v>
      </c>
      <c r="L126">
        <v>29.81170974950231</v>
      </c>
      <c r="M126">
        <v>8979.1026300024259</v>
      </c>
      <c r="N126">
        <v>5357.0469017662244</v>
      </c>
      <c r="O126">
        <v>14405.838179241009</v>
      </c>
      <c r="P126" s="2">
        <v>44071.090277777781</v>
      </c>
      <c r="Q126" s="2">
        <v>44071.458333333343</v>
      </c>
      <c r="R126">
        <v>25037.479854259858</v>
      </c>
      <c r="S126">
        <v>8.6449965909695976</v>
      </c>
      <c r="T126">
        <f t="shared" si="23"/>
        <v>0.61317732598595165</v>
      </c>
      <c r="U126">
        <f t="shared" si="24"/>
        <v>1738.0000000000005</v>
      </c>
      <c r="V126">
        <f t="shared" si="25"/>
        <v>0</v>
      </c>
      <c r="W126">
        <f t="shared" si="26"/>
        <v>0</v>
      </c>
      <c r="X126">
        <f t="shared" si="27"/>
        <v>0</v>
      </c>
      <c r="Y126">
        <f t="shared" si="28"/>
        <v>0</v>
      </c>
      <c r="Z126">
        <f t="shared" si="29"/>
        <v>150.71819870954747</v>
      </c>
      <c r="AA126">
        <f t="shared" si="30"/>
        <v>157.85266859910047</v>
      </c>
      <c r="AB126">
        <f t="shared" si="31"/>
        <v>0</v>
      </c>
      <c r="AC126">
        <f t="shared" si="32"/>
        <v>2.0694186189361305</v>
      </c>
      <c r="AD126">
        <f t="shared" si="33"/>
        <v>623.29609136811098</v>
      </c>
      <c r="AE126">
        <f t="shared" si="34"/>
        <v>371.86638049883106</v>
      </c>
      <c r="AF126">
        <f t="shared" si="35"/>
        <v>1000</v>
      </c>
      <c r="AG126">
        <f t="shared" si="36"/>
        <v>-9.2392221349655301E-3</v>
      </c>
      <c r="AH126">
        <f t="shared" si="37"/>
        <v>1738.0092392221354</v>
      </c>
      <c r="AI126" s="5">
        <f t="shared" si="20"/>
        <v>0.57537399309551196</v>
      </c>
      <c r="AJ126" s="5">
        <f t="shared" si="21"/>
        <v>0</v>
      </c>
      <c r="AK126" s="5">
        <f t="shared" si="22"/>
        <v>0.57537093441894516</v>
      </c>
    </row>
    <row r="127" spans="1:37" hidden="1" x14ac:dyDescent="0.3">
      <c r="A127">
        <v>5024309</v>
      </c>
      <c r="B127" t="s">
        <v>32</v>
      </c>
      <c r="C127">
        <v>23.5</v>
      </c>
      <c r="D127">
        <v>66144.261051010239</v>
      </c>
      <c r="I127">
        <v>5780.507394052137</v>
      </c>
      <c r="J127">
        <v>6224</v>
      </c>
      <c r="K127">
        <v>0</v>
      </c>
      <c r="L127">
        <v>17.032998566044451</v>
      </c>
      <c r="M127">
        <v>25313.588130872031</v>
      </c>
      <c r="N127">
        <v>15822.00271436808</v>
      </c>
      <c r="O127">
        <v>30439.144524164862</v>
      </c>
      <c r="P127" s="2">
        <v>44071.458333333343</v>
      </c>
      <c r="Q127" s="2">
        <v>44072.4375</v>
      </c>
      <c r="R127">
        <v>66143.068924971085</v>
      </c>
      <c r="S127">
        <v>7.6396402233392342</v>
      </c>
      <c r="T127">
        <f t="shared" si="23"/>
        <v>0.77203220942506934</v>
      </c>
      <c r="U127">
        <f t="shared" si="24"/>
        <v>2172.9999999999995</v>
      </c>
      <c r="V127">
        <f t="shared" si="25"/>
        <v>0</v>
      </c>
      <c r="W127">
        <f t="shared" si="26"/>
        <v>0</v>
      </c>
      <c r="X127">
        <f t="shared" si="27"/>
        <v>0</v>
      </c>
      <c r="Y127">
        <f t="shared" si="28"/>
        <v>0</v>
      </c>
      <c r="Z127">
        <f t="shared" si="29"/>
        <v>189.90374021395834</v>
      </c>
      <c r="AA127">
        <f t="shared" si="30"/>
        <v>204.47355197709072</v>
      </c>
      <c r="AB127">
        <f t="shared" si="31"/>
        <v>0</v>
      </c>
      <c r="AC127">
        <f t="shared" si="32"/>
        <v>0.55957546876924835</v>
      </c>
      <c r="AD127">
        <f t="shared" si="33"/>
        <v>831.61299460226996</v>
      </c>
      <c r="AE127">
        <f t="shared" si="34"/>
        <v>519.79130694055459</v>
      </c>
      <c r="AF127">
        <f t="shared" si="35"/>
        <v>1000</v>
      </c>
      <c r="AG127">
        <f t="shared" si="36"/>
        <v>3.9164242549759365E-2</v>
      </c>
      <c r="AH127">
        <f t="shared" si="37"/>
        <v>2172.9608357574498</v>
      </c>
      <c r="AI127" s="5">
        <f t="shared" si="20"/>
        <v>0.46019328117809483</v>
      </c>
      <c r="AJ127" s="5">
        <f t="shared" si="21"/>
        <v>0</v>
      </c>
      <c r="AK127" s="5">
        <f t="shared" si="22"/>
        <v>0.46020157544690415</v>
      </c>
    </row>
    <row r="128" spans="1:37" hidden="1" x14ac:dyDescent="0.3">
      <c r="A128">
        <v>5024415</v>
      </c>
      <c r="B128" t="s">
        <v>38</v>
      </c>
      <c r="C128">
        <v>5.083333333333333</v>
      </c>
      <c r="D128">
        <v>13173.600812646069</v>
      </c>
      <c r="I128">
        <v>1297.8084257597261</v>
      </c>
      <c r="J128">
        <v>1956</v>
      </c>
      <c r="K128">
        <v>50</v>
      </c>
      <c r="L128">
        <v>1.7498661282218111</v>
      </c>
      <c r="M128">
        <v>4020.6551360787448</v>
      </c>
      <c r="N128">
        <v>2371.8704370912619</v>
      </c>
      <c r="O128">
        <v>5795.6888748992842</v>
      </c>
      <c r="P128" s="2">
        <v>44072.4375</v>
      </c>
      <c r="Q128" s="2">
        <v>44072.649305555547</v>
      </c>
      <c r="R128">
        <v>13173.55123356797</v>
      </c>
      <c r="S128">
        <v>7.3821276118215664</v>
      </c>
      <c r="T128">
        <f t="shared" si="23"/>
        <v>0.8770887194012239</v>
      </c>
      <c r="U128">
        <f t="shared" si="24"/>
        <v>2272.9999999999991</v>
      </c>
      <c r="V128">
        <f t="shared" si="25"/>
        <v>0</v>
      </c>
      <c r="W128">
        <f t="shared" si="26"/>
        <v>0</v>
      </c>
      <c r="X128">
        <f t="shared" si="27"/>
        <v>0</v>
      </c>
      <c r="Y128">
        <f t="shared" si="28"/>
        <v>0</v>
      </c>
      <c r="Z128">
        <f t="shared" si="29"/>
        <v>223.92651741200982</v>
      </c>
      <c r="AA128">
        <f t="shared" si="30"/>
        <v>337.49223642271357</v>
      </c>
      <c r="AB128">
        <f t="shared" si="31"/>
        <v>8.6271021580448259</v>
      </c>
      <c r="AC128">
        <f t="shared" si="32"/>
        <v>0.30192547702143857</v>
      </c>
      <c r="AD128">
        <f t="shared" si="33"/>
        <v>693.73205202437896</v>
      </c>
      <c r="AE128">
        <f t="shared" si="34"/>
        <v>409.24737132865499</v>
      </c>
      <c r="AF128">
        <f t="shared" si="35"/>
        <v>1000</v>
      </c>
      <c r="AG128">
        <f t="shared" si="36"/>
        <v>8.5544754329021089E-3</v>
      </c>
      <c r="AH128">
        <f t="shared" si="37"/>
        <v>2272.9914455245662</v>
      </c>
      <c r="AI128" s="5">
        <f t="shared" si="20"/>
        <v>0.43994720633523987</v>
      </c>
      <c r="AJ128" s="5">
        <f t="shared" si="21"/>
        <v>0</v>
      </c>
      <c r="AK128" s="5">
        <f t="shared" si="22"/>
        <v>0.43994886209051159</v>
      </c>
    </row>
    <row r="129" spans="1:37" hidden="1" x14ac:dyDescent="0.3">
      <c r="A129">
        <v>5024413</v>
      </c>
      <c r="B129" t="s">
        <v>46</v>
      </c>
      <c r="C129">
        <v>25</v>
      </c>
      <c r="D129">
        <v>45737.434215091627</v>
      </c>
      <c r="I129">
        <v>10241.23615400726</v>
      </c>
      <c r="J129">
        <v>8690</v>
      </c>
      <c r="K129">
        <v>20</v>
      </c>
      <c r="L129">
        <v>1.909829871713953</v>
      </c>
      <c r="M129">
        <v>23380.20144013963</v>
      </c>
      <c r="N129">
        <v>8157.1545354733062</v>
      </c>
      <c r="O129">
        <v>17838.312876400789</v>
      </c>
      <c r="P129" s="2">
        <v>44072.743055555547</v>
      </c>
      <c r="Q129" s="2">
        <v>44073.777777777781</v>
      </c>
      <c r="R129">
        <v>45631.837091000772</v>
      </c>
      <c r="S129">
        <v>7.662126933572325</v>
      </c>
      <c r="T129">
        <f t="shared" si="23"/>
        <v>1.4014778288295286</v>
      </c>
      <c r="U129">
        <f t="shared" si="24"/>
        <v>2564.0000000000005</v>
      </c>
      <c r="V129">
        <f t="shared" si="25"/>
        <v>0</v>
      </c>
      <c r="W129">
        <f t="shared" si="26"/>
        <v>0</v>
      </c>
      <c r="X129">
        <f t="shared" si="27"/>
        <v>0</v>
      </c>
      <c r="Y129">
        <f t="shared" si="28"/>
        <v>0</v>
      </c>
      <c r="Z129">
        <f t="shared" si="29"/>
        <v>574.11461638594267</v>
      </c>
      <c r="AA129">
        <f t="shared" si="30"/>
        <v>487.15369330114413</v>
      </c>
      <c r="AB129">
        <f t="shared" si="31"/>
        <v>1.1211822630636228</v>
      </c>
      <c r="AC129">
        <f t="shared" si="32"/>
        <v>0.10706336888173792</v>
      </c>
      <c r="AD129">
        <f t="shared" si="33"/>
        <v>1310.6733580769562</v>
      </c>
      <c r="AE129">
        <f t="shared" si="34"/>
        <v>457.28284911208283</v>
      </c>
      <c r="AF129">
        <f t="shared" si="35"/>
        <v>999.99999999999989</v>
      </c>
      <c r="AG129">
        <f t="shared" si="36"/>
        <v>5.9196811280598922</v>
      </c>
      <c r="AH129">
        <f t="shared" si="37"/>
        <v>2558.0803188719406</v>
      </c>
      <c r="AI129" s="5">
        <f t="shared" si="20"/>
        <v>0.39001560062402491</v>
      </c>
      <c r="AJ129" s="5">
        <f t="shared" si="21"/>
        <v>0</v>
      </c>
      <c r="AK129" s="5">
        <f t="shared" si="22"/>
        <v>0.39091813991242419</v>
      </c>
    </row>
    <row r="130" spans="1:37" hidden="1" x14ac:dyDescent="0.3">
      <c r="A130">
        <v>5025504</v>
      </c>
      <c r="B130" t="s">
        <v>35</v>
      </c>
      <c r="C130">
        <v>15.75</v>
      </c>
      <c r="D130">
        <v>31337.613269187172</v>
      </c>
      <c r="I130">
        <v>4284.3666805820822</v>
      </c>
      <c r="J130">
        <v>4955</v>
      </c>
      <c r="K130">
        <v>1121.882250652834</v>
      </c>
      <c r="L130">
        <v>769.68226855480998</v>
      </c>
      <c r="M130">
        <v>8920.0685647188257</v>
      </c>
      <c r="N130">
        <v>5159.8605702367668</v>
      </c>
      <c r="O130">
        <v>12604.328478356771</v>
      </c>
      <c r="P130" s="2">
        <v>44073.892361111109</v>
      </c>
      <c r="Q130" s="2">
        <v>44074.378472222219</v>
      </c>
      <c r="R130">
        <v>21677.039770817781</v>
      </c>
      <c r="S130">
        <v>8.8110758088714451</v>
      </c>
      <c r="T130">
        <f t="shared" si="23"/>
        <v>1.2495707349300478</v>
      </c>
      <c r="U130">
        <f t="shared" si="24"/>
        <v>2486.2580599194812</v>
      </c>
      <c r="V130">
        <f t="shared" si="25"/>
        <v>0</v>
      </c>
      <c r="W130">
        <f t="shared" si="26"/>
        <v>0</v>
      </c>
      <c r="X130">
        <f t="shared" si="27"/>
        <v>0</v>
      </c>
      <c r="Y130">
        <f t="shared" si="28"/>
        <v>0</v>
      </c>
      <c r="Z130">
        <f t="shared" si="29"/>
        <v>339.91233154061973</v>
      </c>
      <c r="AA130">
        <f t="shared" si="30"/>
        <v>393.11892010021501</v>
      </c>
      <c r="AB130">
        <f t="shared" si="31"/>
        <v>89.00769704465003</v>
      </c>
      <c r="AC130">
        <f t="shared" si="32"/>
        <v>61.064916697184778</v>
      </c>
      <c r="AD130">
        <f t="shared" si="33"/>
        <v>707.69883378045199</v>
      </c>
      <c r="AE130">
        <f t="shared" si="34"/>
        <v>409.37211205633855</v>
      </c>
      <c r="AF130">
        <f t="shared" si="35"/>
        <v>1000</v>
      </c>
      <c r="AG130">
        <f t="shared" si="36"/>
        <v>766.44888420337679</v>
      </c>
      <c r="AH130">
        <f t="shared" si="37"/>
        <v>1719.8091757161044</v>
      </c>
      <c r="AI130" s="5">
        <f t="shared" si="20"/>
        <v>0.40221086303180675</v>
      </c>
      <c r="AJ130" s="5">
        <f t="shared" si="21"/>
        <v>0</v>
      </c>
      <c r="AK130" s="5">
        <f t="shared" si="22"/>
        <v>0.58145985852390503</v>
      </c>
    </row>
    <row r="131" spans="1:37" hidden="1" x14ac:dyDescent="0.3">
      <c r="A131">
        <v>5025662</v>
      </c>
      <c r="B131" t="s">
        <v>32</v>
      </c>
      <c r="C131">
        <v>10.83333333333333</v>
      </c>
      <c r="D131">
        <v>30247.801583200111</v>
      </c>
      <c r="I131">
        <v>3225.6374942988159</v>
      </c>
      <c r="J131">
        <v>3629</v>
      </c>
      <c r="K131">
        <v>636.14098546305672</v>
      </c>
      <c r="L131">
        <v>567.37950484689031</v>
      </c>
      <c r="M131">
        <v>9201.4101995531582</v>
      </c>
      <c r="N131">
        <v>5774.0973846711859</v>
      </c>
      <c r="O131">
        <v>13919.83505899683</v>
      </c>
      <c r="P131" s="2">
        <v>44074.5</v>
      </c>
      <c r="Q131" s="2">
        <v>44074.951388888891</v>
      </c>
      <c r="R131">
        <v>30225.071577956271</v>
      </c>
      <c r="S131">
        <v>7.8150020637594864</v>
      </c>
      <c r="T131">
        <f t="shared" si="23"/>
        <v>0.77826592681724371</v>
      </c>
      <c r="U131">
        <f t="shared" si="24"/>
        <v>2173</v>
      </c>
      <c r="V131">
        <f t="shared" si="25"/>
        <v>0</v>
      </c>
      <c r="W131">
        <f t="shared" si="26"/>
        <v>0</v>
      </c>
      <c r="X131">
        <f t="shared" si="27"/>
        <v>0</v>
      </c>
      <c r="Y131">
        <f t="shared" si="28"/>
        <v>0</v>
      </c>
      <c r="Z131">
        <f t="shared" si="29"/>
        <v>231.72957729940802</v>
      </c>
      <c r="AA131">
        <f t="shared" si="30"/>
        <v>260.70711216182565</v>
      </c>
      <c r="AB131">
        <f t="shared" si="31"/>
        <v>45.700324951185294</v>
      </c>
      <c r="AC131">
        <f t="shared" si="32"/>
        <v>40.760504879702218</v>
      </c>
      <c r="AD131">
        <f t="shared" si="33"/>
        <v>661.02868033669665</v>
      </c>
      <c r="AE131">
        <f t="shared" si="34"/>
        <v>414.81076177976723</v>
      </c>
      <c r="AF131">
        <f t="shared" si="35"/>
        <v>1000</v>
      </c>
      <c r="AG131">
        <f t="shared" si="36"/>
        <v>1.6329220243992495</v>
      </c>
      <c r="AH131">
        <f t="shared" si="37"/>
        <v>2171.3670779756008</v>
      </c>
      <c r="AI131" s="5">
        <f t="shared" ref="AI131:AI194" si="38">IFERROR(O131/D131,0)</f>
        <v>0.46019328117809483</v>
      </c>
      <c r="AJ131" s="5">
        <f t="shared" ref="AJ131:AJ194" si="39">IFERROR(O131/(E131+H131),0)</f>
        <v>0</v>
      </c>
      <c r="AK131" s="5">
        <f t="shared" ref="AK131:AK194" si="40">IFERROR(O131/R131,0)</f>
        <v>0.46053935796627976</v>
      </c>
    </row>
    <row r="132" spans="1:37" hidden="1" x14ac:dyDescent="0.3">
      <c r="A132">
        <v>5024311</v>
      </c>
      <c r="B132" t="s">
        <v>42</v>
      </c>
      <c r="C132">
        <v>15.91666666666667</v>
      </c>
      <c r="D132">
        <v>42252.654901075563</v>
      </c>
      <c r="I132">
        <v>-21597.45678702684</v>
      </c>
      <c r="J132">
        <v>5303</v>
      </c>
      <c r="K132">
        <v>0</v>
      </c>
      <c r="L132">
        <v>36.730702718095642</v>
      </c>
      <c r="M132">
        <v>14796.598494458751</v>
      </c>
      <c r="N132">
        <v>8324.7430203215754</v>
      </c>
      <c r="O132">
        <v>19444.387897411671</v>
      </c>
      <c r="P132" s="2">
        <v>44075.291666666657</v>
      </c>
      <c r="Q132" s="2">
        <v>44075.954861111109</v>
      </c>
      <c r="R132">
        <v>42281.377497487279</v>
      </c>
      <c r="S132">
        <v>8.100329572083508</v>
      </c>
      <c r="T132">
        <f t="shared" ref="T132:T195" si="41">1000*C132/$O132</f>
        <v>0.81857380909302924</v>
      </c>
      <c r="U132">
        <f t="shared" ref="U132:U195" si="42">1000*D132/$O132</f>
        <v>2173</v>
      </c>
      <c r="V132">
        <f t="shared" ref="V132:V195" si="43">1000*E132/$O132</f>
        <v>0</v>
      </c>
      <c r="W132">
        <f t="shared" ref="W132:W195" si="44">1000*F132/$O132</f>
        <v>0</v>
      </c>
      <c r="X132">
        <f t="shared" ref="X132:X195" si="45">1000*G132/$O132</f>
        <v>0</v>
      </c>
      <c r="Y132">
        <f t="shared" ref="Y132:Y195" si="46">1000*H132/$O132</f>
        <v>0</v>
      </c>
      <c r="Z132">
        <f t="shared" ref="Z132:Z195" si="47">1000*I132/$O132</f>
        <v>-1110.7295791965648</v>
      </c>
      <c r="AA132">
        <f t="shared" ref="AA132:AA195" si="48">1000*J132/$O132</f>
        <v>272.72650741070157</v>
      </c>
      <c r="AB132">
        <f t="shared" ref="AB132:AB195" si="49">1000*K132/$O132</f>
        <v>0</v>
      </c>
      <c r="AC132">
        <f t="shared" ref="AC132:AC195" si="50">1000*L132/$O132</f>
        <v>1.8890130618606427</v>
      </c>
      <c r="AD132">
        <f t="shared" ref="AD132:AD195" si="51">1000*M132/$O132</f>
        <v>760.97013557461435</v>
      </c>
      <c r="AE132">
        <f t="shared" ref="AE132:AE195" si="52">1000*N132/$O132</f>
        <v>428.13088610671662</v>
      </c>
      <c r="AF132">
        <f t="shared" ref="AF132:AF195" si="53">1000*O132/$O132</f>
        <v>1000</v>
      </c>
      <c r="AG132">
        <f t="shared" ref="AG132:AG195" si="54">U132-AH132</f>
        <v>-1.4771663969704605</v>
      </c>
      <c r="AH132">
        <f t="shared" ref="AH132:AH195" si="55">1000*R132/O132</f>
        <v>2174.4771663969705</v>
      </c>
      <c r="AI132" s="5">
        <f t="shared" si="38"/>
        <v>0.46019328117809477</v>
      </c>
      <c r="AJ132" s="5">
        <f t="shared" si="39"/>
        <v>0</v>
      </c>
      <c r="AK132" s="5">
        <f t="shared" si="40"/>
        <v>0.4598806625580546</v>
      </c>
    </row>
    <row r="133" spans="1:37" hidden="1" x14ac:dyDescent="0.3">
      <c r="A133">
        <v>5026590</v>
      </c>
      <c r="B133" t="s">
        <v>32</v>
      </c>
      <c r="C133">
        <v>5.916666666666667</v>
      </c>
      <c r="D133">
        <v>14928.57231920728</v>
      </c>
      <c r="I133">
        <v>1857.885789191045</v>
      </c>
      <c r="J133">
        <v>1972</v>
      </c>
      <c r="K133">
        <v>84</v>
      </c>
      <c r="L133">
        <v>18.912014546764059</v>
      </c>
      <c r="M133">
        <v>5170.3062750903764</v>
      </c>
      <c r="N133">
        <v>2817.6486883362008</v>
      </c>
      <c r="O133">
        <v>6870.0286788804797</v>
      </c>
      <c r="P133" s="2">
        <v>44075.958333333343</v>
      </c>
      <c r="Q133" s="2">
        <v>44076.204861111109</v>
      </c>
      <c r="R133">
        <v>15011.146406062921</v>
      </c>
      <c r="S133">
        <v>7.8243502916675984</v>
      </c>
      <c r="T133">
        <f t="shared" si="41"/>
        <v>0.86122881624285008</v>
      </c>
      <c r="U133">
        <f t="shared" si="42"/>
        <v>2173</v>
      </c>
      <c r="V133">
        <f t="shared" si="43"/>
        <v>0</v>
      </c>
      <c r="W133">
        <f t="shared" si="44"/>
        <v>0</v>
      </c>
      <c r="X133">
        <f t="shared" si="45"/>
        <v>0</v>
      </c>
      <c r="Y133">
        <f t="shared" si="46"/>
        <v>0</v>
      </c>
      <c r="Z133">
        <f t="shared" si="47"/>
        <v>270.43348376440849</v>
      </c>
      <c r="AA133">
        <f t="shared" si="48"/>
        <v>287.04392545874373</v>
      </c>
      <c r="AB133">
        <f t="shared" si="49"/>
        <v>12.227023193982998</v>
      </c>
      <c r="AC133">
        <f t="shared" si="50"/>
        <v>2.7528290536693807</v>
      </c>
      <c r="AD133">
        <f t="shared" si="51"/>
        <v>752.58874697054614</v>
      </c>
      <c r="AE133">
        <f t="shared" si="52"/>
        <v>410.13637934264881</v>
      </c>
      <c r="AF133">
        <f t="shared" si="53"/>
        <v>1000.0000000000001</v>
      </c>
      <c r="AG133">
        <f t="shared" si="54"/>
        <v>-12.019467561974125</v>
      </c>
      <c r="AH133">
        <f t="shared" si="55"/>
        <v>2185.0194675619741</v>
      </c>
      <c r="AI133" s="5">
        <f t="shared" si="38"/>
        <v>0.46019328117809488</v>
      </c>
      <c r="AJ133" s="5">
        <f t="shared" si="39"/>
        <v>0</v>
      </c>
      <c r="AK133" s="5">
        <f t="shared" si="40"/>
        <v>0.45766182628834479</v>
      </c>
    </row>
    <row r="134" spans="1:37" hidden="1" x14ac:dyDescent="0.3">
      <c r="A134">
        <v>5026623</v>
      </c>
      <c r="B134" t="s">
        <v>32</v>
      </c>
      <c r="C134">
        <v>8.0833333333333339</v>
      </c>
      <c r="D134">
        <v>16163.57866716265</v>
      </c>
      <c r="I134">
        <v>3184.0235749244812</v>
      </c>
      <c r="J134">
        <v>2988</v>
      </c>
      <c r="K134">
        <v>1.6312500000000001</v>
      </c>
      <c r="L134">
        <v>-27780.78354648731</v>
      </c>
      <c r="M134">
        <v>5584.2878182591267</v>
      </c>
      <c r="N134">
        <v>3510.7740610934939</v>
      </c>
      <c r="O134">
        <v>7438.3703024218348</v>
      </c>
      <c r="P134" s="2">
        <v>44076.572916666657</v>
      </c>
      <c r="Q134" s="2">
        <v>44076.909722222219</v>
      </c>
      <c r="R134">
        <v>19529.15085092661</v>
      </c>
      <c r="S134">
        <v>8.3605187025937173</v>
      </c>
      <c r="T134">
        <f t="shared" si="41"/>
        <v>1.0867075723161439</v>
      </c>
      <c r="U134">
        <f t="shared" si="42"/>
        <v>2173.0000000000005</v>
      </c>
      <c r="V134">
        <f t="shared" si="43"/>
        <v>0</v>
      </c>
      <c r="W134">
        <f t="shared" si="44"/>
        <v>0</v>
      </c>
      <c r="X134">
        <f t="shared" si="45"/>
        <v>0</v>
      </c>
      <c r="Y134">
        <f t="shared" si="46"/>
        <v>0</v>
      </c>
      <c r="Z134">
        <f t="shared" si="47"/>
        <v>428.05392115095498</v>
      </c>
      <c r="AA134">
        <f t="shared" si="48"/>
        <v>401.70089394812015</v>
      </c>
      <c r="AB134">
        <f t="shared" si="49"/>
        <v>0.2193020693617373</v>
      </c>
      <c r="AC134">
        <f t="shared" si="50"/>
        <v>-3734.7943725579585</v>
      </c>
      <c r="AD134">
        <f t="shared" si="51"/>
        <v>750.74076594989583</v>
      </c>
      <c r="AE134">
        <f t="shared" si="52"/>
        <v>471.98161940800827</v>
      </c>
      <c r="AF134">
        <f t="shared" si="53"/>
        <v>1000.0000000000001</v>
      </c>
      <c r="AG134">
        <f t="shared" si="54"/>
        <v>-452.46096213685041</v>
      </c>
      <c r="AH134">
        <f t="shared" si="55"/>
        <v>2625.4609621368509</v>
      </c>
      <c r="AI134" s="5">
        <f t="shared" si="38"/>
        <v>0.46019328117809472</v>
      </c>
      <c r="AJ134" s="5">
        <f t="shared" si="39"/>
        <v>0</v>
      </c>
      <c r="AK134" s="5">
        <f t="shared" si="40"/>
        <v>0.3808854956982885</v>
      </c>
    </row>
    <row r="135" spans="1:37" hidden="1" x14ac:dyDescent="0.3">
      <c r="A135">
        <v>5026617</v>
      </c>
      <c r="B135" t="s">
        <v>38</v>
      </c>
      <c r="C135">
        <v>12.91666666666667</v>
      </c>
      <c r="D135">
        <v>27477.0830621036</v>
      </c>
      <c r="I135">
        <v>3490.2806551707931</v>
      </c>
      <c r="J135">
        <v>3613</v>
      </c>
      <c r="K135">
        <v>11080.956715898419</v>
      </c>
      <c r="L135">
        <v>11868.75102382936</v>
      </c>
      <c r="M135">
        <v>2634.368005762311</v>
      </c>
      <c r="N135">
        <v>10219.07399611618</v>
      </c>
      <c r="O135">
        <v>12088.46593141381</v>
      </c>
      <c r="P135" s="2">
        <v>44076.916666666657</v>
      </c>
      <c r="Q135" s="2">
        <v>44077.701388888891</v>
      </c>
      <c r="R135">
        <v>42322.95889936501</v>
      </c>
      <c r="S135">
        <v>8.3928949938044504</v>
      </c>
      <c r="T135">
        <f t="shared" si="41"/>
        <v>1.0685116490340307</v>
      </c>
      <c r="U135">
        <f t="shared" si="42"/>
        <v>2273.0000000000009</v>
      </c>
      <c r="V135">
        <f t="shared" si="43"/>
        <v>0</v>
      </c>
      <c r="W135">
        <f t="shared" si="44"/>
        <v>0</v>
      </c>
      <c r="X135">
        <f t="shared" si="45"/>
        <v>0</v>
      </c>
      <c r="Y135">
        <f t="shared" si="46"/>
        <v>0</v>
      </c>
      <c r="Z135">
        <f t="shared" si="47"/>
        <v>288.72817071856417</v>
      </c>
      <c r="AA135">
        <f t="shared" si="48"/>
        <v>298.87994229367371</v>
      </c>
      <c r="AB135">
        <f t="shared" si="49"/>
        <v>916.65532903581936</v>
      </c>
      <c r="AC135">
        <f t="shared" si="50"/>
        <v>981.82441768616104</v>
      </c>
      <c r="AD135">
        <f t="shared" si="51"/>
        <v>217.92409563867696</v>
      </c>
      <c r="AE135">
        <f t="shared" si="52"/>
        <v>845.35738894380995</v>
      </c>
      <c r="AF135">
        <f t="shared" si="53"/>
        <v>1000.0000000000001</v>
      </c>
      <c r="AG135">
        <f t="shared" si="54"/>
        <v>-1228.1025501078698</v>
      </c>
      <c r="AH135">
        <f t="shared" si="55"/>
        <v>3501.1025501078707</v>
      </c>
      <c r="AI135" s="5">
        <f t="shared" si="38"/>
        <v>0.43994720633523959</v>
      </c>
      <c r="AJ135" s="5">
        <f t="shared" si="39"/>
        <v>0</v>
      </c>
      <c r="AK135" s="5">
        <f t="shared" si="40"/>
        <v>0.28562430996749566</v>
      </c>
    </row>
    <row r="136" spans="1:37" hidden="1" x14ac:dyDescent="0.3">
      <c r="A136">
        <v>5027784</v>
      </c>
      <c r="B136" t="s">
        <v>32</v>
      </c>
      <c r="C136">
        <v>6.75</v>
      </c>
      <c r="D136">
        <v>17548.515722035809</v>
      </c>
      <c r="I136">
        <v>1832.6061705347529</v>
      </c>
      <c r="J136">
        <v>1695</v>
      </c>
      <c r="K136">
        <v>6091.8313619079854</v>
      </c>
      <c r="L136">
        <v>6144.9407700359297</v>
      </c>
      <c r="M136">
        <v>0</v>
      </c>
      <c r="N136">
        <v>7968.0384963170018</v>
      </c>
      <c r="O136">
        <v>7755.2607145507864</v>
      </c>
      <c r="P136" s="2">
        <v>44077.291666666657</v>
      </c>
      <c r="Q136" s="2">
        <v>44078.065972222219</v>
      </c>
      <c r="R136">
        <v>47813.647524470143</v>
      </c>
      <c r="S136">
        <v>8.5453679922541141</v>
      </c>
      <c r="T136">
        <f t="shared" si="41"/>
        <v>0.87037692844230641</v>
      </c>
      <c r="U136">
        <f t="shared" si="42"/>
        <v>2262.7886241284523</v>
      </c>
      <c r="V136">
        <f t="shared" si="43"/>
        <v>0</v>
      </c>
      <c r="W136">
        <f t="shared" si="44"/>
        <v>0</v>
      </c>
      <c r="X136">
        <f t="shared" si="45"/>
        <v>0</v>
      </c>
      <c r="Y136">
        <f t="shared" si="46"/>
        <v>0</v>
      </c>
      <c r="Z136">
        <f t="shared" si="47"/>
        <v>236.30490811177123</v>
      </c>
      <c r="AA136">
        <f t="shared" si="48"/>
        <v>218.5613175866236</v>
      </c>
      <c r="AB136">
        <f t="shared" si="49"/>
        <v>785.50955101718284</v>
      </c>
      <c r="AC136">
        <f t="shared" si="50"/>
        <v>792.35772931611461</v>
      </c>
      <c r="AD136">
        <f t="shared" si="51"/>
        <v>0</v>
      </c>
      <c r="AE136">
        <f t="shared" si="52"/>
        <v>1027.4365736495477</v>
      </c>
      <c r="AF136">
        <f t="shared" si="53"/>
        <v>1000</v>
      </c>
      <c r="AG136">
        <f t="shared" si="54"/>
        <v>-3902.5292529043491</v>
      </c>
      <c r="AH136">
        <f t="shared" si="55"/>
        <v>6165.3178770328013</v>
      </c>
      <c r="AI136" s="5">
        <f t="shared" si="38"/>
        <v>0.44193257352315241</v>
      </c>
      <c r="AJ136" s="5">
        <f t="shared" si="39"/>
        <v>0</v>
      </c>
      <c r="AK136" s="5">
        <f t="shared" si="40"/>
        <v>0.16219763845838758</v>
      </c>
    </row>
    <row r="137" spans="1:37" hidden="1" x14ac:dyDescent="0.3">
      <c r="A137">
        <v>5027909</v>
      </c>
      <c r="B137" t="s">
        <v>46</v>
      </c>
      <c r="C137">
        <v>18.333333333333339</v>
      </c>
      <c r="D137">
        <v>33911.229634536707</v>
      </c>
      <c r="I137">
        <v>-21664.648735250179</v>
      </c>
      <c r="J137">
        <v>4246</v>
      </c>
      <c r="K137">
        <v>16275.50461038918</v>
      </c>
      <c r="L137">
        <v>-4672.0545945256563</v>
      </c>
      <c r="M137">
        <v>0</v>
      </c>
      <c r="N137">
        <v>16190.588222034139</v>
      </c>
      <c r="O137">
        <v>13225.90859381307</v>
      </c>
      <c r="P137" s="2">
        <v>44078.159722222219</v>
      </c>
      <c r="Q137" s="2">
        <v>44078.920138888891</v>
      </c>
      <c r="R137">
        <v>33778.802650788653</v>
      </c>
      <c r="S137">
        <v>7.8672910496407669</v>
      </c>
      <c r="T137">
        <f t="shared" si="41"/>
        <v>1.3861681564856319</v>
      </c>
      <c r="U137">
        <f t="shared" si="42"/>
        <v>2563.9999999999995</v>
      </c>
      <c r="V137">
        <f t="shared" si="43"/>
        <v>0</v>
      </c>
      <c r="W137">
        <f t="shared" si="44"/>
        <v>0</v>
      </c>
      <c r="X137">
        <f t="shared" si="45"/>
        <v>0</v>
      </c>
      <c r="Y137">
        <f t="shared" si="46"/>
        <v>0</v>
      </c>
      <c r="Z137">
        <f t="shared" si="47"/>
        <v>-1638.0461562682094</v>
      </c>
      <c r="AA137">
        <f t="shared" si="48"/>
        <v>321.03654504207225</v>
      </c>
      <c r="AB137">
        <f t="shared" si="49"/>
        <v>1230.5774302721763</v>
      </c>
      <c r="AC137">
        <f t="shared" si="50"/>
        <v>-353.25018023421018</v>
      </c>
      <c r="AD137">
        <f t="shared" si="51"/>
        <v>0</v>
      </c>
      <c r="AE137">
        <f t="shared" si="52"/>
        <v>1224.1569724448204</v>
      </c>
      <c r="AF137">
        <f t="shared" si="53"/>
        <v>1000.0000000000001</v>
      </c>
      <c r="AG137">
        <f t="shared" si="54"/>
        <v>10.012694614417796</v>
      </c>
      <c r="AH137">
        <f t="shared" si="55"/>
        <v>2553.9873053855817</v>
      </c>
      <c r="AI137" s="5">
        <f t="shared" si="38"/>
        <v>0.39001560062402502</v>
      </c>
      <c r="AJ137" s="5">
        <f t="shared" si="39"/>
        <v>0</v>
      </c>
      <c r="AK137" s="5">
        <f t="shared" si="40"/>
        <v>0.39154462431794568</v>
      </c>
    </row>
    <row r="138" spans="1:37" hidden="1" x14ac:dyDescent="0.3">
      <c r="A138">
        <v>5027972</v>
      </c>
      <c r="B138" t="s">
        <v>34</v>
      </c>
      <c r="C138">
        <v>12.33666666666667</v>
      </c>
      <c r="D138">
        <v>22852.610425604391</v>
      </c>
      <c r="I138">
        <v>845.90114919567577</v>
      </c>
      <c r="J138">
        <v>2840</v>
      </c>
      <c r="K138">
        <v>7224.7187721559449</v>
      </c>
      <c r="L138">
        <v>1719.872822837317</v>
      </c>
      <c r="M138">
        <v>0</v>
      </c>
      <c r="N138">
        <v>1976.87540407546</v>
      </c>
      <c r="O138">
        <v>8912.8745809689499</v>
      </c>
      <c r="P138" s="2">
        <v>44078.916666666657</v>
      </c>
      <c r="Q138" s="2">
        <v>44079.434027777781</v>
      </c>
      <c r="R138">
        <v>23006.228113624751</v>
      </c>
      <c r="S138">
        <v>7.8770407730485639</v>
      </c>
      <c r="T138">
        <f t="shared" si="41"/>
        <v>1.3841400498340131</v>
      </c>
      <c r="U138">
        <f t="shared" si="42"/>
        <v>2564.0000000000005</v>
      </c>
      <c r="V138">
        <f t="shared" si="43"/>
        <v>0</v>
      </c>
      <c r="W138">
        <f t="shared" si="44"/>
        <v>0</v>
      </c>
      <c r="X138">
        <f t="shared" si="45"/>
        <v>0</v>
      </c>
      <c r="Y138">
        <f t="shared" si="46"/>
        <v>0</v>
      </c>
      <c r="Z138">
        <f t="shared" si="47"/>
        <v>94.907781043151942</v>
      </c>
      <c r="AA138">
        <f t="shared" si="48"/>
        <v>318.6401843984271</v>
      </c>
      <c r="AB138">
        <f t="shared" si="49"/>
        <v>810.59356400934803</v>
      </c>
      <c r="AC138">
        <f t="shared" si="50"/>
        <v>192.96499767983315</v>
      </c>
      <c r="AD138">
        <f t="shared" si="51"/>
        <v>0</v>
      </c>
      <c r="AE138">
        <f t="shared" si="52"/>
        <v>221.79998003074638</v>
      </c>
      <c r="AF138">
        <f t="shared" si="53"/>
        <v>1000</v>
      </c>
      <c r="AG138">
        <f t="shared" si="54"/>
        <v>-17.23548184424908</v>
      </c>
      <c r="AH138">
        <f t="shared" si="55"/>
        <v>2581.2354818442495</v>
      </c>
      <c r="AI138" s="5">
        <f t="shared" si="38"/>
        <v>0.39001560062402491</v>
      </c>
      <c r="AJ138" s="5">
        <f t="shared" si="39"/>
        <v>0</v>
      </c>
      <c r="AK138" s="5">
        <f t="shared" si="40"/>
        <v>0.38741137995109098</v>
      </c>
    </row>
    <row r="139" spans="1:37" hidden="1" x14ac:dyDescent="0.3">
      <c r="A139">
        <v>5027970</v>
      </c>
      <c r="B139" t="s">
        <v>43</v>
      </c>
      <c r="C139">
        <v>30.416666666666661</v>
      </c>
      <c r="D139">
        <v>55890.88955467206</v>
      </c>
      <c r="I139">
        <v>7139.5945366373753</v>
      </c>
      <c r="J139">
        <v>7567</v>
      </c>
      <c r="K139">
        <v>12252.88342734005</v>
      </c>
      <c r="L139">
        <v>12337.66301451539</v>
      </c>
      <c r="M139">
        <v>0</v>
      </c>
      <c r="N139">
        <v>6490.8529318754354</v>
      </c>
      <c r="O139">
        <v>21798.318859076469</v>
      </c>
      <c r="P139" s="2">
        <v>44079.434027777781</v>
      </c>
      <c r="Q139" s="2">
        <v>44080.701388888891</v>
      </c>
      <c r="R139">
        <v>56280.586831539287</v>
      </c>
      <c r="S139">
        <v>7.9911043112542073</v>
      </c>
      <c r="T139">
        <f t="shared" si="41"/>
        <v>1.3953675447775025</v>
      </c>
      <c r="U139">
        <f t="shared" si="42"/>
        <v>2563.9999999999995</v>
      </c>
      <c r="V139">
        <f t="shared" si="43"/>
        <v>0</v>
      </c>
      <c r="W139">
        <f t="shared" si="44"/>
        <v>0</v>
      </c>
      <c r="X139">
        <f t="shared" si="45"/>
        <v>0</v>
      </c>
      <c r="Y139">
        <f t="shared" si="46"/>
        <v>0</v>
      </c>
      <c r="Z139">
        <f t="shared" si="47"/>
        <v>327.52959449735562</v>
      </c>
      <c r="AA139">
        <f t="shared" si="48"/>
        <v>347.13686174240098</v>
      </c>
      <c r="AB139">
        <f t="shared" si="49"/>
        <v>562.10222020117601</v>
      </c>
      <c r="AC139">
        <f t="shared" si="50"/>
        <v>565.99149201720138</v>
      </c>
      <c r="AD139">
        <f t="shared" si="51"/>
        <v>0</v>
      </c>
      <c r="AE139">
        <f t="shared" si="52"/>
        <v>297.76851021576596</v>
      </c>
      <c r="AF139">
        <f t="shared" si="53"/>
        <v>1000</v>
      </c>
      <c r="AG139">
        <f t="shared" si="54"/>
        <v>-17.877400518204013</v>
      </c>
      <c r="AH139">
        <f t="shared" si="55"/>
        <v>2581.8774005182036</v>
      </c>
      <c r="AI139" s="5">
        <f t="shared" si="38"/>
        <v>0.39001560062402502</v>
      </c>
      <c r="AJ139" s="5">
        <f t="shared" si="39"/>
        <v>0</v>
      </c>
      <c r="AK139" s="5">
        <f t="shared" si="40"/>
        <v>0.38731505988599302</v>
      </c>
    </row>
    <row r="140" spans="1:37" hidden="1" x14ac:dyDescent="0.3">
      <c r="A140">
        <v>5029636</v>
      </c>
      <c r="B140" t="s">
        <v>34</v>
      </c>
      <c r="C140">
        <v>45.083333333333329</v>
      </c>
      <c r="D140">
        <v>82404.363191554497</v>
      </c>
      <c r="I140">
        <v>-16348.34959423635</v>
      </c>
      <c r="J140">
        <v>11389</v>
      </c>
      <c r="K140">
        <v>17531.3958412967</v>
      </c>
      <c r="L140">
        <v>-9339.4141599217728</v>
      </c>
      <c r="M140">
        <v>0</v>
      </c>
      <c r="N140">
        <v>8670.6245040392423</v>
      </c>
      <c r="O140">
        <v>32138.987204194422</v>
      </c>
      <c r="P140" s="2">
        <v>44080.6875</v>
      </c>
      <c r="Q140" s="2">
        <v>44082.975694444453</v>
      </c>
      <c r="R140">
        <v>100799.76205534951</v>
      </c>
      <c r="S140">
        <v>7.206232956668881</v>
      </c>
      <c r="T140">
        <f t="shared" si="41"/>
        <v>1.4027614823982242</v>
      </c>
      <c r="U140">
        <f t="shared" si="42"/>
        <v>2564</v>
      </c>
      <c r="V140">
        <f t="shared" si="43"/>
        <v>0</v>
      </c>
      <c r="W140">
        <f t="shared" si="44"/>
        <v>0</v>
      </c>
      <c r="X140">
        <f t="shared" si="45"/>
        <v>0</v>
      </c>
      <c r="Y140">
        <f t="shared" si="46"/>
        <v>0</v>
      </c>
      <c r="Z140">
        <f t="shared" si="47"/>
        <v>-508.67656439723606</v>
      </c>
      <c r="AA140">
        <f t="shared" si="48"/>
        <v>354.36710956820804</v>
      </c>
      <c r="AB140">
        <f t="shared" si="49"/>
        <v>545.48687953081162</v>
      </c>
      <c r="AC140">
        <f t="shared" si="50"/>
        <v>-290.59453866993346</v>
      </c>
      <c r="AD140">
        <f t="shared" si="51"/>
        <v>0</v>
      </c>
      <c r="AE140">
        <f t="shared" si="52"/>
        <v>269.78524397643901</v>
      </c>
      <c r="AF140">
        <f t="shared" si="53"/>
        <v>1000</v>
      </c>
      <c r="AG140">
        <f t="shared" si="54"/>
        <v>-572.3702102658126</v>
      </c>
      <c r="AH140">
        <f t="shared" si="55"/>
        <v>3136.3702102658126</v>
      </c>
      <c r="AI140" s="5">
        <f t="shared" si="38"/>
        <v>0.39001560062402496</v>
      </c>
      <c r="AJ140" s="5">
        <f t="shared" si="39"/>
        <v>0</v>
      </c>
      <c r="AK140" s="5">
        <f t="shared" si="40"/>
        <v>0.31883991141315182</v>
      </c>
    </row>
    <row r="141" spans="1:37" hidden="1" x14ac:dyDescent="0.3">
      <c r="A141">
        <v>5030193</v>
      </c>
      <c r="B141" t="s">
        <v>43</v>
      </c>
      <c r="C141">
        <v>1.833333333333333</v>
      </c>
      <c r="D141">
        <v>3303.7377452303608</v>
      </c>
      <c r="I141">
        <v>1099.2385063258821</v>
      </c>
      <c r="J141">
        <v>465</v>
      </c>
      <c r="K141">
        <v>1000.487243030406</v>
      </c>
      <c r="L141">
        <v>1086.1464621700629</v>
      </c>
      <c r="M141">
        <v>0</v>
      </c>
      <c r="N141">
        <v>422.1993749656794</v>
      </c>
      <c r="O141">
        <v>1288.5092610102811</v>
      </c>
      <c r="P141" s="2">
        <v>44082.291666666657</v>
      </c>
      <c r="Q141" s="2">
        <v>44082.368055555547</v>
      </c>
      <c r="R141">
        <v>3400.3853992460772</v>
      </c>
      <c r="S141">
        <v>6.823693385491004</v>
      </c>
      <c r="T141">
        <f t="shared" si="41"/>
        <v>1.4228328726918671</v>
      </c>
      <c r="U141">
        <f t="shared" si="42"/>
        <v>2564</v>
      </c>
      <c r="V141">
        <f t="shared" si="43"/>
        <v>0</v>
      </c>
      <c r="W141">
        <f t="shared" si="44"/>
        <v>0</v>
      </c>
      <c r="X141">
        <f t="shared" si="45"/>
        <v>0</v>
      </c>
      <c r="Y141">
        <f t="shared" si="46"/>
        <v>0</v>
      </c>
      <c r="Z141">
        <f t="shared" si="47"/>
        <v>853.10873548863947</v>
      </c>
      <c r="AA141">
        <f t="shared" si="48"/>
        <v>360.88215589184637</v>
      </c>
      <c r="AB141">
        <f t="shared" si="49"/>
        <v>776.46880259591956</v>
      </c>
      <c r="AC141">
        <f t="shared" si="50"/>
        <v>842.94812232738502</v>
      </c>
      <c r="AD141">
        <f t="shared" si="51"/>
        <v>0</v>
      </c>
      <c r="AE141">
        <f t="shared" si="52"/>
        <v>327.66499065334284</v>
      </c>
      <c r="AF141">
        <f t="shared" si="53"/>
        <v>1000</v>
      </c>
      <c r="AG141">
        <f t="shared" si="54"/>
        <v>-75.007341382970026</v>
      </c>
      <c r="AH141">
        <f t="shared" si="55"/>
        <v>2639.00734138297</v>
      </c>
      <c r="AI141" s="5">
        <f t="shared" si="38"/>
        <v>0.39001560062402496</v>
      </c>
      <c r="AJ141" s="5">
        <f t="shared" si="39"/>
        <v>0</v>
      </c>
      <c r="AK141" s="5">
        <f t="shared" si="40"/>
        <v>0.37893035927514723</v>
      </c>
    </row>
    <row r="142" spans="1:37" hidden="1" x14ac:dyDescent="0.3">
      <c r="A142">
        <v>5029661</v>
      </c>
      <c r="B142" t="s">
        <v>31</v>
      </c>
      <c r="C142">
        <v>59.583333333333343</v>
      </c>
      <c r="D142">
        <v>0</v>
      </c>
      <c r="E142">
        <v>83466.705249999955</v>
      </c>
      <c r="F142">
        <v>0</v>
      </c>
      <c r="G142">
        <v>83466.705249999955</v>
      </c>
      <c r="H142">
        <v>8996.3005833333282</v>
      </c>
      <c r="I142">
        <v>24977.59249823081</v>
      </c>
      <c r="J142">
        <v>21418</v>
      </c>
      <c r="K142">
        <v>58903.686285482399</v>
      </c>
      <c r="L142">
        <v>15560.856208720659</v>
      </c>
      <c r="M142">
        <v>0</v>
      </c>
      <c r="N142">
        <v>47249.480986015202</v>
      </c>
      <c r="O142">
        <v>44030.002777777758</v>
      </c>
      <c r="P142" s="2">
        <v>44083.291666666657</v>
      </c>
      <c r="Q142" s="2">
        <v>44089.440972222219</v>
      </c>
      <c r="R142">
        <v>39.536708860759497</v>
      </c>
      <c r="S142">
        <v>5.0035713740757526</v>
      </c>
      <c r="T142">
        <f t="shared" si="41"/>
        <v>1.3532439149289688</v>
      </c>
      <c r="U142">
        <f t="shared" si="42"/>
        <v>0</v>
      </c>
      <c r="V142">
        <f t="shared" si="43"/>
        <v>1895.6779464962053</v>
      </c>
      <c r="W142">
        <f t="shared" si="44"/>
        <v>0</v>
      </c>
      <c r="X142">
        <f t="shared" si="45"/>
        <v>1895.6779464962053</v>
      </c>
      <c r="Y142">
        <f t="shared" si="46"/>
        <v>204.32205350379451</v>
      </c>
      <c r="Z142">
        <f t="shared" si="47"/>
        <v>567.2857352359099</v>
      </c>
      <c r="AA142">
        <f t="shared" si="48"/>
        <v>486.44103222291437</v>
      </c>
      <c r="AB142">
        <f t="shared" si="49"/>
        <v>1337.8079166329621</v>
      </c>
      <c r="AC142">
        <f t="shared" si="50"/>
        <v>353.41483595304993</v>
      </c>
      <c r="AD142">
        <f t="shared" si="51"/>
        <v>0</v>
      </c>
      <c r="AE142">
        <f t="shared" si="52"/>
        <v>1073.1201000482865</v>
      </c>
      <c r="AF142">
        <f t="shared" si="53"/>
        <v>1000.0000000000001</v>
      </c>
      <c r="AG142">
        <f t="shared" si="54"/>
        <v>-0.89794927018977944</v>
      </c>
      <c r="AH142">
        <f t="shared" si="55"/>
        <v>0.89794927018977944</v>
      </c>
      <c r="AI142" s="5">
        <f t="shared" si="38"/>
        <v>0</v>
      </c>
      <c r="AJ142" s="5">
        <f t="shared" si="39"/>
        <v>0.47619047619047622</v>
      </c>
      <c r="AK142" s="5">
        <f t="shared" si="40"/>
        <v>1113.6486583352894</v>
      </c>
    </row>
    <row r="143" spans="1:37" hidden="1" x14ac:dyDescent="0.3">
      <c r="A143">
        <v>5029659</v>
      </c>
      <c r="B143" t="s">
        <v>31</v>
      </c>
      <c r="C143">
        <v>164.5</v>
      </c>
      <c r="D143">
        <v>0</v>
      </c>
      <c r="E143">
        <v>293036.0575</v>
      </c>
      <c r="F143">
        <v>1440</v>
      </c>
      <c r="G143">
        <v>291596.0575</v>
      </c>
      <c r="H143">
        <v>0</v>
      </c>
      <c r="I143">
        <v>2291.7355416006708</v>
      </c>
      <c r="J143">
        <v>68957</v>
      </c>
      <c r="K143">
        <v>172629.00742173789</v>
      </c>
      <c r="L143">
        <v>9296.4742230519387</v>
      </c>
      <c r="M143">
        <v>0</v>
      </c>
      <c r="N143">
        <v>151132.6592026107</v>
      </c>
      <c r="O143">
        <v>139552.88452380951</v>
      </c>
      <c r="P143" s="2">
        <v>44089.291666666657</v>
      </c>
      <c r="Q143" s="2">
        <v>44097.576388888891</v>
      </c>
      <c r="R143">
        <v>53.293068910256409</v>
      </c>
      <c r="S143">
        <v>5.0037161595112556</v>
      </c>
      <c r="T143">
        <f t="shared" si="41"/>
        <v>1.1787645992507894</v>
      </c>
      <c r="U143">
        <f t="shared" si="42"/>
        <v>0</v>
      </c>
      <c r="V143">
        <f t="shared" si="43"/>
        <v>2099.8208564438833</v>
      </c>
      <c r="W143">
        <f t="shared" si="44"/>
        <v>10.318668832347335</v>
      </c>
      <c r="X143">
        <f t="shared" si="45"/>
        <v>2089.5021876115356</v>
      </c>
      <c r="Y143">
        <f t="shared" si="46"/>
        <v>0</v>
      </c>
      <c r="Z143">
        <f t="shared" si="47"/>
        <v>16.421986184095474</v>
      </c>
      <c r="AA143">
        <f t="shared" si="48"/>
        <v>494.12808796678831</v>
      </c>
      <c r="AB143">
        <f t="shared" si="49"/>
        <v>1237.0149711400998</v>
      </c>
      <c r="AC143">
        <f t="shared" si="50"/>
        <v>66.616138066754488</v>
      </c>
      <c r="AD143">
        <f t="shared" si="51"/>
        <v>0</v>
      </c>
      <c r="AE143">
        <f t="shared" si="52"/>
        <v>1082.977680599827</v>
      </c>
      <c r="AF143">
        <f t="shared" si="53"/>
        <v>1000.0000000000001</v>
      </c>
      <c r="AG143">
        <f t="shared" si="54"/>
        <v>-0.38188439523916773</v>
      </c>
      <c r="AH143">
        <f t="shared" si="55"/>
        <v>0.38188439523916773</v>
      </c>
      <c r="AI143" s="5">
        <f t="shared" si="38"/>
        <v>0</v>
      </c>
      <c r="AJ143" s="5">
        <f t="shared" si="39"/>
        <v>0.47623110177766947</v>
      </c>
      <c r="AK143" s="5">
        <f t="shared" si="40"/>
        <v>2618.5935127663879</v>
      </c>
    </row>
    <row r="144" spans="1:37" hidden="1" x14ac:dyDescent="0.3">
      <c r="A144">
        <v>5035841</v>
      </c>
      <c r="B144" t="s">
        <v>31</v>
      </c>
      <c r="C144">
        <v>102.1666666666667</v>
      </c>
      <c r="D144">
        <v>0</v>
      </c>
      <c r="E144">
        <v>155671.10725</v>
      </c>
      <c r="F144">
        <v>57149.746906250002</v>
      </c>
      <c r="G144">
        <v>98521.360343750042</v>
      </c>
      <c r="H144">
        <v>17106.7605</v>
      </c>
      <c r="I144">
        <v>6589.3488527669006</v>
      </c>
      <c r="J144">
        <v>38059</v>
      </c>
      <c r="K144">
        <v>116958.8574477434</v>
      </c>
      <c r="L144">
        <v>-1017.333908935356</v>
      </c>
      <c r="M144">
        <v>0</v>
      </c>
      <c r="N144">
        <v>110290.3220527168</v>
      </c>
      <c r="O144">
        <v>75713.351336546897</v>
      </c>
      <c r="P144" s="2">
        <v>44105.291666666657</v>
      </c>
      <c r="Q144" s="2">
        <v>44109.677083333343</v>
      </c>
      <c r="R144">
        <v>31.233992997863758</v>
      </c>
      <c r="S144">
        <v>5.0041303717571752</v>
      </c>
      <c r="T144">
        <f t="shared" si="41"/>
        <v>1.3493877217577446</v>
      </c>
      <c r="U144">
        <f t="shared" si="42"/>
        <v>0</v>
      </c>
      <c r="V144">
        <f t="shared" si="43"/>
        <v>2056.0588654706326</v>
      </c>
      <c r="W144">
        <f t="shared" si="44"/>
        <v>754.81729308505419</v>
      </c>
      <c r="X144">
        <f t="shared" si="45"/>
        <v>1301.2415723855788</v>
      </c>
      <c r="Y144">
        <f t="shared" si="46"/>
        <v>225.94113452936739</v>
      </c>
      <c r="Z144">
        <f t="shared" si="47"/>
        <v>87.030209816986613</v>
      </c>
      <c r="AA144">
        <f t="shared" si="48"/>
        <v>502.67224113257407</v>
      </c>
      <c r="AB144">
        <f t="shared" si="49"/>
        <v>1544.7586902851474</v>
      </c>
      <c r="AC144">
        <f t="shared" si="50"/>
        <v>-13.436651409251358</v>
      </c>
      <c r="AD144">
        <f t="shared" si="51"/>
        <v>0</v>
      </c>
      <c r="AE144">
        <f t="shared" si="52"/>
        <v>1456.6826075691035</v>
      </c>
      <c r="AF144">
        <f t="shared" si="53"/>
        <v>1000</v>
      </c>
      <c r="AG144">
        <f t="shared" si="54"/>
        <v>-0.41252952678092702</v>
      </c>
      <c r="AH144">
        <f t="shared" si="55"/>
        <v>0.41252952678092702</v>
      </c>
      <c r="AI144" s="5">
        <f t="shared" si="38"/>
        <v>0</v>
      </c>
      <c r="AJ144" s="5">
        <f t="shared" si="39"/>
        <v>0.4382120946538125</v>
      </c>
      <c r="AK144" s="5">
        <f t="shared" si="40"/>
        <v>2424.0689092081598</v>
      </c>
    </row>
    <row r="145" spans="1:37" hidden="1" x14ac:dyDescent="0.3">
      <c r="A145">
        <v>5040741</v>
      </c>
      <c r="B145" t="s">
        <v>48</v>
      </c>
      <c r="C145">
        <v>11.08333333333333</v>
      </c>
      <c r="D145">
        <v>0</v>
      </c>
      <c r="E145">
        <v>17504.537433705991</v>
      </c>
      <c r="F145">
        <v>2100.5444920447189</v>
      </c>
      <c r="G145">
        <v>15403.99294166127</v>
      </c>
      <c r="I145">
        <v>0</v>
      </c>
      <c r="J145">
        <v>5422</v>
      </c>
      <c r="K145">
        <v>11700.289174785799</v>
      </c>
      <c r="L145">
        <v>0</v>
      </c>
      <c r="M145">
        <v>0</v>
      </c>
      <c r="N145">
        <v>10919.626069712869</v>
      </c>
      <c r="O145">
        <v>8335.4940160504702</v>
      </c>
      <c r="P145" s="2">
        <v>44099.875</v>
      </c>
      <c r="Q145" s="2">
        <v>44100.440972222219</v>
      </c>
      <c r="R145">
        <v>3.716311252268603</v>
      </c>
      <c r="S145">
        <v>5.0041666030883789</v>
      </c>
      <c r="T145">
        <f t="shared" si="41"/>
        <v>1.3296552444272336</v>
      </c>
      <c r="U145">
        <f t="shared" si="42"/>
        <v>0</v>
      </c>
      <c r="V145">
        <f t="shared" si="43"/>
        <v>2100.0000000000005</v>
      </c>
      <c r="W145">
        <f t="shared" si="44"/>
        <v>252.00000000000006</v>
      </c>
      <c r="X145">
        <f t="shared" si="45"/>
        <v>1848.0000000000002</v>
      </c>
      <c r="Y145">
        <f t="shared" si="46"/>
        <v>0</v>
      </c>
      <c r="Z145">
        <f t="shared" si="47"/>
        <v>0</v>
      </c>
      <c r="AA145">
        <f t="shared" si="48"/>
        <v>650.471344536944</v>
      </c>
      <c r="AB145">
        <f t="shared" si="49"/>
        <v>1403.6707545175154</v>
      </c>
      <c r="AC145">
        <f t="shared" si="50"/>
        <v>0</v>
      </c>
      <c r="AD145">
        <f t="shared" si="51"/>
        <v>0</v>
      </c>
      <c r="AE145">
        <f t="shared" si="52"/>
        <v>1310.0154650326069</v>
      </c>
      <c r="AF145">
        <f t="shared" si="53"/>
        <v>1000</v>
      </c>
      <c r="AG145">
        <f t="shared" si="54"/>
        <v>-0.44584175156417039</v>
      </c>
      <c r="AH145">
        <f t="shared" si="55"/>
        <v>0.44584175156417039</v>
      </c>
      <c r="AI145" s="5">
        <f t="shared" si="38"/>
        <v>0</v>
      </c>
      <c r="AJ145" s="5">
        <f t="shared" si="39"/>
        <v>0.47619047619047611</v>
      </c>
      <c r="AK145" s="5">
        <f t="shared" si="40"/>
        <v>2242.9483028263876</v>
      </c>
    </row>
    <row r="146" spans="1:37" hidden="1" x14ac:dyDescent="0.3">
      <c r="A146">
        <v>5043579</v>
      </c>
      <c r="B146" t="s">
        <v>48</v>
      </c>
      <c r="C146">
        <v>11.5</v>
      </c>
      <c r="D146">
        <v>0</v>
      </c>
      <c r="E146">
        <v>21500</v>
      </c>
      <c r="F146">
        <v>13975</v>
      </c>
      <c r="G146">
        <v>7524.9999999999991</v>
      </c>
      <c r="I146">
        <v>0</v>
      </c>
      <c r="J146">
        <v>4539</v>
      </c>
      <c r="K146">
        <v>10862.179349946029</v>
      </c>
      <c r="L146">
        <v>0</v>
      </c>
      <c r="M146">
        <v>0</v>
      </c>
      <c r="N146">
        <v>12402</v>
      </c>
      <c r="O146">
        <v>9454.7053649956015</v>
      </c>
      <c r="P146" s="2">
        <v>44109.673611111109</v>
      </c>
      <c r="Q146" s="2">
        <v>44110.152777777781</v>
      </c>
      <c r="R146">
        <v>3.3482800982800982</v>
      </c>
      <c r="S146">
        <v>5.0043918248769401</v>
      </c>
      <c r="T146">
        <f t="shared" si="41"/>
        <v>1.2163255813953489</v>
      </c>
      <c r="U146">
        <f t="shared" si="42"/>
        <v>0</v>
      </c>
      <c r="V146">
        <f t="shared" si="43"/>
        <v>2274.0000000000005</v>
      </c>
      <c r="W146">
        <f t="shared" si="44"/>
        <v>1478.1000000000001</v>
      </c>
      <c r="X146">
        <f t="shared" si="45"/>
        <v>795.9</v>
      </c>
      <c r="Y146">
        <f t="shared" si="46"/>
        <v>0</v>
      </c>
      <c r="Z146">
        <f t="shared" si="47"/>
        <v>0</v>
      </c>
      <c r="AA146">
        <f t="shared" si="48"/>
        <v>480.07841860465123</v>
      </c>
      <c r="AB146">
        <f t="shared" si="49"/>
        <v>1148.8649228733616</v>
      </c>
      <c r="AC146">
        <f t="shared" si="50"/>
        <v>0</v>
      </c>
      <c r="AD146">
        <f t="shared" si="51"/>
        <v>0</v>
      </c>
      <c r="AE146">
        <f t="shared" si="52"/>
        <v>1311.7278139534885</v>
      </c>
      <c r="AF146">
        <f t="shared" si="53"/>
        <v>999.99999999999989</v>
      </c>
      <c r="AG146">
        <f t="shared" si="54"/>
        <v>-0.35413902062739272</v>
      </c>
      <c r="AH146">
        <f t="shared" si="55"/>
        <v>0.35413902062739272</v>
      </c>
      <c r="AI146" s="5">
        <f t="shared" si="38"/>
        <v>0</v>
      </c>
      <c r="AJ146" s="5">
        <f t="shared" si="39"/>
        <v>0.43975373790677214</v>
      </c>
      <c r="AK146" s="5">
        <f t="shared" si="40"/>
        <v>2823.7498319964848</v>
      </c>
    </row>
    <row r="147" spans="1:37" hidden="1" x14ac:dyDescent="0.3">
      <c r="A147">
        <v>5071653</v>
      </c>
      <c r="B147" t="s">
        <v>31</v>
      </c>
      <c r="C147">
        <v>425.5</v>
      </c>
      <c r="D147">
        <v>0</v>
      </c>
      <c r="E147">
        <v>769374.20500000007</v>
      </c>
      <c r="F147">
        <v>404774.28804416669</v>
      </c>
      <c r="G147">
        <v>364599.91695583332</v>
      </c>
      <c r="H147">
        <v>0</v>
      </c>
      <c r="I147">
        <v>17802.490268573081</v>
      </c>
      <c r="J147">
        <v>183687.14709883189</v>
      </c>
      <c r="K147">
        <v>481182.37088575371</v>
      </c>
      <c r="L147">
        <v>35149.308623005403</v>
      </c>
      <c r="M147">
        <v>0</v>
      </c>
      <c r="N147">
        <v>426257.54690330481</v>
      </c>
      <c r="O147">
        <v>338633.01276408439</v>
      </c>
      <c r="P147" s="2">
        <v>44166.291666666657</v>
      </c>
      <c r="Q147" s="2">
        <v>44186.239583333343</v>
      </c>
      <c r="R147">
        <v>153.92624559386019</v>
      </c>
      <c r="S147">
        <v>5.0041915528074714</v>
      </c>
      <c r="T147">
        <f t="shared" si="41"/>
        <v>1.2565225006471334</v>
      </c>
      <c r="U147">
        <f t="shared" si="42"/>
        <v>0</v>
      </c>
      <c r="V147">
        <f t="shared" si="43"/>
        <v>2272.0000000000014</v>
      </c>
      <c r="W147">
        <f t="shared" si="44"/>
        <v>1195.3184503194348</v>
      </c>
      <c r="X147">
        <f t="shared" si="45"/>
        <v>1076.6815496805661</v>
      </c>
      <c r="Y147">
        <f t="shared" si="46"/>
        <v>0</v>
      </c>
      <c r="Z147">
        <f t="shared" si="47"/>
        <v>52.571632408962891</v>
      </c>
      <c r="AA147">
        <f t="shared" si="48"/>
        <v>542.43721130284871</v>
      </c>
      <c r="AB147">
        <f t="shared" si="49"/>
        <v>1420.9552900885633</v>
      </c>
      <c r="AC147">
        <f t="shared" si="50"/>
        <v>103.79764316567945</v>
      </c>
      <c r="AD147">
        <f t="shared" si="51"/>
        <v>0</v>
      </c>
      <c r="AE147">
        <f t="shared" si="52"/>
        <v>1258.7595740414886</v>
      </c>
      <c r="AF147">
        <f t="shared" si="53"/>
        <v>1000</v>
      </c>
      <c r="AG147">
        <f t="shared" si="54"/>
        <v>-0.45455180030275449</v>
      </c>
      <c r="AH147">
        <f t="shared" si="55"/>
        <v>0.45455180030275449</v>
      </c>
      <c r="AI147" s="5">
        <f t="shared" si="38"/>
        <v>0</v>
      </c>
      <c r="AJ147" s="5">
        <f t="shared" si="39"/>
        <v>0.44014084507042234</v>
      </c>
      <c r="AK147" s="5">
        <f t="shared" si="40"/>
        <v>2199.9692869634428</v>
      </c>
    </row>
    <row r="148" spans="1:37" hidden="1" x14ac:dyDescent="0.3">
      <c r="A148">
        <v>5088503</v>
      </c>
      <c r="B148" t="s">
        <v>32</v>
      </c>
      <c r="C148">
        <v>10.83333333333333</v>
      </c>
      <c r="D148">
        <v>21136.855873660301</v>
      </c>
      <c r="I148">
        <v>1825.9127271776811</v>
      </c>
      <c r="J148">
        <v>1891.21917944395</v>
      </c>
      <c r="K148">
        <v>4960.5309928464658</v>
      </c>
      <c r="L148">
        <v>5006.676922970847</v>
      </c>
      <c r="M148">
        <v>0</v>
      </c>
      <c r="N148">
        <v>2397.942947330193</v>
      </c>
      <c r="O148">
        <v>9727.0390582882173</v>
      </c>
      <c r="P148" s="2">
        <v>44186.59375</v>
      </c>
      <c r="Q148" s="2">
        <v>44187.045138888891</v>
      </c>
      <c r="R148">
        <v>21308.839407275489</v>
      </c>
      <c r="S148">
        <v>7.5522625076445893</v>
      </c>
      <c r="T148">
        <f t="shared" si="41"/>
        <v>1.1137339192755129</v>
      </c>
      <c r="U148">
        <f t="shared" si="42"/>
        <v>2173.0000000000005</v>
      </c>
      <c r="V148">
        <f t="shared" si="43"/>
        <v>0</v>
      </c>
      <c r="W148">
        <f t="shared" si="44"/>
        <v>0</v>
      </c>
      <c r="X148">
        <f t="shared" si="45"/>
        <v>0</v>
      </c>
      <c r="Y148">
        <f t="shared" si="46"/>
        <v>0</v>
      </c>
      <c r="Z148">
        <f t="shared" si="47"/>
        <v>187.71516349796673</v>
      </c>
      <c r="AA148">
        <f t="shared" si="48"/>
        <v>194.42907220902742</v>
      </c>
      <c r="AB148">
        <f t="shared" si="49"/>
        <v>509.97338070928123</v>
      </c>
      <c r="AC148">
        <f t="shared" si="50"/>
        <v>514.7174687969158</v>
      </c>
      <c r="AD148">
        <f t="shared" si="51"/>
        <v>0</v>
      </c>
      <c r="AE148">
        <f t="shared" si="52"/>
        <v>246.52342125499675</v>
      </c>
      <c r="AF148">
        <f t="shared" si="53"/>
        <v>999.99999999999989</v>
      </c>
      <c r="AG148">
        <f t="shared" si="54"/>
        <v>-17.680974917916501</v>
      </c>
      <c r="AH148">
        <f t="shared" si="55"/>
        <v>2190.680974917917</v>
      </c>
      <c r="AI148" s="5">
        <f t="shared" si="38"/>
        <v>0.46019328117809472</v>
      </c>
      <c r="AJ148" s="5">
        <f t="shared" si="39"/>
        <v>0</v>
      </c>
      <c r="AK148" s="5">
        <f t="shared" si="40"/>
        <v>0.45647906356491236</v>
      </c>
    </row>
    <row r="149" spans="1:37" hidden="1" x14ac:dyDescent="0.3">
      <c r="A149" t="s">
        <v>20</v>
      </c>
      <c r="B149" t="s">
        <v>38</v>
      </c>
      <c r="C149">
        <v>4.4166666666666661</v>
      </c>
      <c r="D149">
        <v>10312.821456466299</v>
      </c>
      <c r="I149">
        <v>882.14486206445747</v>
      </c>
      <c r="J149">
        <v>881.06659427745979</v>
      </c>
      <c r="K149">
        <v>1533.0586431997519</v>
      </c>
      <c r="L149">
        <v>1298.1336218272941</v>
      </c>
      <c r="M149">
        <v>431.38363990444481</v>
      </c>
      <c r="N149">
        <v>1055.242754777559</v>
      </c>
      <c r="O149">
        <v>4400.9518308884853</v>
      </c>
      <c r="P149" s="2">
        <v>44187.104166666657</v>
      </c>
      <c r="Q149" s="2">
        <v>44188.229166666657</v>
      </c>
      <c r="R149">
        <v>52194.252013336452</v>
      </c>
      <c r="S149">
        <v>9.30589952859488</v>
      </c>
      <c r="T149">
        <f t="shared" si="41"/>
        <v>1.003570781136</v>
      </c>
      <c r="U149">
        <f t="shared" si="42"/>
        <v>2343.316139950638</v>
      </c>
      <c r="V149">
        <f t="shared" si="43"/>
        <v>0</v>
      </c>
      <c r="W149">
        <f t="shared" si="44"/>
        <v>0</v>
      </c>
      <c r="X149">
        <f t="shared" si="45"/>
        <v>0</v>
      </c>
      <c r="Y149">
        <f t="shared" si="46"/>
        <v>0</v>
      </c>
      <c r="Z149">
        <f t="shared" si="47"/>
        <v>200.44410753897432</v>
      </c>
      <c r="AA149">
        <f t="shared" si="48"/>
        <v>200.19909967966765</v>
      </c>
      <c r="AB149">
        <f t="shared" si="49"/>
        <v>348.34706266036329</v>
      </c>
      <c r="AC149">
        <f t="shared" si="50"/>
        <v>294.96655989648053</v>
      </c>
      <c r="AD149">
        <f t="shared" si="51"/>
        <v>98.020532030534625</v>
      </c>
      <c r="AE149">
        <f t="shared" si="52"/>
        <v>239.77602921514398</v>
      </c>
      <c r="AF149">
        <f t="shared" si="53"/>
        <v>1000</v>
      </c>
      <c r="AG149">
        <f t="shared" si="54"/>
        <v>-9516.4482971436955</v>
      </c>
      <c r="AH149">
        <f t="shared" si="55"/>
        <v>11859.764437094333</v>
      </c>
      <c r="AI149" s="5">
        <f t="shared" si="38"/>
        <v>0.42674566310163548</v>
      </c>
      <c r="AJ149" s="5">
        <f t="shared" si="39"/>
        <v>0</v>
      </c>
      <c r="AK149" s="5">
        <f t="shared" si="40"/>
        <v>8.4318706775680458E-2</v>
      </c>
    </row>
    <row r="150" spans="1:37" hidden="1" x14ac:dyDescent="0.3">
      <c r="A150">
        <v>5088505</v>
      </c>
      <c r="B150" t="s">
        <v>37</v>
      </c>
      <c r="C150">
        <v>14.08333333333333</v>
      </c>
      <c r="D150">
        <v>26429.542254965501</v>
      </c>
      <c r="I150">
        <v>-23530.085749836129</v>
      </c>
      <c r="J150">
        <v>2709.7298661109562</v>
      </c>
      <c r="K150">
        <v>4539.2465045420786</v>
      </c>
      <c r="L150">
        <v>-24081.18857905909</v>
      </c>
      <c r="M150">
        <v>401.93649792785652</v>
      </c>
      <c r="N150">
        <v>1817.1149480678439</v>
      </c>
      <c r="O150">
        <v>11406.794240382171</v>
      </c>
      <c r="P150" s="2">
        <v>44187.243055555547</v>
      </c>
      <c r="Q150" s="2">
        <v>44187.829861111109</v>
      </c>
      <c r="R150">
        <v>26125.679460272189</v>
      </c>
      <c r="S150">
        <v>9.3096691807741845</v>
      </c>
      <c r="T150">
        <f t="shared" si="41"/>
        <v>1.2346442862514091</v>
      </c>
      <c r="U150">
        <f t="shared" si="42"/>
        <v>2317.0000000000014</v>
      </c>
      <c r="V150">
        <f t="shared" si="43"/>
        <v>0</v>
      </c>
      <c r="W150">
        <f t="shared" si="44"/>
        <v>0</v>
      </c>
      <c r="X150">
        <f t="shared" si="45"/>
        <v>0</v>
      </c>
      <c r="Y150">
        <f t="shared" si="46"/>
        <v>0</v>
      </c>
      <c r="Z150">
        <f t="shared" si="47"/>
        <v>-2062.8132018490569</v>
      </c>
      <c r="AA150">
        <f t="shared" si="48"/>
        <v>237.55402341860514</v>
      </c>
      <c r="AB150">
        <f t="shared" si="49"/>
        <v>397.94234987357822</v>
      </c>
      <c r="AC150">
        <f t="shared" si="50"/>
        <v>-2111.1267610848286</v>
      </c>
      <c r="AD150">
        <f t="shared" si="51"/>
        <v>35.236587025031682</v>
      </c>
      <c r="AE150">
        <f t="shared" si="52"/>
        <v>159.30110684691053</v>
      </c>
      <c r="AF150">
        <f t="shared" si="53"/>
        <v>1000</v>
      </c>
      <c r="AG150">
        <f t="shared" si="54"/>
        <v>26.638754788578808</v>
      </c>
      <c r="AH150">
        <f t="shared" si="55"/>
        <v>2290.3612452114226</v>
      </c>
      <c r="AI150" s="5">
        <f t="shared" si="38"/>
        <v>0.43159257660768213</v>
      </c>
      <c r="AJ150" s="5">
        <f t="shared" si="39"/>
        <v>0</v>
      </c>
      <c r="AK150" s="5">
        <f t="shared" si="40"/>
        <v>0.43661234754593936</v>
      </c>
    </row>
    <row r="151" spans="1:37" hidden="1" x14ac:dyDescent="0.3">
      <c r="A151">
        <v>5089055</v>
      </c>
      <c r="B151" t="s">
        <v>32</v>
      </c>
      <c r="C151">
        <v>69.666666666666671</v>
      </c>
      <c r="D151">
        <v>181417.40603996639</v>
      </c>
      <c r="I151">
        <v>15224.242349766761</v>
      </c>
      <c r="J151">
        <v>14988.06994248796</v>
      </c>
      <c r="K151">
        <v>3809.8401627088988</v>
      </c>
      <c r="L151">
        <v>-24882.350105979411</v>
      </c>
      <c r="M151">
        <v>33814.98223308452</v>
      </c>
      <c r="N151">
        <v>18818.155239744341</v>
      </c>
      <c r="O151">
        <v>80202.213103433445</v>
      </c>
      <c r="P151" s="2">
        <v>44188.229166666657</v>
      </c>
      <c r="Q151" s="2">
        <v>44191.135416666657</v>
      </c>
      <c r="R151">
        <v>187843.03614142659</v>
      </c>
      <c r="S151">
        <v>8.86036820956698</v>
      </c>
      <c r="T151">
        <f t="shared" si="41"/>
        <v>0.86863770924650774</v>
      </c>
      <c r="U151">
        <f t="shared" si="42"/>
        <v>2261.9999999999991</v>
      </c>
      <c r="V151">
        <f t="shared" si="43"/>
        <v>0</v>
      </c>
      <c r="W151">
        <f t="shared" si="44"/>
        <v>0</v>
      </c>
      <c r="X151">
        <f t="shared" si="45"/>
        <v>0</v>
      </c>
      <c r="Y151">
        <f t="shared" si="46"/>
        <v>0</v>
      </c>
      <c r="Z151">
        <f t="shared" si="47"/>
        <v>189.82322009160384</v>
      </c>
      <c r="AA151">
        <f t="shared" si="48"/>
        <v>186.87850824214129</v>
      </c>
      <c r="AB151">
        <f t="shared" si="49"/>
        <v>47.502930596135883</v>
      </c>
      <c r="AC151">
        <f t="shared" si="50"/>
        <v>-310.24518081427107</v>
      </c>
      <c r="AD151">
        <f t="shared" si="51"/>
        <v>421.6215603611181</v>
      </c>
      <c r="AE151">
        <f t="shared" si="52"/>
        <v>234.63386497172283</v>
      </c>
      <c r="AF151">
        <f t="shared" si="53"/>
        <v>1000</v>
      </c>
      <c r="AG151">
        <f t="shared" si="54"/>
        <v>-80.11786524111676</v>
      </c>
      <c r="AH151">
        <f t="shared" si="55"/>
        <v>2342.1178652411159</v>
      </c>
      <c r="AI151" s="5">
        <f t="shared" si="38"/>
        <v>0.44208664898320088</v>
      </c>
      <c r="AJ151" s="5">
        <f t="shared" si="39"/>
        <v>0</v>
      </c>
      <c r="AK151" s="5">
        <f t="shared" si="40"/>
        <v>0.42696399478471686</v>
      </c>
    </row>
    <row r="152" spans="1:37" hidden="1" x14ac:dyDescent="0.3">
      <c r="A152">
        <v>5089064</v>
      </c>
      <c r="B152" t="s">
        <v>46</v>
      </c>
      <c r="C152">
        <v>8.4166666666666661</v>
      </c>
      <c r="D152">
        <v>15536.411995763379</v>
      </c>
      <c r="I152">
        <v>0</v>
      </c>
      <c r="J152">
        <v>1569.4083445700619</v>
      </c>
      <c r="K152">
        <v>0</v>
      </c>
      <c r="L152">
        <v>0</v>
      </c>
      <c r="M152">
        <v>4898.2508730054051</v>
      </c>
      <c r="N152">
        <v>1.4416505762998781E-3</v>
      </c>
      <c r="O152">
        <v>6705.4000844900193</v>
      </c>
      <c r="P152" s="2">
        <v>44187.291666666657</v>
      </c>
      <c r="Q152" s="2">
        <v>44187.642361111109</v>
      </c>
      <c r="R152">
        <v>15612.462134331499</v>
      </c>
      <c r="S152">
        <v>9.3739471853913514</v>
      </c>
      <c r="T152">
        <f t="shared" si="41"/>
        <v>1.2552072300853316</v>
      </c>
      <c r="U152">
        <f t="shared" si="42"/>
        <v>2317.0000000000009</v>
      </c>
      <c r="V152">
        <f t="shared" si="43"/>
        <v>0</v>
      </c>
      <c r="W152">
        <f t="shared" si="44"/>
        <v>0</v>
      </c>
      <c r="X152">
        <f t="shared" si="45"/>
        <v>0</v>
      </c>
      <c r="Y152">
        <f t="shared" si="46"/>
        <v>0</v>
      </c>
      <c r="Z152">
        <f t="shared" si="47"/>
        <v>0</v>
      </c>
      <c r="AA152">
        <f t="shared" si="48"/>
        <v>234.0514100270012</v>
      </c>
      <c r="AB152">
        <f t="shared" si="49"/>
        <v>0</v>
      </c>
      <c r="AC152">
        <f t="shared" si="50"/>
        <v>0</v>
      </c>
      <c r="AD152">
        <f t="shared" si="51"/>
        <v>730.49345472097104</v>
      </c>
      <c r="AE152">
        <f t="shared" si="52"/>
        <v>2.1499844276771791E-4</v>
      </c>
      <c r="AF152">
        <f t="shared" si="53"/>
        <v>1000</v>
      </c>
      <c r="AG152">
        <f t="shared" si="54"/>
        <v>-11.341625795607342</v>
      </c>
      <c r="AH152">
        <f t="shared" si="55"/>
        <v>2328.3416257956083</v>
      </c>
      <c r="AI152" s="5">
        <f t="shared" si="38"/>
        <v>0.43159257660768224</v>
      </c>
      <c r="AJ152" s="5">
        <f t="shared" si="39"/>
        <v>0</v>
      </c>
      <c r="AK152" s="5">
        <f t="shared" si="40"/>
        <v>0.42949023842594153</v>
      </c>
    </row>
    <row r="153" spans="1:37" hidden="1" x14ac:dyDescent="0.3">
      <c r="A153">
        <v>5090278</v>
      </c>
      <c r="B153" t="s">
        <v>38</v>
      </c>
      <c r="C153">
        <v>106.75</v>
      </c>
      <c r="D153">
        <v>196239.8345707533</v>
      </c>
      <c r="I153">
        <v>-1016.409744869751</v>
      </c>
      <c r="J153">
        <v>26610.062474168051</v>
      </c>
      <c r="K153">
        <v>45536.32468726331</v>
      </c>
      <c r="L153">
        <v>17136.02186019349</v>
      </c>
      <c r="M153">
        <v>34322.014576188703</v>
      </c>
      <c r="N153">
        <v>24020.7725725171</v>
      </c>
      <c r="O153">
        <v>85433.101685134214</v>
      </c>
      <c r="P153" s="2">
        <v>44191.125</v>
      </c>
      <c r="Q153" s="2">
        <v>44196.704861111109</v>
      </c>
      <c r="R153">
        <v>289578.18511444848</v>
      </c>
      <c r="S153">
        <v>8.5992815342091031</v>
      </c>
      <c r="T153">
        <f t="shared" si="41"/>
        <v>1.249515678283925</v>
      </c>
      <c r="U153">
        <f t="shared" si="42"/>
        <v>2297</v>
      </c>
      <c r="V153">
        <f t="shared" si="43"/>
        <v>0</v>
      </c>
      <c r="W153">
        <f t="shared" si="44"/>
        <v>0</v>
      </c>
      <c r="X153">
        <f t="shared" si="45"/>
        <v>0</v>
      </c>
      <c r="Y153">
        <f t="shared" si="46"/>
        <v>0</v>
      </c>
      <c r="Z153">
        <f t="shared" si="47"/>
        <v>-11.897142030682135</v>
      </c>
      <c r="AA153">
        <f t="shared" si="48"/>
        <v>311.47250830527128</v>
      </c>
      <c r="AB153">
        <f t="shared" si="49"/>
        <v>533.00563586101032</v>
      </c>
      <c r="AC153">
        <f t="shared" si="50"/>
        <v>200.57824803492116</v>
      </c>
      <c r="AD153">
        <f t="shared" si="51"/>
        <v>401.74140818020783</v>
      </c>
      <c r="AE153">
        <f t="shared" si="52"/>
        <v>281.16470195646468</v>
      </c>
      <c r="AF153">
        <f t="shared" si="53"/>
        <v>1000</v>
      </c>
      <c r="AG153">
        <f t="shared" si="54"/>
        <v>-1092.5314509555787</v>
      </c>
      <c r="AH153">
        <f t="shared" si="55"/>
        <v>3389.5314509555787</v>
      </c>
      <c r="AI153" s="5">
        <f t="shared" si="38"/>
        <v>0.43535045711797993</v>
      </c>
      <c r="AJ153" s="5">
        <f t="shared" si="39"/>
        <v>0</v>
      </c>
      <c r="AK153" s="5">
        <f t="shared" si="40"/>
        <v>0.29502602777681242</v>
      </c>
    </row>
    <row r="154" spans="1:37" hidden="1" x14ac:dyDescent="0.3">
      <c r="A154">
        <v>5090276</v>
      </c>
      <c r="B154" t="s">
        <v>32</v>
      </c>
      <c r="C154">
        <v>59.333333333333329</v>
      </c>
      <c r="D154">
        <v>116746.1372658404</v>
      </c>
      <c r="I154">
        <v>-4128.945624795826</v>
      </c>
      <c r="J154">
        <v>15800.17791030302</v>
      </c>
      <c r="K154">
        <v>13044.570131828041</v>
      </c>
      <c r="L154">
        <v>13006.984171777311</v>
      </c>
      <c r="M154">
        <v>22894.684200031399</v>
      </c>
      <c r="N154">
        <v>17299.25721928824</v>
      </c>
      <c r="O154">
        <v>51611.908605588127</v>
      </c>
      <c r="P154" s="2">
        <v>44197.291666666657</v>
      </c>
      <c r="Q154" s="2">
        <v>44199.78125</v>
      </c>
      <c r="R154">
        <v>121826.8622407598</v>
      </c>
      <c r="S154">
        <v>8.7377357936948385</v>
      </c>
      <c r="T154">
        <f t="shared" si="41"/>
        <v>1.149605487112507</v>
      </c>
      <c r="U154">
        <f t="shared" si="42"/>
        <v>2262.0000000000009</v>
      </c>
      <c r="V154">
        <f t="shared" si="43"/>
        <v>0</v>
      </c>
      <c r="W154">
        <f t="shared" si="44"/>
        <v>0</v>
      </c>
      <c r="X154">
        <f t="shared" si="45"/>
        <v>0</v>
      </c>
      <c r="Y154">
        <f t="shared" si="46"/>
        <v>0</v>
      </c>
      <c r="Z154">
        <f t="shared" si="47"/>
        <v>-79.999863139120123</v>
      </c>
      <c r="AA154">
        <f t="shared" si="48"/>
        <v>306.13434645569964</v>
      </c>
      <c r="AB154">
        <f t="shared" si="49"/>
        <v>252.74341686359719</v>
      </c>
      <c r="AC154">
        <f t="shared" si="50"/>
        <v>252.01517485383241</v>
      </c>
      <c r="AD154">
        <f t="shared" si="51"/>
        <v>443.59305475388959</v>
      </c>
      <c r="AE154">
        <f t="shared" si="52"/>
        <v>335.17956779097324</v>
      </c>
      <c r="AF154">
        <f t="shared" si="53"/>
        <v>1000.0000000000001</v>
      </c>
      <c r="AG154">
        <f t="shared" si="54"/>
        <v>-98.440943421520842</v>
      </c>
      <c r="AH154">
        <f t="shared" si="55"/>
        <v>2360.4409434215218</v>
      </c>
      <c r="AI154" s="5">
        <f t="shared" si="38"/>
        <v>0.44208664898320049</v>
      </c>
      <c r="AJ154" s="5">
        <f t="shared" si="39"/>
        <v>0</v>
      </c>
      <c r="AK154" s="5">
        <f t="shared" si="40"/>
        <v>0.4236496586737194</v>
      </c>
    </row>
    <row r="155" spans="1:37" hidden="1" x14ac:dyDescent="0.3">
      <c r="A155">
        <v>5090280</v>
      </c>
      <c r="B155" t="s">
        <v>33</v>
      </c>
      <c r="C155">
        <v>40.583333333333343</v>
      </c>
      <c r="D155">
        <v>77002.731076727927</v>
      </c>
      <c r="I155">
        <v>11008.25096075474</v>
      </c>
      <c r="J155">
        <v>10952.69141012878</v>
      </c>
      <c r="K155">
        <v>1378.2787751968831</v>
      </c>
      <c r="L155">
        <v>-26846.673477742032</v>
      </c>
      <c r="M155">
        <v>27034.41196942328</v>
      </c>
      <c r="N155">
        <v>15637.6115322122</v>
      </c>
      <c r="O155">
        <v>34041.879344265217</v>
      </c>
      <c r="P155" s="2">
        <v>44199.784722222219</v>
      </c>
      <c r="Q155" s="2">
        <v>44201.472222222219</v>
      </c>
      <c r="R155">
        <v>77104.128662279007</v>
      </c>
      <c r="S155">
        <v>8.7943650499711268</v>
      </c>
      <c r="T155">
        <f t="shared" si="41"/>
        <v>1.1921590145747967</v>
      </c>
      <c r="U155">
        <f t="shared" si="42"/>
        <v>2262</v>
      </c>
      <c r="V155">
        <f t="shared" si="43"/>
        <v>0</v>
      </c>
      <c r="W155">
        <f t="shared" si="44"/>
        <v>0</v>
      </c>
      <c r="X155">
        <f t="shared" si="45"/>
        <v>0</v>
      </c>
      <c r="Y155">
        <f t="shared" si="46"/>
        <v>0</v>
      </c>
      <c r="Z155">
        <f t="shared" si="47"/>
        <v>323.3737729174232</v>
      </c>
      <c r="AA155">
        <f t="shared" si="48"/>
        <v>321.74167881168694</v>
      </c>
      <c r="AB155">
        <f t="shared" si="49"/>
        <v>40.487740446359098</v>
      </c>
      <c r="AC155">
        <f t="shared" si="50"/>
        <v>-788.63664388918914</v>
      </c>
      <c r="AD155">
        <f t="shared" si="51"/>
        <v>794.15157124624398</v>
      </c>
      <c r="AE155">
        <f t="shared" si="52"/>
        <v>459.36393152884352</v>
      </c>
      <c r="AF155">
        <f t="shared" si="53"/>
        <v>1000</v>
      </c>
      <c r="AG155">
        <f t="shared" si="54"/>
        <v>-2.9786130350107669</v>
      </c>
      <c r="AH155">
        <f t="shared" si="55"/>
        <v>2264.9786130350108</v>
      </c>
      <c r="AI155" s="5">
        <f t="shared" si="38"/>
        <v>0.44208664898320066</v>
      </c>
      <c r="AJ155" s="5">
        <f t="shared" si="39"/>
        <v>0</v>
      </c>
      <c r="AK155" s="5">
        <f t="shared" si="40"/>
        <v>0.44150527260830369</v>
      </c>
    </row>
    <row r="156" spans="1:37" hidden="1" x14ac:dyDescent="0.3">
      <c r="A156">
        <v>5095589</v>
      </c>
      <c r="B156" t="s">
        <v>32</v>
      </c>
      <c r="C156">
        <v>22.833333333333329</v>
      </c>
      <c r="D156">
        <v>60768.542503830577</v>
      </c>
      <c r="I156">
        <v>5179.8010042496608</v>
      </c>
      <c r="J156">
        <v>5167.5167063224544</v>
      </c>
      <c r="K156">
        <v>4055.1526815960069</v>
      </c>
      <c r="L156">
        <v>4123.562269125031</v>
      </c>
      <c r="M156">
        <v>11748.4377142545</v>
      </c>
      <c r="N156">
        <v>8782.3932673445361</v>
      </c>
      <c r="O156">
        <v>26864.961319111659</v>
      </c>
      <c r="P156" s="2">
        <v>44201.46875</v>
      </c>
      <c r="Q156" s="2">
        <v>44202.461805555547</v>
      </c>
      <c r="R156">
        <v>62972.503170371339</v>
      </c>
      <c r="S156">
        <v>9.5667347740071964</v>
      </c>
      <c r="T156">
        <f t="shared" si="41"/>
        <v>0.84992987937376108</v>
      </c>
      <c r="U156">
        <f t="shared" si="42"/>
        <v>2262</v>
      </c>
      <c r="V156">
        <f t="shared" si="43"/>
        <v>0</v>
      </c>
      <c r="W156">
        <f t="shared" si="44"/>
        <v>0</v>
      </c>
      <c r="X156">
        <f t="shared" si="45"/>
        <v>0</v>
      </c>
      <c r="Y156">
        <f t="shared" si="46"/>
        <v>0</v>
      </c>
      <c r="Z156">
        <f t="shared" si="47"/>
        <v>192.80880187103654</v>
      </c>
      <c r="AA156">
        <f t="shared" si="48"/>
        <v>192.35154091386306</v>
      </c>
      <c r="AB156">
        <f t="shared" si="49"/>
        <v>150.94578523406182</v>
      </c>
      <c r="AC156">
        <f t="shared" si="50"/>
        <v>153.4922094301152</v>
      </c>
      <c r="AD156">
        <f t="shared" si="51"/>
        <v>437.31452186743684</v>
      </c>
      <c r="AE156">
        <f t="shared" si="52"/>
        <v>326.90883724060183</v>
      </c>
      <c r="AF156">
        <f t="shared" si="53"/>
        <v>1000</v>
      </c>
      <c r="AG156">
        <f t="shared" si="54"/>
        <v>-82.038482779160859</v>
      </c>
      <c r="AH156">
        <f t="shared" si="55"/>
        <v>2344.0384827791609</v>
      </c>
      <c r="AI156" s="5">
        <f t="shared" si="38"/>
        <v>0.44208664898320066</v>
      </c>
      <c r="AJ156" s="5">
        <f t="shared" si="39"/>
        <v>0</v>
      </c>
      <c r="AK156" s="5">
        <f t="shared" si="40"/>
        <v>0.4266141564426752</v>
      </c>
    </row>
    <row r="157" spans="1:37" hidden="1" x14ac:dyDescent="0.3">
      <c r="A157">
        <v>5096165</v>
      </c>
      <c r="B157" t="s">
        <v>38</v>
      </c>
      <c r="C157">
        <v>50.750000000000007</v>
      </c>
      <c r="D157">
        <v>130447.4616314278</v>
      </c>
      <c r="I157">
        <v>-14868.49793774114</v>
      </c>
      <c r="J157">
        <v>13216.23747197597</v>
      </c>
      <c r="K157">
        <v>9692.0434324714715</v>
      </c>
      <c r="L157">
        <v>-18590.485151821711</v>
      </c>
      <c r="M157">
        <v>26705.03021878672</v>
      </c>
      <c r="N157">
        <v>18141.676761383449</v>
      </c>
      <c r="O157">
        <v>56824.269496265602</v>
      </c>
      <c r="P157" s="2">
        <v>44202.461805555547</v>
      </c>
      <c r="Q157" s="2">
        <v>44204.5</v>
      </c>
      <c r="R157">
        <v>125896.1413156171</v>
      </c>
      <c r="S157">
        <v>8.9938270057141185</v>
      </c>
      <c r="T157">
        <f t="shared" si="41"/>
        <v>0.89310431000499202</v>
      </c>
      <c r="U157">
        <f t="shared" si="42"/>
        <v>2295.6293637879603</v>
      </c>
      <c r="V157">
        <f t="shared" si="43"/>
        <v>0</v>
      </c>
      <c r="W157">
        <f t="shared" si="44"/>
        <v>0</v>
      </c>
      <c r="X157">
        <f t="shared" si="45"/>
        <v>0</v>
      </c>
      <c r="Y157">
        <f t="shared" si="46"/>
        <v>0</v>
      </c>
      <c r="Z157">
        <f t="shared" si="47"/>
        <v>-261.65752889649156</v>
      </c>
      <c r="AA157">
        <f t="shared" si="48"/>
        <v>232.58086006445748</v>
      </c>
      <c r="AB157">
        <f t="shared" si="49"/>
        <v>170.5616898974551</v>
      </c>
      <c r="AC157">
        <f t="shared" si="50"/>
        <v>-327.15748599361132</v>
      </c>
      <c r="AD157">
        <f t="shared" si="51"/>
        <v>469.95817905836395</v>
      </c>
      <c r="AE157">
        <f t="shared" si="52"/>
        <v>319.25930455781202</v>
      </c>
      <c r="AF157">
        <f t="shared" si="53"/>
        <v>1000</v>
      </c>
      <c r="AG157">
        <f t="shared" si="54"/>
        <v>80.09465596578957</v>
      </c>
      <c r="AH157">
        <f t="shared" si="55"/>
        <v>2215.5347078221707</v>
      </c>
      <c r="AI157" s="5">
        <f t="shared" si="38"/>
        <v>0.43561038893052195</v>
      </c>
      <c r="AJ157" s="5">
        <f t="shared" si="39"/>
        <v>0</v>
      </c>
      <c r="AK157" s="5">
        <f t="shared" si="40"/>
        <v>0.45135830933697324</v>
      </c>
    </row>
    <row r="158" spans="1:37" hidden="1" x14ac:dyDescent="0.3">
      <c r="A158">
        <v>5097372</v>
      </c>
      <c r="B158" t="s">
        <v>33</v>
      </c>
      <c r="C158">
        <v>65.416666666666671</v>
      </c>
      <c r="D158">
        <v>174554.8229016673</v>
      </c>
      <c r="I158">
        <v>20172.64631908204</v>
      </c>
      <c r="J158">
        <v>20227.027120022169</v>
      </c>
      <c r="K158">
        <v>4783.1319554456722</v>
      </c>
      <c r="L158">
        <v>4847.152347954051</v>
      </c>
      <c r="M158">
        <v>54280.433929499253</v>
      </c>
      <c r="N158">
        <v>35123.868081155073</v>
      </c>
      <c r="O158">
        <v>77168.356720454176</v>
      </c>
      <c r="P158" s="2">
        <v>44204.583333333343</v>
      </c>
      <c r="Q158" s="2">
        <v>44208.131944444453</v>
      </c>
      <c r="R158">
        <v>220864.19810493771</v>
      </c>
      <c r="S158">
        <v>8.581399579182591</v>
      </c>
      <c r="T158">
        <f t="shared" si="41"/>
        <v>0.84771361535715306</v>
      </c>
      <c r="U158">
        <f t="shared" si="42"/>
        <v>2261.9999999999995</v>
      </c>
      <c r="V158">
        <f t="shared" si="43"/>
        <v>0</v>
      </c>
      <c r="W158">
        <f t="shared" si="44"/>
        <v>0</v>
      </c>
      <c r="X158">
        <f t="shared" si="45"/>
        <v>0</v>
      </c>
      <c r="Y158">
        <f t="shared" si="46"/>
        <v>0</v>
      </c>
      <c r="Z158">
        <f t="shared" si="47"/>
        <v>261.41085771928971</v>
      </c>
      <c r="AA158">
        <f t="shared" si="48"/>
        <v>262.11556108801801</v>
      </c>
      <c r="AB158">
        <f t="shared" si="49"/>
        <v>61.983073875381095</v>
      </c>
      <c r="AC158">
        <f t="shared" si="50"/>
        <v>62.812693621468149</v>
      </c>
      <c r="AD158">
        <f t="shared" si="51"/>
        <v>703.40274480811547</v>
      </c>
      <c r="AE158">
        <f t="shared" si="52"/>
        <v>455.15894822527918</v>
      </c>
      <c r="AF158">
        <f t="shared" si="53"/>
        <v>999.99999999999989</v>
      </c>
      <c r="AG158">
        <f t="shared" si="54"/>
        <v>-600.10834973495912</v>
      </c>
      <c r="AH158">
        <f t="shared" si="55"/>
        <v>2862.1083497349587</v>
      </c>
      <c r="AI158" s="5">
        <f t="shared" si="38"/>
        <v>0.44208664898320083</v>
      </c>
      <c r="AJ158" s="5">
        <f t="shared" si="39"/>
        <v>0</v>
      </c>
      <c r="AK158" s="5">
        <f t="shared" si="40"/>
        <v>0.34939278245444605</v>
      </c>
    </row>
    <row r="159" spans="1:37" hidden="1" x14ac:dyDescent="0.3">
      <c r="A159">
        <v>5097370</v>
      </c>
      <c r="B159" t="s">
        <v>40</v>
      </c>
      <c r="C159">
        <v>16</v>
      </c>
      <c r="D159">
        <v>33550.832571897001</v>
      </c>
      <c r="I159">
        <v>3622.6717697145291</v>
      </c>
      <c r="J159">
        <v>3636.634924153348</v>
      </c>
      <c r="K159">
        <v>4305.1391471027382</v>
      </c>
      <c r="L159">
        <v>4269.991426068018</v>
      </c>
      <c r="M159">
        <v>0</v>
      </c>
      <c r="N159">
        <v>1952.7076244358</v>
      </c>
      <c r="O159">
        <v>21757.99777684631</v>
      </c>
      <c r="P159" s="2">
        <v>44206</v>
      </c>
      <c r="Q159" s="2">
        <v>44206.666666666657</v>
      </c>
      <c r="R159">
        <v>34924.756332862104</v>
      </c>
      <c r="S159">
        <v>8.6889566916869807</v>
      </c>
      <c r="T159">
        <f t="shared" si="41"/>
        <v>0.73536178117576323</v>
      </c>
      <c r="U159">
        <f t="shared" si="42"/>
        <v>1541.9999999999995</v>
      </c>
      <c r="V159">
        <f t="shared" si="43"/>
        <v>0</v>
      </c>
      <c r="W159">
        <f t="shared" si="44"/>
        <v>0</v>
      </c>
      <c r="X159">
        <f t="shared" si="45"/>
        <v>0</v>
      </c>
      <c r="Y159">
        <f t="shared" si="46"/>
        <v>0</v>
      </c>
      <c r="Z159">
        <f t="shared" si="47"/>
        <v>166.4983978245269</v>
      </c>
      <c r="AA159">
        <f t="shared" si="48"/>
        <v>167.14014595696204</v>
      </c>
      <c r="AB159">
        <f t="shared" si="49"/>
        <v>197.86467446393598</v>
      </c>
      <c r="AC159">
        <f t="shared" si="50"/>
        <v>196.24928129241346</v>
      </c>
      <c r="AD159">
        <f t="shared" si="51"/>
        <v>0</v>
      </c>
      <c r="AE159">
        <f t="shared" si="52"/>
        <v>89.746659801287706</v>
      </c>
      <c r="AF159">
        <f t="shared" si="53"/>
        <v>1000.0000000000001</v>
      </c>
      <c r="AG159">
        <f t="shared" si="54"/>
        <v>-63.145689003937605</v>
      </c>
      <c r="AH159">
        <f t="shared" si="55"/>
        <v>1605.1456890039372</v>
      </c>
      <c r="AI159" s="5">
        <f t="shared" si="38"/>
        <v>0.64850843060959806</v>
      </c>
      <c r="AJ159" s="5">
        <f t="shared" si="39"/>
        <v>0</v>
      </c>
      <c r="AK159" s="5">
        <f t="shared" si="40"/>
        <v>0.62299640889329089</v>
      </c>
    </row>
    <row r="160" spans="1:37" hidden="1" x14ac:dyDescent="0.3">
      <c r="A160">
        <v>5097121</v>
      </c>
      <c r="B160" t="s">
        <v>32</v>
      </c>
      <c r="C160">
        <v>27.333333333333329</v>
      </c>
      <c r="D160">
        <v>71821.935907956155</v>
      </c>
      <c r="I160">
        <v>-21339.08309782582</v>
      </c>
      <c r="J160">
        <v>6410.4434051949684</v>
      </c>
      <c r="K160">
        <v>1054.3432875575149</v>
      </c>
      <c r="L160">
        <v>1032.0510839388389</v>
      </c>
      <c r="M160">
        <v>22370.550622089741</v>
      </c>
      <c r="N160">
        <v>15232.690046851711</v>
      </c>
      <c r="O160">
        <v>31751.518969034551</v>
      </c>
      <c r="P160" s="2">
        <v>44208.0625</v>
      </c>
      <c r="Q160" s="2">
        <v>44209.270833333343</v>
      </c>
      <c r="R160">
        <v>75594.367076934985</v>
      </c>
      <c r="S160">
        <v>8.6816773433537779</v>
      </c>
      <c r="T160">
        <f t="shared" si="41"/>
        <v>0.86085120400034953</v>
      </c>
      <c r="U160">
        <f t="shared" si="42"/>
        <v>2262</v>
      </c>
      <c r="V160">
        <f t="shared" si="43"/>
        <v>0</v>
      </c>
      <c r="W160">
        <f t="shared" si="44"/>
        <v>0</v>
      </c>
      <c r="X160">
        <f t="shared" si="45"/>
        <v>0</v>
      </c>
      <c r="Y160">
        <f t="shared" si="46"/>
        <v>0</v>
      </c>
      <c r="Z160">
        <f t="shared" si="47"/>
        <v>-672.06495281805621</v>
      </c>
      <c r="AA160">
        <f t="shared" si="48"/>
        <v>201.8940703733484</v>
      </c>
      <c r="AB160">
        <f t="shared" si="49"/>
        <v>33.206073970374639</v>
      </c>
      <c r="AC160">
        <f t="shared" si="50"/>
        <v>32.503990909705443</v>
      </c>
      <c r="AD160">
        <f t="shared" si="51"/>
        <v>704.55056477475819</v>
      </c>
      <c r="AE160">
        <f t="shared" si="52"/>
        <v>479.74681342669896</v>
      </c>
      <c r="AF160">
        <f t="shared" si="53"/>
        <v>1000</v>
      </c>
      <c r="AG160">
        <f t="shared" si="54"/>
        <v>-118.8110456277027</v>
      </c>
      <c r="AH160">
        <f t="shared" si="55"/>
        <v>2380.8110456277027</v>
      </c>
      <c r="AI160" s="5">
        <f t="shared" si="38"/>
        <v>0.44208664898320071</v>
      </c>
      <c r="AJ160" s="5">
        <f t="shared" si="39"/>
        <v>0</v>
      </c>
      <c r="AK160" s="5">
        <f t="shared" si="40"/>
        <v>0.42002493303131883</v>
      </c>
    </row>
    <row r="161" spans="1:37" hidden="1" x14ac:dyDescent="0.3">
      <c r="A161">
        <v>5097353</v>
      </c>
      <c r="B161" t="s">
        <v>39</v>
      </c>
      <c r="C161">
        <v>9</v>
      </c>
      <c r="D161">
        <v>23364.871377749849</v>
      </c>
      <c r="I161">
        <v>1732.2719495074141</v>
      </c>
      <c r="J161">
        <v>1786.853995152725</v>
      </c>
      <c r="K161">
        <v>0</v>
      </c>
      <c r="L161">
        <v>-25.701620974771799</v>
      </c>
      <c r="M161">
        <v>7105.748574632823</v>
      </c>
      <c r="N161">
        <v>4645.4129745077653</v>
      </c>
      <c r="O161">
        <v>10171.9074348062</v>
      </c>
      <c r="P161" s="2">
        <v>44209.270833333343</v>
      </c>
      <c r="Q161" s="2">
        <v>44209.645833333343</v>
      </c>
      <c r="R161">
        <v>23364.771470510052</v>
      </c>
      <c r="S161">
        <v>9.265002270533186</v>
      </c>
      <c r="T161">
        <f t="shared" si="41"/>
        <v>0.88478980542074426</v>
      </c>
      <c r="U161">
        <f t="shared" si="42"/>
        <v>2297.0000000000005</v>
      </c>
      <c r="V161">
        <f t="shared" si="43"/>
        <v>0</v>
      </c>
      <c r="W161">
        <f t="shared" si="44"/>
        <v>0</v>
      </c>
      <c r="X161">
        <f t="shared" si="45"/>
        <v>0</v>
      </c>
      <c r="Y161">
        <f t="shared" si="46"/>
        <v>0</v>
      </c>
      <c r="Z161">
        <f t="shared" si="47"/>
        <v>170.29961790449758</v>
      </c>
      <c r="AA161">
        <f t="shared" si="48"/>
        <v>175.66557763182877</v>
      </c>
      <c r="AB161">
        <f t="shared" si="49"/>
        <v>0</v>
      </c>
      <c r="AC161">
        <f t="shared" si="50"/>
        <v>-2.5267258023628956</v>
      </c>
      <c r="AD161">
        <f t="shared" si="51"/>
        <v>698.56598874645624</v>
      </c>
      <c r="AE161">
        <f t="shared" si="52"/>
        <v>456.69044909041401</v>
      </c>
      <c r="AF161">
        <f t="shared" si="53"/>
        <v>999.99999999999989</v>
      </c>
      <c r="AG161">
        <f t="shared" si="54"/>
        <v>9.8218785842618672E-3</v>
      </c>
      <c r="AH161">
        <f t="shared" si="55"/>
        <v>2296.9901781214162</v>
      </c>
      <c r="AI161" s="5">
        <f t="shared" si="38"/>
        <v>0.43535045711797987</v>
      </c>
      <c r="AJ161" s="5">
        <f t="shared" si="39"/>
        <v>0</v>
      </c>
      <c r="AK161" s="5">
        <f t="shared" si="40"/>
        <v>0.43535231866678936</v>
      </c>
    </row>
    <row r="162" spans="1:37" hidden="1" x14ac:dyDescent="0.3">
      <c r="A162">
        <v>5100289</v>
      </c>
      <c r="B162" t="s">
        <v>46</v>
      </c>
      <c r="C162">
        <v>33.666666666666671</v>
      </c>
      <c r="D162">
        <v>67548.799508276759</v>
      </c>
      <c r="I162">
        <v>7398.4833753516323</v>
      </c>
      <c r="J162">
        <v>7360.9149857981974</v>
      </c>
      <c r="K162">
        <v>2199.1676792944731</v>
      </c>
      <c r="L162">
        <v>2250.3411908579519</v>
      </c>
      <c r="M162">
        <v>19533.504290314639</v>
      </c>
      <c r="N162">
        <v>11985.95650197525</v>
      </c>
      <c r="O162">
        <v>29153.560426532909</v>
      </c>
      <c r="P162" s="2">
        <v>44209.645833333343</v>
      </c>
      <c r="Q162" s="2">
        <v>44211.048611111109</v>
      </c>
      <c r="R162">
        <v>64947.26173959046</v>
      </c>
      <c r="S162">
        <v>9.6137273930209624</v>
      </c>
      <c r="T162">
        <f t="shared" si="41"/>
        <v>1.1548046336057927</v>
      </c>
      <c r="U162">
        <f t="shared" si="42"/>
        <v>2317.0000000000005</v>
      </c>
      <c r="V162">
        <f t="shared" si="43"/>
        <v>0</v>
      </c>
      <c r="W162">
        <f t="shared" si="44"/>
        <v>0</v>
      </c>
      <c r="X162">
        <f t="shared" si="45"/>
        <v>0</v>
      </c>
      <c r="Y162">
        <f t="shared" si="46"/>
        <v>0</v>
      </c>
      <c r="Z162">
        <f t="shared" si="47"/>
        <v>253.77632327261847</v>
      </c>
      <c r="AA162">
        <f t="shared" si="48"/>
        <v>252.48768514390321</v>
      </c>
      <c r="AB162">
        <f t="shared" si="49"/>
        <v>75.433931469069947</v>
      </c>
      <c r="AC162">
        <f t="shared" si="50"/>
        <v>77.189240625645738</v>
      </c>
      <c r="AD162">
        <f t="shared" si="51"/>
        <v>670.02122569348421</v>
      </c>
      <c r="AE162">
        <f t="shared" si="52"/>
        <v>411.13182495084635</v>
      </c>
      <c r="AF162">
        <f t="shared" si="53"/>
        <v>1000</v>
      </c>
      <c r="AG162">
        <f t="shared" si="54"/>
        <v>89.235679300378706</v>
      </c>
      <c r="AH162">
        <f t="shared" si="55"/>
        <v>2227.7643206996217</v>
      </c>
      <c r="AI162" s="5">
        <f t="shared" si="38"/>
        <v>0.4315925766076823</v>
      </c>
      <c r="AJ162" s="5">
        <f t="shared" si="39"/>
        <v>0</v>
      </c>
      <c r="AK162" s="5">
        <f t="shared" si="40"/>
        <v>0.44888051698662335</v>
      </c>
    </row>
    <row r="163" spans="1:37" hidden="1" x14ac:dyDescent="0.3">
      <c r="A163">
        <v>5100287</v>
      </c>
      <c r="B163" t="s">
        <v>39</v>
      </c>
      <c r="C163">
        <v>8.0833333333333321</v>
      </c>
      <c r="D163">
        <v>17729.51597036887</v>
      </c>
      <c r="I163">
        <v>1947.7700784816891</v>
      </c>
      <c r="J163">
        <v>1908.136680174355</v>
      </c>
      <c r="K163">
        <v>0.64124999999999999</v>
      </c>
      <c r="L163">
        <v>-32.202224384732858</v>
      </c>
      <c r="M163">
        <v>6295.3232166431371</v>
      </c>
      <c r="N163">
        <v>3497.3859834144341</v>
      </c>
      <c r="O163">
        <v>7718.5528821806147</v>
      </c>
      <c r="P163" s="2">
        <v>44210.9375</v>
      </c>
      <c r="Q163" s="2">
        <v>44211.503472222219</v>
      </c>
      <c r="R163">
        <v>32981.187574638701</v>
      </c>
      <c r="S163">
        <v>10.363803607201859</v>
      </c>
      <c r="T163">
        <f t="shared" si="41"/>
        <v>1.0472602127265158</v>
      </c>
      <c r="U163">
        <f t="shared" si="42"/>
        <v>2296.9999999999995</v>
      </c>
      <c r="V163">
        <f t="shared" si="43"/>
        <v>0</v>
      </c>
      <c r="W163">
        <f t="shared" si="44"/>
        <v>0</v>
      </c>
      <c r="X163">
        <f t="shared" si="45"/>
        <v>0</v>
      </c>
      <c r="Y163">
        <f t="shared" si="46"/>
        <v>0</v>
      </c>
      <c r="Z163">
        <f t="shared" si="47"/>
        <v>252.34912660615379</v>
      </c>
      <c r="AA163">
        <f t="shared" si="48"/>
        <v>247.21430419678305</v>
      </c>
      <c r="AB163">
        <f t="shared" si="49"/>
        <v>8.307904471062412E-2</v>
      </c>
      <c r="AC163">
        <f t="shared" si="50"/>
        <v>-4.1720546424027622</v>
      </c>
      <c r="AD163">
        <f t="shared" si="51"/>
        <v>815.60926157243705</v>
      </c>
      <c r="AE163">
        <f t="shared" si="52"/>
        <v>453.11420894564969</v>
      </c>
      <c r="AF163">
        <f t="shared" si="53"/>
        <v>1000</v>
      </c>
      <c r="AG163">
        <f t="shared" si="54"/>
        <v>-1975.9755276770215</v>
      </c>
      <c r="AH163">
        <f t="shared" si="55"/>
        <v>4272.9755276770211</v>
      </c>
      <c r="AI163" s="5">
        <f t="shared" si="38"/>
        <v>0.43535045711798004</v>
      </c>
      <c r="AJ163" s="5">
        <f t="shared" si="39"/>
        <v>0</v>
      </c>
      <c r="AK163" s="5">
        <f t="shared" si="40"/>
        <v>0.23402895558909143</v>
      </c>
    </row>
    <row r="164" spans="1:37" hidden="1" x14ac:dyDescent="0.3">
      <c r="A164">
        <v>5100291</v>
      </c>
      <c r="B164" t="s">
        <v>38</v>
      </c>
      <c r="C164">
        <v>25.75</v>
      </c>
      <c r="D164">
        <v>65765.466404296065</v>
      </c>
      <c r="I164">
        <v>-22929.302502042279</v>
      </c>
      <c r="J164">
        <v>5195.9119547380496</v>
      </c>
      <c r="K164">
        <v>0</v>
      </c>
      <c r="L164">
        <v>58.468427666426237</v>
      </c>
      <c r="M164">
        <v>20743.016724625479</v>
      </c>
      <c r="N164">
        <v>12606.2681145674</v>
      </c>
      <c r="O164">
        <v>28631.025861687449</v>
      </c>
      <c r="P164" s="2">
        <v>44211.583333333343</v>
      </c>
      <c r="Q164" s="2">
        <v>44212.576388888891</v>
      </c>
      <c r="R164">
        <v>61888.977655659808</v>
      </c>
      <c r="S164">
        <v>10.17202038155507</v>
      </c>
      <c r="T164">
        <f t="shared" si="41"/>
        <v>0.89937399115193117</v>
      </c>
      <c r="U164">
        <f t="shared" si="42"/>
        <v>2296.9999999999995</v>
      </c>
      <c r="V164">
        <f t="shared" si="43"/>
        <v>0</v>
      </c>
      <c r="W164">
        <f t="shared" si="44"/>
        <v>0</v>
      </c>
      <c r="X164">
        <f t="shared" si="45"/>
        <v>0</v>
      </c>
      <c r="Y164">
        <f t="shared" si="46"/>
        <v>0</v>
      </c>
      <c r="Z164">
        <f t="shared" si="47"/>
        <v>-800.85507982880483</v>
      </c>
      <c r="AA164">
        <f t="shared" si="48"/>
        <v>181.47837174395309</v>
      </c>
      <c r="AB164">
        <f t="shared" si="49"/>
        <v>0</v>
      </c>
      <c r="AC164">
        <f t="shared" si="50"/>
        <v>2.0421352678342428</v>
      </c>
      <c r="AD164">
        <f t="shared" si="51"/>
        <v>724.49435884107481</v>
      </c>
      <c r="AE164">
        <f t="shared" si="52"/>
        <v>440.30095797008977</v>
      </c>
      <c r="AF164">
        <f t="shared" si="53"/>
        <v>1000</v>
      </c>
      <c r="AG164">
        <f t="shared" si="54"/>
        <v>135.39468572879741</v>
      </c>
      <c r="AH164">
        <f t="shared" si="55"/>
        <v>2161.6053142712021</v>
      </c>
      <c r="AI164" s="5">
        <f t="shared" si="38"/>
        <v>0.43535045711797998</v>
      </c>
      <c r="AJ164" s="5">
        <f t="shared" si="39"/>
        <v>0</v>
      </c>
      <c r="AK164" s="5">
        <f t="shared" si="40"/>
        <v>0.46261914392875925</v>
      </c>
    </row>
    <row r="165" spans="1:37" hidden="1" x14ac:dyDescent="0.3">
      <c r="A165">
        <v>5100285</v>
      </c>
      <c r="B165" t="s">
        <v>32</v>
      </c>
      <c r="C165">
        <v>34.333333333333329</v>
      </c>
      <c r="D165">
        <v>92808.926292095348</v>
      </c>
      <c r="I165">
        <v>7759.1338737605911</v>
      </c>
      <c r="J165">
        <v>7492.3342108488096</v>
      </c>
      <c r="K165">
        <v>3841.785348532404</v>
      </c>
      <c r="L165">
        <v>3820.791331409222</v>
      </c>
      <c r="M165">
        <v>23660.440564397479</v>
      </c>
      <c r="N165">
        <v>14565.63564700835</v>
      </c>
      <c r="O165">
        <v>41029.587220201312</v>
      </c>
      <c r="P165" s="2">
        <v>44212.576388888891</v>
      </c>
      <c r="Q165" s="2">
        <v>44215.298611111109</v>
      </c>
      <c r="R165">
        <v>180462.9539655096</v>
      </c>
      <c r="S165">
        <v>9.3758642359668389</v>
      </c>
      <c r="T165">
        <f t="shared" si="41"/>
        <v>0.83679450999762872</v>
      </c>
      <c r="U165">
        <f t="shared" si="42"/>
        <v>2261.9999999999995</v>
      </c>
      <c r="V165">
        <f t="shared" si="43"/>
        <v>0</v>
      </c>
      <c r="W165">
        <f t="shared" si="44"/>
        <v>0</v>
      </c>
      <c r="X165">
        <f t="shared" si="45"/>
        <v>0</v>
      </c>
      <c r="Y165">
        <f t="shared" si="46"/>
        <v>0</v>
      </c>
      <c r="Z165">
        <f t="shared" si="47"/>
        <v>189.11069789998538</v>
      </c>
      <c r="AA165">
        <f t="shared" si="48"/>
        <v>182.60808159336992</v>
      </c>
      <c r="AB165">
        <f t="shared" si="49"/>
        <v>93.634511307997357</v>
      </c>
      <c r="AC165">
        <f t="shared" si="50"/>
        <v>93.122831358342751</v>
      </c>
      <c r="AD165">
        <f t="shared" si="51"/>
        <v>576.667769953777</v>
      </c>
      <c r="AE165">
        <f t="shared" si="52"/>
        <v>355.00322167113637</v>
      </c>
      <c r="AF165">
        <f t="shared" si="53"/>
        <v>1000</v>
      </c>
      <c r="AG165">
        <f t="shared" si="54"/>
        <v>-2136.3614311541728</v>
      </c>
      <c r="AH165">
        <f t="shared" si="55"/>
        <v>4398.3614311541724</v>
      </c>
      <c r="AI165" s="5">
        <f t="shared" si="38"/>
        <v>0.44208664898320083</v>
      </c>
      <c r="AJ165" s="5">
        <f t="shared" si="39"/>
        <v>0</v>
      </c>
      <c r="AK165" s="5">
        <f t="shared" si="40"/>
        <v>0.22735739562394042</v>
      </c>
    </row>
    <row r="166" spans="1:37" hidden="1" x14ac:dyDescent="0.3">
      <c r="A166">
        <v>5100963</v>
      </c>
      <c r="B166" t="s">
        <v>42</v>
      </c>
      <c r="C166">
        <v>21.166666666666671</v>
      </c>
      <c r="D166">
        <v>60065.122749242437</v>
      </c>
      <c r="I166">
        <v>5356.6512476921134</v>
      </c>
      <c r="J166">
        <v>5416.6297203930026</v>
      </c>
      <c r="K166">
        <v>2652.3048675850878</v>
      </c>
      <c r="L166">
        <v>2660.689097660274</v>
      </c>
      <c r="M166">
        <v>14763.74426053047</v>
      </c>
      <c r="N166">
        <v>10389.94871627573</v>
      </c>
      <c r="O166">
        <v>26553.988836977209</v>
      </c>
      <c r="P166" s="2">
        <v>44213.4375</v>
      </c>
      <c r="Q166" s="2">
        <v>44214.319444444453</v>
      </c>
      <c r="R166">
        <v>59894.353544051097</v>
      </c>
      <c r="S166">
        <v>9.5440473740122886</v>
      </c>
      <c r="T166">
        <f t="shared" si="41"/>
        <v>0.79711815790143992</v>
      </c>
      <c r="U166">
        <f t="shared" si="42"/>
        <v>2261.9999999999995</v>
      </c>
      <c r="V166">
        <f t="shared" si="43"/>
        <v>0</v>
      </c>
      <c r="W166">
        <f t="shared" si="44"/>
        <v>0</v>
      </c>
      <c r="X166">
        <f t="shared" si="45"/>
        <v>0</v>
      </c>
      <c r="Y166">
        <f t="shared" si="46"/>
        <v>0</v>
      </c>
      <c r="Z166">
        <f t="shared" si="47"/>
        <v>201.72680197232063</v>
      </c>
      <c r="AA166">
        <f t="shared" si="48"/>
        <v>203.98553880726902</v>
      </c>
      <c r="AB166">
        <f t="shared" si="49"/>
        <v>99.883482058698291</v>
      </c>
      <c r="AC166">
        <f t="shared" si="50"/>
        <v>100.19922483190872</v>
      </c>
      <c r="AD166">
        <f t="shared" si="51"/>
        <v>555.98969899285044</v>
      </c>
      <c r="AE166">
        <f t="shared" si="52"/>
        <v>391.27638337361287</v>
      </c>
      <c r="AF166">
        <f t="shared" si="53"/>
        <v>1000</v>
      </c>
      <c r="AG166">
        <f t="shared" si="54"/>
        <v>6.4310189418147274</v>
      </c>
      <c r="AH166">
        <f t="shared" si="55"/>
        <v>2255.5689810581848</v>
      </c>
      <c r="AI166" s="5">
        <f t="shared" si="38"/>
        <v>0.44208664898320077</v>
      </c>
      <c r="AJ166" s="5">
        <f t="shared" si="39"/>
        <v>0</v>
      </c>
      <c r="AK166" s="5">
        <f t="shared" si="40"/>
        <v>0.44334711480686206</v>
      </c>
    </row>
    <row r="167" spans="1:37" hidden="1" x14ac:dyDescent="0.3">
      <c r="A167">
        <v>5103922</v>
      </c>
      <c r="B167" t="s">
        <v>32</v>
      </c>
      <c r="C167">
        <v>49.916666666666657</v>
      </c>
      <c r="D167">
        <v>133317.18653806511</v>
      </c>
      <c r="I167">
        <v>11289.81412697021</v>
      </c>
      <c r="J167">
        <v>11115.93666990461</v>
      </c>
      <c r="K167">
        <v>8221.7585211507849</v>
      </c>
      <c r="L167">
        <v>8427.7450974714156</v>
      </c>
      <c r="M167">
        <v>34236.073042937263</v>
      </c>
      <c r="N167">
        <v>23877.274082572909</v>
      </c>
      <c r="O167">
        <v>58937.748248481483</v>
      </c>
      <c r="P167" s="2">
        <v>44216.59375</v>
      </c>
      <c r="Q167" s="2">
        <v>44219.847222222219</v>
      </c>
      <c r="R167">
        <v>216003.79716724571</v>
      </c>
      <c r="S167">
        <v>9.1845646970857278</v>
      </c>
      <c r="T167">
        <f t="shared" si="41"/>
        <v>0.84693881510739166</v>
      </c>
      <c r="U167">
        <f t="shared" si="42"/>
        <v>2262</v>
      </c>
      <c r="V167">
        <f t="shared" si="43"/>
        <v>0</v>
      </c>
      <c r="W167">
        <f t="shared" si="44"/>
        <v>0</v>
      </c>
      <c r="X167">
        <f t="shared" si="45"/>
        <v>0</v>
      </c>
      <c r="Y167">
        <f t="shared" si="46"/>
        <v>0</v>
      </c>
      <c r="Z167">
        <f t="shared" si="47"/>
        <v>191.55489414648767</v>
      </c>
      <c r="AA167">
        <f t="shared" si="48"/>
        <v>188.60470581671754</v>
      </c>
      <c r="AB167">
        <f t="shared" si="49"/>
        <v>139.49902677801433</v>
      </c>
      <c r="AC167">
        <f t="shared" si="50"/>
        <v>142.99401229141046</v>
      </c>
      <c r="AD167">
        <f t="shared" si="51"/>
        <v>580.88532494655237</v>
      </c>
      <c r="AE167">
        <f t="shared" si="52"/>
        <v>405.12701608324676</v>
      </c>
      <c r="AF167">
        <f t="shared" si="53"/>
        <v>1000</v>
      </c>
      <c r="AG167">
        <f t="shared" si="54"/>
        <v>-1402.9482477100064</v>
      </c>
      <c r="AH167">
        <f t="shared" si="55"/>
        <v>3664.9482477100064</v>
      </c>
      <c r="AI167" s="5">
        <f t="shared" si="38"/>
        <v>0.44208664898320071</v>
      </c>
      <c r="AJ167" s="5">
        <f t="shared" si="39"/>
        <v>0</v>
      </c>
      <c r="AK167" s="5">
        <f t="shared" si="40"/>
        <v>0.27285514894373653</v>
      </c>
    </row>
    <row r="168" spans="1:37" hidden="1" x14ac:dyDescent="0.3">
      <c r="A168">
        <v>5103920</v>
      </c>
      <c r="B168" t="s">
        <v>42</v>
      </c>
      <c r="C168">
        <v>39.333333333333329</v>
      </c>
      <c r="D168">
        <v>107891.63545049071</v>
      </c>
      <c r="I168">
        <v>-16775.887669784039</v>
      </c>
      <c r="J168">
        <v>9962.9530776737356</v>
      </c>
      <c r="K168">
        <v>24987.78921131204</v>
      </c>
      <c r="L168">
        <v>24618.20133560877</v>
      </c>
      <c r="M168">
        <v>11077.03441985923</v>
      </c>
      <c r="N168">
        <v>30665.222492734571</v>
      </c>
      <c r="O168">
        <v>47679.913744235942</v>
      </c>
      <c r="P168" s="2">
        <v>44218.1875</v>
      </c>
      <c r="Q168" s="2">
        <v>44220.3125</v>
      </c>
      <c r="R168">
        <v>138700.85258183649</v>
      </c>
      <c r="S168">
        <v>9.6854910285288156</v>
      </c>
      <c r="T168">
        <f t="shared" si="41"/>
        <v>0.82494556396063867</v>
      </c>
      <c r="U168">
        <f t="shared" si="42"/>
        <v>2262.8320183052724</v>
      </c>
      <c r="V168">
        <f t="shared" si="43"/>
        <v>0</v>
      </c>
      <c r="W168">
        <f t="shared" si="44"/>
        <v>0</v>
      </c>
      <c r="X168">
        <f t="shared" si="45"/>
        <v>0</v>
      </c>
      <c r="Y168">
        <f t="shared" si="46"/>
        <v>0</v>
      </c>
      <c r="Z168">
        <f t="shared" si="47"/>
        <v>-351.84391817009293</v>
      </c>
      <c r="AA168">
        <f t="shared" si="48"/>
        <v>208.95493081461717</v>
      </c>
      <c r="AB168">
        <f t="shared" si="49"/>
        <v>524.07370838276381</v>
      </c>
      <c r="AC168">
        <f t="shared" si="50"/>
        <v>516.32227079238123</v>
      </c>
      <c r="AD168">
        <f t="shared" si="51"/>
        <v>232.32077304666561</v>
      </c>
      <c r="AE168">
        <f t="shared" si="52"/>
        <v>643.14760838764539</v>
      </c>
      <c r="AF168">
        <f t="shared" si="53"/>
        <v>1000</v>
      </c>
      <c r="AG168">
        <f t="shared" si="54"/>
        <v>-646.16763563399536</v>
      </c>
      <c r="AH168">
        <f t="shared" si="55"/>
        <v>2908.9996539392678</v>
      </c>
      <c r="AI168" s="5">
        <f t="shared" si="38"/>
        <v>0.44192409861203091</v>
      </c>
      <c r="AJ168" s="5">
        <f t="shared" si="39"/>
        <v>0</v>
      </c>
      <c r="AK168" s="5">
        <f t="shared" si="40"/>
        <v>0.34376078341770661</v>
      </c>
    </row>
    <row r="169" spans="1:37" hidden="1" x14ac:dyDescent="0.3">
      <c r="A169">
        <v>5106867</v>
      </c>
      <c r="B169" t="s">
        <v>43</v>
      </c>
      <c r="C169">
        <v>32.583333333333343</v>
      </c>
      <c r="D169">
        <v>58491.19947787009</v>
      </c>
      <c r="I169">
        <v>5722.9733776037228</v>
      </c>
      <c r="J169">
        <v>5643.6299669214532</v>
      </c>
      <c r="K169">
        <v>10633.64898601067</v>
      </c>
      <c r="L169">
        <v>-16745.875155657472</v>
      </c>
      <c r="M169">
        <v>0</v>
      </c>
      <c r="N169">
        <v>6135.6084557781751</v>
      </c>
      <c r="O169">
        <v>25244.367491527879</v>
      </c>
      <c r="P169" s="2">
        <v>44220.777777777781</v>
      </c>
      <c r="Q169" s="2">
        <v>44222.135416666657</v>
      </c>
      <c r="R169">
        <v>60205.032974859387</v>
      </c>
      <c r="S169">
        <v>8.7100531362403615</v>
      </c>
      <c r="T169">
        <f t="shared" si="41"/>
        <v>1.2907169626756723</v>
      </c>
      <c r="U169">
        <f t="shared" si="42"/>
        <v>2317</v>
      </c>
      <c r="V169">
        <f t="shared" si="43"/>
        <v>0</v>
      </c>
      <c r="W169">
        <f t="shared" si="44"/>
        <v>0</v>
      </c>
      <c r="X169">
        <f t="shared" si="45"/>
        <v>0</v>
      </c>
      <c r="Y169">
        <f t="shared" si="46"/>
        <v>0</v>
      </c>
      <c r="Z169">
        <f t="shared" si="47"/>
        <v>226.70298154724526</v>
      </c>
      <c r="AA169">
        <f t="shared" si="48"/>
        <v>223.5599671417983</v>
      </c>
      <c r="AB169">
        <f t="shared" si="49"/>
        <v>421.22857661533294</v>
      </c>
      <c r="AC169">
        <f t="shared" si="50"/>
        <v>-663.3509499209066</v>
      </c>
      <c r="AD169">
        <f t="shared" si="51"/>
        <v>0</v>
      </c>
      <c r="AE169">
        <f t="shared" si="52"/>
        <v>243.04861105501305</v>
      </c>
      <c r="AF169">
        <f t="shared" si="53"/>
        <v>1000</v>
      </c>
      <c r="AG169">
        <f t="shared" si="54"/>
        <v>-67.889738079770268</v>
      </c>
      <c r="AH169">
        <f t="shared" si="55"/>
        <v>2384.8897380797703</v>
      </c>
      <c r="AI169" s="5">
        <f t="shared" si="38"/>
        <v>0.43159257660768241</v>
      </c>
      <c r="AJ169" s="5">
        <f t="shared" si="39"/>
        <v>0</v>
      </c>
      <c r="AK169" s="5">
        <f t="shared" si="40"/>
        <v>0.41930659687653526</v>
      </c>
    </row>
    <row r="170" spans="1:37" hidden="1" x14ac:dyDescent="0.3">
      <c r="A170">
        <v>5106865</v>
      </c>
      <c r="B170" t="s">
        <v>46</v>
      </c>
      <c r="C170">
        <v>11.16666666666667</v>
      </c>
      <c r="D170">
        <v>20858.657308497779</v>
      </c>
      <c r="I170">
        <v>2297.2845763542218</v>
      </c>
      <c r="J170">
        <v>2338.1873083949959</v>
      </c>
      <c r="K170">
        <v>8637.1589173837419</v>
      </c>
      <c r="L170">
        <v>-18402.342812585299</v>
      </c>
      <c r="M170">
        <v>0</v>
      </c>
      <c r="N170">
        <v>8462.6274029864107</v>
      </c>
      <c r="O170">
        <v>9002.4416523512227</v>
      </c>
      <c r="P170" s="2">
        <v>44220.3125</v>
      </c>
      <c r="Q170" s="2">
        <v>44220.777777777781</v>
      </c>
      <c r="R170">
        <v>20859.338341079241</v>
      </c>
      <c r="S170">
        <v>9.3632847899182803</v>
      </c>
      <c r="T170">
        <f t="shared" si="41"/>
        <v>1.2404042256414074</v>
      </c>
      <c r="U170">
        <f t="shared" si="42"/>
        <v>2316.9999999999995</v>
      </c>
      <c r="V170">
        <f t="shared" si="43"/>
        <v>0</v>
      </c>
      <c r="W170">
        <f t="shared" si="44"/>
        <v>0</v>
      </c>
      <c r="X170">
        <f t="shared" si="45"/>
        <v>0</v>
      </c>
      <c r="Y170">
        <f t="shared" si="46"/>
        <v>0</v>
      </c>
      <c r="Z170">
        <f t="shared" si="47"/>
        <v>255.18461158303936</v>
      </c>
      <c r="AA170">
        <f t="shared" si="48"/>
        <v>259.72812695590392</v>
      </c>
      <c r="AB170">
        <f t="shared" si="49"/>
        <v>959.4240374918644</v>
      </c>
      <c r="AC170">
        <f t="shared" si="50"/>
        <v>-2044.1501898297831</v>
      </c>
      <c r="AD170">
        <f t="shared" si="51"/>
        <v>0</v>
      </c>
      <c r="AE170">
        <f t="shared" si="52"/>
        <v>940.03690662923373</v>
      </c>
      <c r="AF170">
        <f t="shared" si="53"/>
        <v>1000</v>
      </c>
      <c r="AG170">
        <f t="shared" si="54"/>
        <v>-7.5649763448836893E-2</v>
      </c>
      <c r="AH170">
        <f t="shared" si="55"/>
        <v>2317.0756497634484</v>
      </c>
      <c r="AI170" s="5">
        <f t="shared" si="38"/>
        <v>0.43159257660768241</v>
      </c>
      <c r="AJ170" s="5">
        <f t="shared" si="39"/>
        <v>0</v>
      </c>
      <c r="AK170" s="5">
        <f t="shared" si="40"/>
        <v>0.4315784856235016</v>
      </c>
    </row>
    <row r="171" spans="1:37" hidden="1" x14ac:dyDescent="0.3">
      <c r="A171">
        <v>5108080</v>
      </c>
      <c r="B171" t="s">
        <v>31</v>
      </c>
      <c r="C171">
        <v>331.91666666666657</v>
      </c>
      <c r="D171">
        <v>0</v>
      </c>
      <c r="E171">
        <v>618080.15036452573</v>
      </c>
      <c r="F171">
        <v>130765.39492586569</v>
      </c>
      <c r="G171">
        <v>487314.75543865998</v>
      </c>
      <c r="H171">
        <v>50</v>
      </c>
      <c r="I171">
        <v>11851.532462891741</v>
      </c>
      <c r="J171">
        <v>154336.01719362169</v>
      </c>
      <c r="K171">
        <v>382913.05580572342</v>
      </c>
      <c r="L171">
        <v>-19309.546722802799</v>
      </c>
      <c r="M171">
        <v>0</v>
      </c>
      <c r="N171">
        <v>323602.02284826618</v>
      </c>
      <c r="O171">
        <v>272064.32674494968</v>
      </c>
      <c r="P171" s="2">
        <v>44228.291666666657</v>
      </c>
      <c r="Q171" s="2">
        <v>44248.291666666657</v>
      </c>
      <c r="R171">
        <v>152.64247071799991</v>
      </c>
      <c r="S171">
        <v>5.0046225079553626</v>
      </c>
      <c r="T171">
        <f t="shared" si="41"/>
        <v>1.2199933399494387</v>
      </c>
      <c r="U171">
        <f t="shared" si="42"/>
        <v>0</v>
      </c>
      <c r="V171">
        <f t="shared" si="43"/>
        <v>2271.8162199337257</v>
      </c>
      <c r="W171">
        <f t="shared" si="44"/>
        <v>480.64145891663867</v>
      </c>
      <c r="X171">
        <f t="shared" si="45"/>
        <v>1791.1747610170871</v>
      </c>
      <c r="Y171">
        <f t="shared" si="46"/>
        <v>0.18378006627408069</v>
      </c>
      <c r="Z171">
        <f t="shared" si="47"/>
        <v>43.56150842959326</v>
      </c>
      <c r="AA171">
        <f t="shared" si="48"/>
        <v>567.27766936642911</v>
      </c>
      <c r="AB171">
        <f t="shared" si="49"/>
        <v>1407.4357354637323</v>
      </c>
      <c r="AC171">
        <f t="shared" si="50"/>
        <v>-70.974195528783127</v>
      </c>
      <c r="AD171">
        <f t="shared" si="51"/>
        <v>0</v>
      </c>
      <c r="AE171">
        <f t="shared" si="52"/>
        <v>1189.4320241096189</v>
      </c>
      <c r="AF171">
        <f t="shared" si="53"/>
        <v>1000.0000000000001</v>
      </c>
      <c r="AG171">
        <f t="shared" si="54"/>
        <v>-0.56105286769586893</v>
      </c>
      <c r="AH171">
        <f t="shared" si="55"/>
        <v>0.56105286769586893</v>
      </c>
      <c r="AI171" s="5">
        <f t="shared" si="38"/>
        <v>0</v>
      </c>
      <c r="AJ171" s="5">
        <f t="shared" si="39"/>
        <v>0.4401408450704225</v>
      </c>
      <c r="AK171" s="5">
        <f t="shared" si="40"/>
        <v>1782.3632273849671</v>
      </c>
    </row>
    <row r="172" spans="1:37" hidden="1" x14ac:dyDescent="0.3">
      <c r="A172">
        <v>5121645</v>
      </c>
      <c r="B172" t="s">
        <v>31</v>
      </c>
      <c r="C172">
        <v>53.250000000000007</v>
      </c>
      <c r="D172">
        <v>0</v>
      </c>
      <c r="E172">
        <v>82228.489499999996</v>
      </c>
      <c r="F172">
        <v>27090.126583500001</v>
      </c>
      <c r="G172">
        <v>55138.362916500002</v>
      </c>
      <c r="H172">
        <v>9036.4988333333331</v>
      </c>
      <c r="I172">
        <v>19334.27680589414</v>
      </c>
      <c r="J172">
        <v>24252.537953854611</v>
      </c>
      <c r="K172">
        <v>59916.917166088802</v>
      </c>
      <c r="L172">
        <v>47620.735351414012</v>
      </c>
      <c r="M172">
        <v>0</v>
      </c>
      <c r="N172">
        <v>45394.264098544947</v>
      </c>
      <c r="O172">
        <v>39993.421706105757</v>
      </c>
      <c r="P172" s="2">
        <v>44249.291666666657</v>
      </c>
      <c r="Q172" s="2">
        <v>44251.722222222219</v>
      </c>
      <c r="R172">
        <v>0</v>
      </c>
      <c r="S172">
        <v>5.0041666030883789</v>
      </c>
      <c r="T172">
        <f t="shared" si="41"/>
        <v>1.3314689698548694</v>
      </c>
      <c r="U172">
        <f t="shared" si="42"/>
        <v>0</v>
      </c>
      <c r="V172">
        <f t="shared" si="43"/>
        <v>2056.0503700898953</v>
      </c>
      <c r="W172">
        <f t="shared" si="44"/>
        <v>677.36456216658701</v>
      </c>
      <c r="X172">
        <f t="shared" si="45"/>
        <v>1378.6858079233086</v>
      </c>
      <c r="Y172">
        <f t="shared" si="46"/>
        <v>225.94962991010445</v>
      </c>
      <c r="Z172">
        <f t="shared" si="47"/>
        <v>483.43642481939463</v>
      </c>
      <c r="AA172">
        <f t="shared" si="48"/>
        <v>606.41317794901261</v>
      </c>
      <c r="AB172">
        <f t="shared" si="49"/>
        <v>1498.1693141035078</v>
      </c>
      <c r="AC172">
        <f t="shared" si="50"/>
        <v>1190.7142054850435</v>
      </c>
      <c r="AD172">
        <f t="shared" si="51"/>
        <v>0</v>
      </c>
      <c r="AE172">
        <f t="shared" si="52"/>
        <v>1135.0432686687234</v>
      </c>
      <c r="AF172">
        <f t="shared" si="53"/>
        <v>999.99999999999989</v>
      </c>
      <c r="AG172">
        <f t="shared" si="54"/>
        <v>0</v>
      </c>
      <c r="AH172">
        <f t="shared" si="55"/>
        <v>0</v>
      </c>
      <c r="AI172" s="5">
        <f t="shared" si="38"/>
        <v>0</v>
      </c>
      <c r="AJ172" s="5">
        <f t="shared" si="39"/>
        <v>0.4382120946538125</v>
      </c>
      <c r="AK172" s="5">
        <f t="shared" si="40"/>
        <v>0</v>
      </c>
    </row>
    <row r="173" spans="1:37" hidden="1" x14ac:dyDescent="0.3">
      <c r="A173">
        <v>5122125</v>
      </c>
      <c r="B173" t="s">
        <v>31</v>
      </c>
      <c r="C173">
        <v>10.41666666666667</v>
      </c>
      <c r="D173">
        <v>0</v>
      </c>
      <c r="E173">
        <v>17204</v>
      </c>
      <c r="F173">
        <v>4645.08</v>
      </c>
      <c r="G173">
        <v>12558.92</v>
      </c>
      <c r="H173">
        <v>0</v>
      </c>
      <c r="I173">
        <v>9987.967678752404</v>
      </c>
      <c r="J173">
        <v>5048.1900706895412</v>
      </c>
      <c r="K173">
        <v>11723.05147938964</v>
      </c>
      <c r="L173">
        <v>-27266.81910808455</v>
      </c>
      <c r="M173">
        <v>0</v>
      </c>
      <c r="N173">
        <v>11000.13981304472</v>
      </c>
      <c r="O173">
        <v>7572.1830985915503</v>
      </c>
      <c r="P173" s="2">
        <v>44251.291666666657</v>
      </c>
      <c r="Q173" s="2">
        <v>44251.725694444453</v>
      </c>
      <c r="R173">
        <v>0</v>
      </c>
      <c r="S173">
        <v>5.0041666030883789</v>
      </c>
      <c r="T173">
        <f t="shared" si="41"/>
        <v>1.3756490738587928</v>
      </c>
      <c r="U173">
        <f t="shared" si="42"/>
        <v>0</v>
      </c>
      <c r="V173">
        <f t="shared" si="43"/>
        <v>2271.9999999999995</v>
      </c>
      <c r="W173">
        <f t="shared" si="44"/>
        <v>613.43999999999994</v>
      </c>
      <c r="X173">
        <f t="shared" si="45"/>
        <v>1658.5599999999997</v>
      </c>
      <c r="Y173">
        <f t="shared" si="46"/>
        <v>0</v>
      </c>
      <c r="Z173">
        <f t="shared" si="47"/>
        <v>1319.0340947527004</v>
      </c>
      <c r="AA173">
        <f t="shared" si="48"/>
        <v>666.67564755909302</v>
      </c>
      <c r="AB173">
        <f t="shared" si="49"/>
        <v>1548.1732714004452</v>
      </c>
      <c r="AC173">
        <f t="shared" si="50"/>
        <v>-3600.919147498726</v>
      </c>
      <c r="AD173">
        <f t="shared" si="51"/>
        <v>0</v>
      </c>
      <c r="AE173">
        <f t="shared" si="52"/>
        <v>1452.7038860286909</v>
      </c>
      <c r="AF173">
        <f t="shared" si="53"/>
        <v>1000</v>
      </c>
      <c r="AG173">
        <f t="shared" si="54"/>
        <v>0</v>
      </c>
      <c r="AH173">
        <f t="shared" si="55"/>
        <v>0</v>
      </c>
      <c r="AI173" s="5">
        <f t="shared" si="38"/>
        <v>0</v>
      </c>
      <c r="AJ173" s="5">
        <f t="shared" si="39"/>
        <v>0.44014084507042261</v>
      </c>
      <c r="AK173" s="5">
        <f t="shared" si="40"/>
        <v>0</v>
      </c>
    </row>
    <row r="174" spans="1:37" hidden="1" x14ac:dyDescent="0.3">
      <c r="A174">
        <v>5122700</v>
      </c>
      <c r="B174" t="s">
        <v>32</v>
      </c>
      <c r="C174">
        <v>10.58333333333333</v>
      </c>
      <c r="D174">
        <v>22724.101544456629</v>
      </c>
      <c r="I174">
        <v>-25254.52504639142</v>
      </c>
      <c r="J174">
        <v>2303.2006445955171</v>
      </c>
      <c r="K174">
        <v>2112.186400053567</v>
      </c>
      <c r="L174">
        <v>2027.9618056487859</v>
      </c>
      <c r="M174">
        <v>0</v>
      </c>
      <c r="N174">
        <v>843.25533306705279</v>
      </c>
      <c r="O174">
        <v>10029.71437900297</v>
      </c>
      <c r="P174" s="2">
        <v>44252.5625</v>
      </c>
      <c r="Q174" s="2">
        <v>44253.003472222219</v>
      </c>
      <c r="R174">
        <v>27718.091086980919</v>
      </c>
      <c r="S174">
        <v>9.2328370593712688</v>
      </c>
      <c r="T174">
        <f t="shared" si="41"/>
        <v>1.0551978783652456</v>
      </c>
      <c r="U174">
        <f t="shared" si="42"/>
        <v>2265.6778334614532</v>
      </c>
      <c r="V174">
        <f t="shared" si="43"/>
        <v>0</v>
      </c>
      <c r="W174">
        <f t="shared" si="44"/>
        <v>0</v>
      </c>
      <c r="X174">
        <f t="shared" si="45"/>
        <v>0</v>
      </c>
      <c r="Y174">
        <f t="shared" si="46"/>
        <v>0</v>
      </c>
      <c r="Z174">
        <f t="shared" si="47"/>
        <v>-2517.9705116290575</v>
      </c>
      <c r="AA174">
        <f t="shared" si="48"/>
        <v>229.63771026393607</v>
      </c>
      <c r="AB174">
        <f t="shared" si="49"/>
        <v>210.59287635103468</v>
      </c>
      <c r="AC174">
        <f t="shared" si="50"/>
        <v>202.19536958044273</v>
      </c>
      <c r="AD174">
        <f t="shared" si="51"/>
        <v>0</v>
      </c>
      <c r="AE174">
        <f t="shared" si="52"/>
        <v>84.075707562759007</v>
      </c>
      <c r="AF174">
        <f t="shared" si="53"/>
        <v>1000</v>
      </c>
      <c r="AG174">
        <f t="shared" si="54"/>
        <v>-497.9194176236083</v>
      </c>
      <c r="AH174">
        <f t="shared" si="55"/>
        <v>2763.5972510850615</v>
      </c>
      <c r="AI174" s="5">
        <f t="shared" si="38"/>
        <v>0.4413690177973017</v>
      </c>
      <c r="AJ174" s="5">
        <f t="shared" si="39"/>
        <v>0</v>
      </c>
      <c r="AK174" s="5">
        <f t="shared" si="40"/>
        <v>0.36184722633059996</v>
      </c>
    </row>
    <row r="175" spans="1:37" hidden="1" x14ac:dyDescent="0.3">
      <c r="A175">
        <v>5122703</v>
      </c>
      <c r="B175" t="s">
        <v>43</v>
      </c>
      <c r="C175">
        <v>28</v>
      </c>
      <c r="D175">
        <v>51716.825398868357</v>
      </c>
      <c r="I175">
        <v>-23001.78413206945</v>
      </c>
      <c r="J175">
        <v>4721.544090617188</v>
      </c>
      <c r="K175">
        <v>8578.6933852877828</v>
      </c>
      <c r="L175">
        <v>-19162.305661008799</v>
      </c>
      <c r="M175">
        <v>-133.58652849623559</v>
      </c>
      <c r="N175">
        <v>4698.1461300752353</v>
      </c>
      <c r="O175">
        <v>22328.926038297439</v>
      </c>
      <c r="P175" s="2">
        <v>44256.291666666657</v>
      </c>
      <c r="Q175" s="2">
        <v>44257.413194444453</v>
      </c>
      <c r="R175">
        <v>49602.672669925589</v>
      </c>
      <c r="S175">
        <v>10.18769237150229</v>
      </c>
      <c r="T175">
        <f t="shared" si="41"/>
        <v>1.2539788054282515</v>
      </c>
      <c r="U175">
        <f t="shared" si="42"/>
        <v>2316.1358190790856</v>
      </c>
      <c r="V175">
        <f t="shared" si="43"/>
        <v>0</v>
      </c>
      <c r="W175">
        <f t="shared" si="44"/>
        <v>0</v>
      </c>
      <c r="X175">
        <f t="shared" si="45"/>
        <v>0</v>
      </c>
      <c r="Y175">
        <f t="shared" si="46"/>
        <v>0</v>
      </c>
      <c r="Z175">
        <f t="shared" si="47"/>
        <v>-1030.1339210232484</v>
      </c>
      <c r="AA175">
        <f t="shared" si="48"/>
        <v>211.45415066174863</v>
      </c>
      <c r="AB175">
        <f t="shared" si="49"/>
        <v>384.19641726494336</v>
      </c>
      <c r="AC175">
        <f t="shared" si="50"/>
        <v>-858.18304150152971</v>
      </c>
      <c r="AD175">
        <f t="shared" si="51"/>
        <v>-5.9826669794648772</v>
      </c>
      <c r="AE175">
        <f t="shared" si="52"/>
        <v>210.4062739971109</v>
      </c>
      <c r="AF175">
        <f t="shared" si="53"/>
        <v>999.99999999999989</v>
      </c>
      <c r="AG175">
        <f t="shared" si="54"/>
        <v>94.682239769019361</v>
      </c>
      <c r="AH175">
        <f t="shared" si="55"/>
        <v>2221.4535793100663</v>
      </c>
      <c r="AI175" s="5">
        <f t="shared" si="38"/>
        <v>0.43175360950879305</v>
      </c>
      <c r="AJ175" s="5">
        <f t="shared" si="39"/>
        <v>0</v>
      </c>
      <c r="AK175" s="5">
        <f t="shared" si="40"/>
        <v>0.45015570404607669</v>
      </c>
    </row>
    <row r="176" spans="1:37" hidden="1" x14ac:dyDescent="0.3">
      <c r="A176">
        <v>5128700</v>
      </c>
      <c r="B176" t="s">
        <v>32</v>
      </c>
      <c r="C176">
        <v>12.91666666666667</v>
      </c>
      <c r="D176">
        <v>28201.445149232459</v>
      </c>
      <c r="I176">
        <v>3688.7108296096399</v>
      </c>
      <c r="J176">
        <v>3537.5634965540671</v>
      </c>
      <c r="K176">
        <v>553.38301602251954</v>
      </c>
      <c r="L176">
        <v>557.88526478782785</v>
      </c>
      <c r="M176">
        <v>8783.2399841727802</v>
      </c>
      <c r="N176">
        <v>4744.6579910335477</v>
      </c>
      <c r="O176">
        <v>12467.48238250772</v>
      </c>
      <c r="P176" s="2">
        <v>44258.145833333343</v>
      </c>
      <c r="Q176" s="2">
        <v>44259.215277777781</v>
      </c>
      <c r="R176">
        <v>64781.892588080053</v>
      </c>
      <c r="S176">
        <v>9.2154081139981567</v>
      </c>
      <c r="T176">
        <f t="shared" si="41"/>
        <v>1.0360284675267855</v>
      </c>
      <c r="U176">
        <f t="shared" si="42"/>
        <v>2261.9999999999995</v>
      </c>
      <c r="V176">
        <f t="shared" si="43"/>
        <v>0</v>
      </c>
      <c r="W176">
        <f t="shared" si="44"/>
        <v>0</v>
      </c>
      <c r="X176">
        <f t="shared" si="45"/>
        <v>0</v>
      </c>
      <c r="Y176">
        <f t="shared" si="46"/>
        <v>0</v>
      </c>
      <c r="Z176">
        <f t="shared" si="47"/>
        <v>295.86653635741408</v>
      </c>
      <c r="AA176">
        <f t="shared" si="48"/>
        <v>283.74321198298884</v>
      </c>
      <c r="AB176">
        <f t="shared" si="49"/>
        <v>44.3861077196254</v>
      </c>
      <c r="AC176">
        <f t="shared" si="50"/>
        <v>44.7472270400445</v>
      </c>
      <c r="AD176">
        <f t="shared" si="51"/>
        <v>704.49187050754927</v>
      </c>
      <c r="AE176">
        <f t="shared" si="52"/>
        <v>380.56263850755113</v>
      </c>
      <c r="AF176">
        <f t="shared" si="53"/>
        <v>1000.0000000000001</v>
      </c>
      <c r="AG176">
        <f t="shared" si="54"/>
        <v>-2934.0685085042628</v>
      </c>
      <c r="AH176">
        <f t="shared" si="55"/>
        <v>5196.0685085042624</v>
      </c>
      <c r="AI176" s="5">
        <f t="shared" si="38"/>
        <v>0.44208664898320077</v>
      </c>
      <c r="AJ176" s="5">
        <f t="shared" si="39"/>
        <v>0</v>
      </c>
      <c r="AK176" s="5">
        <f t="shared" si="40"/>
        <v>0.19245319771348809</v>
      </c>
    </row>
    <row r="177" spans="1:37" hidden="1" x14ac:dyDescent="0.3">
      <c r="A177">
        <v>5128698</v>
      </c>
      <c r="B177" t="s">
        <v>41</v>
      </c>
      <c r="C177">
        <v>12.83333333333333</v>
      </c>
      <c r="D177">
        <v>35979.015031703697</v>
      </c>
      <c r="I177">
        <v>3517.5256662940978</v>
      </c>
      <c r="J177">
        <v>3539.4357731371961</v>
      </c>
      <c r="K177">
        <v>0</v>
      </c>
      <c r="L177">
        <v>8.412609240195934</v>
      </c>
      <c r="M177">
        <v>14418.2617587608</v>
      </c>
      <c r="N177">
        <v>7432.1335135503896</v>
      </c>
      <c r="O177">
        <v>15905.84218908209</v>
      </c>
      <c r="P177" s="2">
        <v>44257.5625</v>
      </c>
      <c r="Q177" s="2">
        <v>44258.097222222219</v>
      </c>
      <c r="R177">
        <v>35978.81172258225</v>
      </c>
      <c r="S177">
        <v>10.44254463246652</v>
      </c>
      <c r="T177">
        <f t="shared" si="41"/>
        <v>0.80683142588590773</v>
      </c>
      <c r="U177">
        <f t="shared" si="42"/>
        <v>2262.0000000000005</v>
      </c>
      <c r="V177">
        <f t="shared" si="43"/>
        <v>0</v>
      </c>
      <c r="W177">
        <f t="shared" si="44"/>
        <v>0</v>
      </c>
      <c r="X177">
        <f t="shared" si="45"/>
        <v>0</v>
      </c>
      <c r="Y177">
        <f t="shared" si="46"/>
        <v>0</v>
      </c>
      <c r="Z177">
        <f t="shared" si="47"/>
        <v>221.14677264361131</v>
      </c>
      <c r="AA177">
        <f t="shared" si="48"/>
        <v>222.52426064975646</v>
      </c>
      <c r="AB177">
        <f t="shared" si="49"/>
        <v>0</v>
      </c>
      <c r="AC177">
        <f t="shared" si="50"/>
        <v>0.52890058509259086</v>
      </c>
      <c r="AD177">
        <f t="shared" si="51"/>
        <v>906.47584625588843</v>
      </c>
      <c r="AE177">
        <f t="shared" si="52"/>
        <v>467.25809455420546</v>
      </c>
      <c r="AF177">
        <f t="shared" si="53"/>
        <v>1000</v>
      </c>
      <c r="AG177">
        <f t="shared" si="54"/>
        <v>1.2782040650563431E-2</v>
      </c>
      <c r="AH177">
        <f t="shared" si="55"/>
        <v>2261.9872179593499</v>
      </c>
      <c r="AI177" s="5">
        <f t="shared" si="38"/>
        <v>0.4420866489832006</v>
      </c>
      <c r="AJ177" s="5">
        <f t="shared" si="39"/>
        <v>0</v>
      </c>
      <c r="AK177" s="5">
        <f t="shared" si="40"/>
        <v>0.44208914712707764</v>
      </c>
    </row>
    <row r="178" spans="1:37" hidden="1" x14ac:dyDescent="0.3">
      <c r="A178">
        <v>5128696</v>
      </c>
      <c r="B178" t="s">
        <v>40</v>
      </c>
      <c r="C178">
        <v>10.91666666666667</v>
      </c>
      <c r="D178">
        <v>27810.8817785477</v>
      </c>
      <c r="I178">
        <v>2891.583358631131</v>
      </c>
      <c r="J178">
        <v>2958.9857808121851</v>
      </c>
      <c r="K178">
        <v>1118.261998813146</v>
      </c>
      <c r="L178">
        <v>1166.481721421917</v>
      </c>
      <c r="M178">
        <v>2342.7401561768388</v>
      </c>
      <c r="N178">
        <v>2669.1971568350909</v>
      </c>
      <c r="O178">
        <v>18035.591296075039</v>
      </c>
      <c r="P178" s="2">
        <v>44258.381944444453</v>
      </c>
      <c r="Q178" s="2">
        <v>44258.836805555547</v>
      </c>
      <c r="R178">
        <v>27603.087395004481</v>
      </c>
      <c r="S178">
        <v>9.4804700948227403</v>
      </c>
      <c r="T178">
        <f t="shared" si="41"/>
        <v>0.60528465562658806</v>
      </c>
      <c r="U178">
        <f t="shared" si="42"/>
        <v>1541.9999999999995</v>
      </c>
      <c r="V178">
        <f t="shared" si="43"/>
        <v>0</v>
      </c>
      <c r="W178">
        <f t="shared" si="44"/>
        <v>0</v>
      </c>
      <c r="X178">
        <f t="shared" si="45"/>
        <v>0</v>
      </c>
      <c r="Y178">
        <f t="shared" si="46"/>
        <v>0</v>
      </c>
      <c r="Z178">
        <f t="shared" si="47"/>
        <v>160.32650724683509</v>
      </c>
      <c r="AA178">
        <f t="shared" si="48"/>
        <v>164.06369673369838</v>
      </c>
      <c r="AB178">
        <f t="shared" si="49"/>
        <v>62.003068291778469</v>
      </c>
      <c r="AC178">
        <f t="shared" si="50"/>
        <v>64.676655301884679</v>
      </c>
      <c r="AD178">
        <f t="shared" si="51"/>
        <v>129.89538949502995</v>
      </c>
      <c r="AE178">
        <f t="shared" si="52"/>
        <v>147.99609910299807</v>
      </c>
      <c r="AF178">
        <f t="shared" si="53"/>
        <v>1000</v>
      </c>
      <c r="AG178">
        <f t="shared" si="54"/>
        <v>11.52135131762725</v>
      </c>
      <c r="AH178">
        <f t="shared" si="55"/>
        <v>1530.4786486823723</v>
      </c>
      <c r="AI178" s="5">
        <f t="shared" si="38"/>
        <v>0.64850843060959817</v>
      </c>
      <c r="AJ178" s="5">
        <f t="shared" si="39"/>
        <v>0</v>
      </c>
      <c r="AK178" s="5">
        <f t="shared" si="40"/>
        <v>0.65339036311347776</v>
      </c>
    </row>
    <row r="179" spans="1:37" hidden="1" x14ac:dyDescent="0.3">
      <c r="A179">
        <v>5131524</v>
      </c>
      <c r="B179" t="s">
        <v>32</v>
      </c>
      <c r="C179">
        <v>6.5</v>
      </c>
      <c r="D179">
        <v>11442.44242826841</v>
      </c>
      <c r="I179">
        <v>594.13901924131801</v>
      </c>
      <c r="J179">
        <v>646.95760117463806</v>
      </c>
      <c r="K179">
        <v>2238.679553520702</v>
      </c>
      <c r="L179">
        <v>2258.5160028167188</v>
      </c>
      <c r="M179">
        <v>0</v>
      </c>
      <c r="N179">
        <v>234.93695585545001</v>
      </c>
      <c r="O179">
        <v>5058.5510292963809</v>
      </c>
      <c r="P179" s="2">
        <v>44263.791666666657</v>
      </c>
      <c r="Q179" s="2">
        <v>44264.0625</v>
      </c>
      <c r="R179">
        <v>15574.84270424128</v>
      </c>
      <c r="S179">
        <v>8.680136681518702</v>
      </c>
      <c r="T179">
        <f t="shared" si="41"/>
        <v>1.2849529365930143</v>
      </c>
      <c r="U179">
        <f t="shared" si="42"/>
        <v>2261.9999999999995</v>
      </c>
      <c r="V179">
        <f t="shared" si="43"/>
        <v>0</v>
      </c>
      <c r="W179">
        <f t="shared" si="44"/>
        <v>0</v>
      </c>
      <c r="X179">
        <f t="shared" si="45"/>
        <v>0</v>
      </c>
      <c r="Y179">
        <f t="shared" si="46"/>
        <v>0</v>
      </c>
      <c r="Z179">
        <f t="shared" si="47"/>
        <v>117.45241192594231</v>
      </c>
      <c r="AA179">
        <f t="shared" si="48"/>
        <v>127.89385684315744</v>
      </c>
      <c r="AB179">
        <f t="shared" si="49"/>
        <v>442.55351790571757</v>
      </c>
      <c r="AC179">
        <f t="shared" si="50"/>
        <v>446.47488771717843</v>
      </c>
      <c r="AD179">
        <f t="shared" si="51"/>
        <v>0</v>
      </c>
      <c r="AE179">
        <f t="shared" si="52"/>
        <v>46.443527898566749</v>
      </c>
      <c r="AF179">
        <f t="shared" si="53"/>
        <v>999.99999999999989</v>
      </c>
      <c r="AG179">
        <f t="shared" si="54"/>
        <v>-816.91382612140296</v>
      </c>
      <c r="AH179">
        <f t="shared" si="55"/>
        <v>3078.9138261214025</v>
      </c>
      <c r="AI179" s="5">
        <f t="shared" si="38"/>
        <v>0.44208664898320083</v>
      </c>
      <c r="AJ179" s="5">
        <f t="shared" si="39"/>
        <v>0</v>
      </c>
      <c r="AK179" s="5">
        <f t="shared" si="40"/>
        <v>0.32478986307315039</v>
      </c>
    </row>
    <row r="180" spans="1:37" hidden="1" x14ac:dyDescent="0.3">
      <c r="A180">
        <v>5131526</v>
      </c>
      <c r="B180" t="s">
        <v>38</v>
      </c>
      <c r="C180">
        <v>27.666666666666671</v>
      </c>
      <c r="D180">
        <v>70724.598579284808</v>
      </c>
      <c r="I180">
        <v>5274.7176456933503</v>
      </c>
      <c r="J180">
        <v>5300.7382083506991</v>
      </c>
      <c r="K180">
        <v>3329.7988736565412</v>
      </c>
      <c r="L180">
        <v>3248.8830420193649</v>
      </c>
      <c r="M180">
        <v>20587.012615007039</v>
      </c>
      <c r="N180">
        <v>11644.588282160559</v>
      </c>
      <c r="O180">
        <v>30789.98632097727</v>
      </c>
      <c r="P180" s="2">
        <v>44264.0625</v>
      </c>
      <c r="Q180" s="2">
        <v>44265.208333333343</v>
      </c>
      <c r="R180">
        <v>70519.896081015031</v>
      </c>
      <c r="S180">
        <v>9.2602810041966741</v>
      </c>
      <c r="T180">
        <f t="shared" si="41"/>
        <v>0.89856053777514422</v>
      </c>
      <c r="U180">
        <f t="shared" si="42"/>
        <v>2297.0000000000005</v>
      </c>
      <c r="V180">
        <f t="shared" si="43"/>
        <v>0</v>
      </c>
      <c r="W180">
        <f t="shared" si="44"/>
        <v>0</v>
      </c>
      <c r="X180">
        <f t="shared" si="45"/>
        <v>0</v>
      </c>
      <c r="Y180">
        <f t="shared" si="46"/>
        <v>0</v>
      </c>
      <c r="Z180">
        <f t="shared" si="47"/>
        <v>171.31276352986478</v>
      </c>
      <c r="AA180">
        <f t="shared" si="48"/>
        <v>172.15786175063343</v>
      </c>
      <c r="AB180">
        <f t="shared" si="49"/>
        <v>108.14551325045387</v>
      </c>
      <c r="AC180">
        <f t="shared" si="50"/>
        <v>105.51752144839035</v>
      </c>
      <c r="AD180">
        <f t="shared" si="51"/>
        <v>668.62688409124337</v>
      </c>
      <c r="AE180">
        <f t="shared" si="52"/>
        <v>378.1940063489759</v>
      </c>
      <c r="AF180">
        <f t="shared" si="53"/>
        <v>1000</v>
      </c>
      <c r="AG180">
        <f t="shared" si="54"/>
        <v>6.6483465155133672</v>
      </c>
      <c r="AH180">
        <f t="shared" si="55"/>
        <v>2290.3516534844871</v>
      </c>
      <c r="AI180" s="5">
        <f t="shared" si="38"/>
        <v>0.43535045711797987</v>
      </c>
      <c r="AJ180" s="5">
        <f t="shared" si="39"/>
        <v>0</v>
      </c>
      <c r="AK180" s="5">
        <f t="shared" si="40"/>
        <v>0.43661417602778313</v>
      </c>
    </row>
    <row r="181" spans="1:37" hidden="1" x14ac:dyDescent="0.3">
      <c r="A181">
        <v>5133442</v>
      </c>
      <c r="B181" t="s">
        <v>32</v>
      </c>
      <c r="C181">
        <v>18.083333333333329</v>
      </c>
      <c r="D181">
        <v>48155.814110395717</v>
      </c>
      <c r="I181">
        <v>3383.368436684726</v>
      </c>
      <c r="J181">
        <v>3502.2824321075282</v>
      </c>
      <c r="K181">
        <v>1396.433287265625</v>
      </c>
      <c r="L181">
        <v>1418.101643576214</v>
      </c>
      <c r="M181">
        <v>10533.31565990952</v>
      </c>
      <c r="N181">
        <v>7572.865565832135</v>
      </c>
      <c r="O181">
        <v>21289.04248912277</v>
      </c>
      <c r="P181" s="2">
        <v>44265.208333333343</v>
      </c>
      <c r="Q181" s="2">
        <v>44265.961805555547</v>
      </c>
      <c r="R181">
        <v>50545.294248422877</v>
      </c>
      <c r="S181">
        <v>8.4884092713595223</v>
      </c>
      <c r="T181">
        <f t="shared" si="41"/>
        <v>0.84941975866564512</v>
      </c>
      <c r="U181">
        <f t="shared" si="42"/>
        <v>2262.0000000000005</v>
      </c>
      <c r="V181">
        <f t="shared" si="43"/>
        <v>0</v>
      </c>
      <c r="W181">
        <f t="shared" si="44"/>
        <v>0</v>
      </c>
      <c r="X181">
        <f t="shared" si="45"/>
        <v>0</v>
      </c>
      <c r="Y181">
        <f t="shared" si="46"/>
        <v>0</v>
      </c>
      <c r="Z181">
        <f t="shared" si="47"/>
        <v>158.92534567552266</v>
      </c>
      <c r="AA181">
        <f t="shared" si="48"/>
        <v>164.511035848463</v>
      </c>
      <c r="AB181">
        <f t="shared" si="49"/>
        <v>65.593992213558025</v>
      </c>
      <c r="AC181">
        <f t="shared" si="50"/>
        <v>66.611809540084579</v>
      </c>
      <c r="AD181">
        <f t="shared" si="51"/>
        <v>494.77639331554326</v>
      </c>
      <c r="AE181">
        <f t="shared" si="52"/>
        <v>355.71658846100507</v>
      </c>
      <c r="AF181">
        <f t="shared" si="53"/>
        <v>1000</v>
      </c>
      <c r="AG181">
        <f t="shared" si="54"/>
        <v>-112.23990647996607</v>
      </c>
      <c r="AH181">
        <f t="shared" si="55"/>
        <v>2374.2399064799665</v>
      </c>
      <c r="AI181" s="5">
        <f t="shared" si="38"/>
        <v>0.4420866489832006</v>
      </c>
      <c r="AJ181" s="5">
        <f t="shared" si="39"/>
        <v>0</v>
      </c>
      <c r="AK181" s="5">
        <f t="shared" si="40"/>
        <v>0.42118742814098931</v>
      </c>
    </row>
    <row r="182" spans="1:37" hidden="1" x14ac:dyDescent="0.3">
      <c r="A182">
        <v>5134112</v>
      </c>
      <c r="B182" t="s">
        <v>38</v>
      </c>
      <c r="C182">
        <v>60.250000000000007</v>
      </c>
      <c r="D182">
        <v>114698.8038307926</v>
      </c>
      <c r="I182">
        <v>-15681.07253240818</v>
      </c>
      <c r="J182">
        <v>11873.50837771738</v>
      </c>
      <c r="K182">
        <v>2379.1699448408599</v>
      </c>
      <c r="L182">
        <v>2372.300682150033</v>
      </c>
      <c r="M182">
        <v>34428.868607526623</v>
      </c>
      <c r="N182">
        <v>19124.714883729579</v>
      </c>
      <c r="O182">
        <v>49934.176678621086</v>
      </c>
      <c r="P182" s="2">
        <v>44265.96875</v>
      </c>
      <c r="Q182" s="2">
        <v>44268.472222222219</v>
      </c>
      <c r="R182">
        <v>137980.35446768921</v>
      </c>
      <c r="S182">
        <v>9.131969805420276</v>
      </c>
      <c r="T182">
        <f t="shared" si="41"/>
        <v>1.206588433164165</v>
      </c>
      <c r="U182">
        <f t="shared" si="42"/>
        <v>2296.9999999999995</v>
      </c>
      <c r="V182">
        <f t="shared" si="43"/>
        <v>0</v>
      </c>
      <c r="W182">
        <f t="shared" si="44"/>
        <v>0</v>
      </c>
      <c r="X182">
        <f t="shared" si="45"/>
        <v>0</v>
      </c>
      <c r="Y182">
        <f t="shared" si="46"/>
        <v>0</v>
      </c>
      <c r="Z182">
        <f t="shared" si="47"/>
        <v>-314.0348670076682</v>
      </c>
      <c r="AA182">
        <f t="shared" si="48"/>
        <v>237.78320115571123</v>
      </c>
      <c r="AB182">
        <f t="shared" si="49"/>
        <v>47.646123418702174</v>
      </c>
      <c r="AC182">
        <f t="shared" si="50"/>
        <v>47.508557063397305</v>
      </c>
      <c r="AD182">
        <f t="shared" si="51"/>
        <v>689.48505607917764</v>
      </c>
      <c r="AE182">
        <f t="shared" si="52"/>
        <v>382.99850234474121</v>
      </c>
      <c r="AF182">
        <f t="shared" si="53"/>
        <v>999.99999999999989</v>
      </c>
      <c r="AG182">
        <f t="shared" si="54"/>
        <v>-466.24480837519059</v>
      </c>
      <c r="AH182">
        <f t="shared" si="55"/>
        <v>2763.2448083751901</v>
      </c>
      <c r="AI182" s="5">
        <f t="shared" si="38"/>
        <v>0.43535045711798009</v>
      </c>
      <c r="AJ182" s="5">
        <f t="shared" si="39"/>
        <v>0</v>
      </c>
      <c r="AK182" s="5">
        <f t="shared" si="40"/>
        <v>0.36189337874410338</v>
      </c>
    </row>
    <row r="183" spans="1:37" hidden="1" x14ac:dyDescent="0.3">
      <c r="A183">
        <v>5134751</v>
      </c>
      <c r="B183" t="s">
        <v>32</v>
      </c>
      <c r="C183">
        <v>67.083333333333329</v>
      </c>
      <c r="D183">
        <v>171420.32027646541</v>
      </c>
      <c r="I183">
        <v>-7928.4274311914614</v>
      </c>
      <c r="J183">
        <v>17433.074310143718</v>
      </c>
      <c r="K183">
        <v>0</v>
      </c>
      <c r="L183">
        <v>-183.78624550442169</v>
      </c>
      <c r="M183">
        <v>65431.541268754998</v>
      </c>
      <c r="N183">
        <v>37712.498579425963</v>
      </c>
      <c r="O183">
        <v>75782.634958649593</v>
      </c>
      <c r="P183" s="2">
        <v>44268.472222222219</v>
      </c>
      <c r="Q183" s="2">
        <v>44274.347222222219</v>
      </c>
      <c r="R183">
        <v>363908.06544647599</v>
      </c>
      <c r="S183">
        <v>9.0094373738347411</v>
      </c>
      <c r="T183">
        <f t="shared" si="41"/>
        <v>0.88520718987848612</v>
      </c>
      <c r="U183">
        <f t="shared" si="42"/>
        <v>2262.0000000000005</v>
      </c>
      <c r="V183">
        <f t="shared" si="43"/>
        <v>0</v>
      </c>
      <c r="W183">
        <f t="shared" si="44"/>
        <v>0</v>
      </c>
      <c r="X183">
        <f t="shared" si="45"/>
        <v>0</v>
      </c>
      <c r="Y183">
        <f t="shared" si="46"/>
        <v>0</v>
      </c>
      <c r="Z183">
        <f t="shared" si="47"/>
        <v>-104.62063552577141</v>
      </c>
      <c r="AA183">
        <f t="shared" si="48"/>
        <v>230.0404877668345</v>
      </c>
      <c r="AB183">
        <f t="shared" si="49"/>
        <v>0</v>
      </c>
      <c r="AC183">
        <f t="shared" si="50"/>
        <v>-2.4251762373359504</v>
      </c>
      <c r="AD183">
        <f t="shared" si="51"/>
        <v>863.41074448595487</v>
      </c>
      <c r="AE183">
        <f t="shared" si="52"/>
        <v>497.64037104283312</v>
      </c>
      <c r="AF183">
        <f t="shared" si="53"/>
        <v>1000</v>
      </c>
      <c r="AG183">
        <f t="shared" si="54"/>
        <v>-2539.9980519948999</v>
      </c>
      <c r="AH183">
        <f t="shared" si="55"/>
        <v>4801.9980519949004</v>
      </c>
      <c r="AI183" s="5">
        <f t="shared" si="38"/>
        <v>0.4420866489832006</v>
      </c>
      <c r="AJ183" s="5">
        <f t="shared" si="39"/>
        <v>0</v>
      </c>
      <c r="AK183" s="5">
        <f t="shared" si="40"/>
        <v>0.2082466484101485</v>
      </c>
    </row>
    <row r="184" spans="1:37" hidden="1" x14ac:dyDescent="0.3">
      <c r="A184">
        <v>5135632</v>
      </c>
      <c r="B184" t="s">
        <v>42</v>
      </c>
      <c r="C184">
        <v>29</v>
      </c>
      <c r="D184">
        <v>71050.85595253318</v>
      </c>
      <c r="I184">
        <v>10528.492001827961</v>
      </c>
      <c r="J184">
        <v>8592.6062890019166</v>
      </c>
      <c r="K184">
        <v>2443.4527798663848</v>
      </c>
      <c r="L184">
        <v>1878.49854859833</v>
      </c>
      <c r="M184">
        <v>19469.73049859043</v>
      </c>
      <c r="N184">
        <v>12669.013318112169</v>
      </c>
      <c r="O184">
        <v>31410.634815443489</v>
      </c>
      <c r="P184" s="2">
        <v>44269.052083333343</v>
      </c>
      <c r="Q184" s="2">
        <v>44270.4375</v>
      </c>
      <c r="R184">
        <v>88234.058830449023</v>
      </c>
      <c r="S184">
        <v>8.8926720133363713</v>
      </c>
      <c r="T184">
        <f t="shared" si="41"/>
        <v>0.92325418350799249</v>
      </c>
      <c r="U184">
        <f t="shared" si="42"/>
        <v>2262.0000000000005</v>
      </c>
      <c r="V184">
        <f t="shared" si="43"/>
        <v>0</v>
      </c>
      <c r="W184">
        <f t="shared" si="44"/>
        <v>0</v>
      </c>
      <c r="X184">
        <f t="shared" si="45"/>
        <v>0</v>
      </c>
      <c r="Y184">
        <f t="shared" si="46"/>
        <v>0</v>
      </c>
      <c r="Z184">
        <f t="shared" si="47"/>
        <v>335.18876850752082</v>
      </c>
      <c r="AA184">
        <f t="shared" si="48"/>
        <v>273.55723115717609</v>
      </c>
      <c r="AB184">
        <f t="shared" si="49"/>
        <v>77.790620731581853</v>
      </c>
      <c r="AC184">
        <f t="shared" si="50"/>
        <v>59.804539438175865</v>
      </c>
      <c r="AD184">
        <f t="shared" si="51"/>
        <v>619.84517705506084</v>
      </c>
      <c r="AE184">
        <f t="shared" si="52"/>
        <v>403.33515678846663</v>
      </c>
      <c r="AF184">
        <f t="shared" si="53"/>
        <v>1000</v>
      </c>
      <c r="AG184">
        <f t="shared" si="54"/>
        <v>-547.05048079663356</v>
      </c>
      <c r="AH184">
        <f t="shared" si="55"/>
        <v>2809.050480796634</v>
      </c>
      <c r="AI184" s="5">
        <f t="shared" si="38"/>
        <v>0.44208664898320066</v>
      </c>
      <c r="AJ184" s="5">
        <f t="shared" si="39"/>
        <v>0</v>
      </c>
      <c r="AK184" s="5">
        <f t="shared" si="40"/>
        <v>0.35599217843760661</v>
      </c>
    </row>
    <row r="185" spans="1:37" hidden="1" x14ac:dyDescent="0.3">
      <c r="A185">
        <v>5136947</v>
      </c>
      <c r="B185" t="s">
        <v>42</v>
      </c>
      <c r="C185">
        <v>24.583333333333329</v>
      </c>
      <c r="D185">
        <v>63227.966587464303</v>
      </c>
      <c r="I185">
        <v>3964.6435783621819</v>
      </c>
      <c r="J185">
        <v>7394.8565725583303</v>
      </c>
      <c r="K185">
        <v>0</v>
      </c>
      <c r="L185">
        <v>47.525757936519142</v>
      </c>
      <c r="M185">
        <v>25876.875739825278</v>
      </c>
      <c r="N185">
        <v>14569.08315224575</v>
      </c>
      <c r="O185">
        <v>27952.239870673871</v>
      </c>
      <c r="P185" s="2">
        <v>44270.975694444453</v>
      </c>
      <c r="Q185" s="2">
        <v>44272.78125</v>
      </c>
      <c r="R185">
        <v>112761.97308373421</v>
      </c>
      <c r="S185">
        <v>8.6979810567058937</v>
      </c>
      <c r="T185">
        <f t="shared" si="41"/>
        <v>0.87947632987812774</v>
      </c>
      <c r="U185">
        <f t="shared" si="42"/>
        <v>2262</v>
      </c>
      <c r="V185">
        <f t="shared" si="43"/>
        <v>0</v>
      </c>
      <c r="W185">
        <f t="shared" si="44"/>
        <v>0</v>
      </c>
      <c r="X185">
        <f t="shared" si="45"/>
        <v>0</v>
      </c>
      <c r="Y185">
        <f t="shared" si="46"/>
        <v>0</v>
      </c>
      <c r="Z185">
        <f t="shared" si="47"/>
        <v>141.83634645042142</v>
      </c>
      <c r="AA185">
        <f t="shared" si="48"/>
        <v>264.5532739691696</v>
      </c>
      <c r="AB185">
        <f t="shared" si="49"/>
        <v>0</v>
      </c>
      <c r="AC185">
        <f t="shared" si="50"/>
        <v>1.7002486439872337</v>
      </c>
      <c r="AD185">
        <f t="shared" si="51"/>
        <v>925.75320831351462</v>
      </c>
      <c r="AE185">
        <f t="shared" si="52"/>
        <v>521.21344191564856</v>
      </c>
      <c r="AF185">
        <f t="shared" si="53"/>
        <v>1000</v>
      </c>
      <c r="AG185">
        <f t="shared" si="54"/>
        <v>-1772.0943554236801</v>
      </c>
      <c r="AH185">
        <f t="shared" si="55"/>
        <v>4034.0943554236801</v>
      </c>
      <c r="AI185" s="5">
        <f t="shared" si="38"/>
        <v>0.44208664898320066</v>
      </c>
      <c r="AJ185" s="5">
        <f t="shared" si="39"/>
        <v>0</v>
      </c>
      <c r="AK185" s="5">
        <f t="shared" si="40"/>
        <v>0.24788711217315468</v>
      </c>
    </row>
    <row r="186" spans="1:37" hidden="1" x14ac:dyDescent="0.3">
      <c r="A186">
        <v>5136945</v>
      </c>
      <c r="B186" t="s">
        <v>41</v>
      </c>
      <c r="C186">
        <v>12.58333333333333</v>
      </c>
      <c r="D186">
        <v>33532.271518148453</v>
      </c>
      <c r="I186">
        <v>5038.9580858592926</v>
      </c>
      <c r="J186">
        <v>3412.5604983131439</v>
      </c>
      <c r="K186">
        <v>0</v>
      </c>
      <c r="L186">
        <v>-26.806683573710188</v>
      </c>
      <c r="M186">
        <v>11566.45544091496</v>
      </c>
      <c r="N186">
        <v>7283.7819081992802</v>
      </c>
      <c r="O186">
        <v>14824.16954825307</v>
      </c>
      <c r="P186" s="2">
        <v>44271.322916666657</v>
      </c>
      <c r="Q186" s="2">
        <v>44271.847222222219</v>
      </c>
      <c r="R186">
        <v>33532.343459820797</v>
      </c>
      <c r="S186">
        <v>8.6353674845016872</v>
      </c>
      <c r="T186">
        <f t="shared" si="41"/>
        <v>0.84883900527272316</v>
      </c>
      <c r="U186">
        <f t="shared" si="42"/>
        <v>2262.0000000000005</v>
      </c>
      <c r="V186">
        <f t="shared" si="43"/>
        <v>0</v>
      </c>
      <c r="W186">
        <f t="shared" si="44"/>
        <v>0</v>
      </c>
      <c r="X186">
        <f t="shared" si="45"/>
        <v>0</v>
      </c>
      <c r="Y186">
        <f t="shared" si="46"/>
        <v>0</v>
      </c>
      <c r="Z186">
        <f t="shared" si="47"/>
        <v>339.91503331484091</v>
      </c>
      <c r="AA186">
        <f t="shared" si="48"/>
        <v>230.20247354869815</v>
      </c>
      <c r="AB186">
        <f t="shared" si="49"/>
        <v>0</v>
      </c>
      <c r="AC186">
        <f t="shared" si="50"/>
        <v>-1.8083092942544747</v>
      </c>
      <c r="AD186">
        <f t="shared" si="51"/>
        <v>780.24306206602921</v>
      </c>
      <c r="AE186">
        <f t="shared" si="52"/>
        <v>491.34502168842408</v>
      </c>
      <c r="AF186">
        <f t="shared" si="53"/>
        <v>1000</v>
      </c>
      <c r="AG186">
        <f t="shared" si="54"/>
        <v>-4.8529984837841766E-3</v>
      </c>
      <c r="AH186">
        <f t="shared" si="55"/>
        <v>2262.0048529984842</v>
      </c>
      <c r="AI186" s="5">
        <f t="shared" si="38"/>
        <v>0.4420866489832006</v>
      </c>
      <c r="AJ186" s="5">
        <f t="shared" si="39"/>
        <v>0</v>
      </c>
      <c r="AK186" s="5">
        <f t="shared" si="40"/>
        <v>0.44208570051227469</v>
      </c>
    </row>
    <row r="187" spans="1:37" hidden="1" x14ac:dyDescent="0.3">
      <c r="A187">
        <v>5140104</v>
      </c>
      <c r="B187" t="s">
        <v>32</v>
      </c>
      <c r="C187">
        <v>53</v>
      </c>
      <c r="D187">
        <v>133712.95329101809</v>
      </c>
      <c r="I187">
        <v>12407.076409611969</v>
      </c>
      <c r="J187">
        <v>14358.792416113611</v>
      </c>
      <c r="K187">
        <v>3062.797247640568</v>
      </c>
      <c r="L187">
        <v>2913.3473257076262</v>
      </c>
      <c r="M187">
        <v>41872.385106037669</v>
      </c>
      <c r="N187">
        <v>25784.55587429256</v>
      </c>
      <c r="O187">
        <v>59112.71144607343</v>
      </c>
      <c r="P187" s="2">
        <v>44274.930555555547</v>
      </c>
      <c r="Q187" s="2">
        <v>44277.961805555547</v>
      </c>
      <c r="R187">
        <v>183625.00779336941</v>
      </c>
      <c r="S187">
        <v>8.588784554596538</v>
      </c>
      <c r="T187">
        <f t="shared" si="41"/>
        <v>0.89659226760982103</v>
      </c>
      <c r="U187">
        <f t="shared" si="42"/>
        <v>2261.9999999999995</v>
      </c>
      <c r="V187">
        <f t="shared" si="43"/>
        <v>0</v>
      </c>
      <c r="W187">
        <f t="shared" si="44"/>
        <v>0</v>
      </c>
      <c r="X187">
        <f t="shared" si="45"/>
        <v>0</v>
      </c>
      <c r="Y187">
        <f t="shared" si="46"/>
        <v>0</v>
      </c>
      <c r="Z187">
        <f t="shared" si="47"/>
        <v>209.88846740570398</v>
      </c>
      <c r="AA187">
        <f t="shared" si="48"/>
        <v>242.90532551890573</v>
      </c>
      <c r="AB187">
        <f t="shared" si="49"/>
        <v>51.812836405493876</v>
      </c>
      <c r="AC187">
        <f t="shared" si="50"/>
        <v>49.284616699834118</v>
      </c>
      <c r="AD187">
        <f t="shared" si="51"/>
        <v>708.34823985762284</v>
      </c>
      <c r="AE187">
        <f t="shared" si="52"/>
        <v>436.19308340837921</v>
      </c>
      <c r="AF187">
        <f t="shared" si="53"/>
        <v>1000</v>
      </c>
      <c r="AG187">
        <f t="shared" si="54"/>
        <v>-844.35400240241825</v>
      </c>
      <c r="AH187">
        <f t="shared" si="55"/>
        <v>3106.3540024024178</v>
      </c>
      <c r="AI187" s="5">
        <f t="shared" si="38"/>
        <v>0.44208664898320077</v>
      </c>
      <c r="AJ187" s="5">
        <f t="shared" si="39"/>
        <v>0</v>
      </c>
      <c r="AK187" s="5">
        <f t="shared" si="40"/>
        <v>0.32192081109448945</v>
      </c>
    </row>
    <row r="188" spans="1:37" hidden="1" x14ac:dyDescent="0.3">
      <c r="A188">
        <v>5139332</v>
      </c>
      <c r="B188" t="s">
        <v>41</v>
      </c>
      <c r="C188">
        <v>14</v>
      </c>
      <c r="D188">
        <v>35319.054550193527</v>
      </c>
      <c r="I188">
        <v>3877.81579867044</v>
      </c>
      <c r="J188">
        <v>3970.9312234340268</v>
      </c>
      <c r="K188">
        <v>0</v>
      </c>
      <c r="L188">
        <v>66.610437826163604</v>
      </c>
      <c r="M188">
        <v>14249.3320310952</v>
      </c>
      <c r="N188">
        <v>7734.2871740930013</v>
      </c>
      <c r="O188">
        <v>15614.08247134993</v>
      </c>
      <c r="P188" s="2">
        <v>44274.416666666657</v>
      </c>
      <c r="Q188" s="2">
        <v>44275</v>
      </c>
      <c r="R188">
        <v>35312.573735791608</v>
      </c>
      <c r="S188">
        <v>9.0393620055832269</v>
      </c>
      <c r="T188">
        <f t="shared" si="41"/>
        <v>0.89662649250690285</v>
      </c>
      <c r="U188">
        <f t="shared" si="42"/>
        <v>2261.9999999999991</v>
      </c>
      <c r="V188">
        <f t="shared" si="43"/>
        <v>0</v>
      </c>
      <c r="W188">
        <f t="shared" si="44"/>
        <v>0</v>
      </c>
      <c r="X188">
        <f t="shared" si="45"/>
        <v>0</v>
      </c>
      <c r="Y188">
        <f t="shared" si="46"/>
        <v>0</v>
      </c>
      <c r="Z188">
        <f t="shared" si="47"/>
        <v>248.35374129640931</v>
      </c>
      <c r="AA188">
        <f t="shared" si="48"/>
        <v>254.31729534669969</v>
      </c>
      <c r="AB188">
        <f t="shared" si="49"/>
        <v>0</v>
      </c>
      <c r="AC188">
        <f t="shared" si="50"/>
        <v>4.2660488023158711</v>
      </c>
      <c r="AD188">
        <f t="shared" si="51"/>
        <v>912.59489997193941</v>
      </c>
      <c r="AE188">
        <f t="shared" si="52"/>
        <v>495.34048435343806</v>
      </c>
      <c r="AF188">
        <f t="shared" si="53"/>
        <v>1000</v>
      </c>
      <c r="AG188">
        <f t="shared" si="54"/>
        <v>0.41506213469847353</v>
      </c>
      <c r="AH188">
        <f t="shared" si="55"/>
        <v>2261.5849378653006</v>
      </c>
      <c r="AI188" s="5">
        <f t="shared" si="38"/>
        <v>0.44208664898320088</v>
      </c>
      <c r="AJ188" s="5">
        <f t="shared" si="39"/>
        <v>0</v>
      </c>
      <c r="AK188" s="5">
        <f t="shared" si="40"/>
        <v>0.44216778386572353</v>
      </c>
    </row>
    <row r="189" spans="1:37" hidden="1" x14ac:dyDescent="0.3">
      <c r="A189">
        <v>5140106</v>
      </c>
      <c r="B189" t="s">
        <v>42</v>
      </c>
      <c r="C189">
        <v>19.75</v>
      </c>
      <c r="D189">
        <v>49881.269372245173</v>
      </c>
      <c r="I189">
        <v>5652.4185296548203</v>
      </c>
      <c r="J189">
        <v>5760.2983943460877</v>
      </c>
      <c r="K189">
        <v>2415.743351394844</v>
      </c>
      <c r="L189">
        <v>2602.3394318371661</v>
      </c>
      <c r="M189">
        <v>11714.327113257081</v>
      </c>
      <c r="N189">
        <v>8364.2291914541456</v>
      </c>
      <c r="O189">
        <v>22051.84322380423</v>
      </c>
      <c r="P189" s="2">
        <v>44275.291666666657</v>
      </c>
      <c r="Q189" s="2">
        <v>44276.618055555547</v>
      </c>
      <c r="R189">
        <v>80368.978502947299</v>
      </c>
      <c r="S189">
        <v>8.8571133960302539</v>
      </c>
      <c r="T189">
        <f t="shared" si="41"/>
        <v>0.89561674276191716</v>
      </c>
      <c r="U189">
        <f t="shared" si="42"/>
        <v>2262</v>
      </c>
      <c r="V189">
        <f t="shared" si="43"/>
        <v>0</v>
      </c>
      <c r="W189">
        <f t="shared" si="44"/>
        <v>0</v>
      </c>
      <c r="X189">
        <f t="shared" si="45"/>
        <v>0</v>
      </c>
      <c r="Y189">
        <f t="shared" si="46"/>
        <v>0</v>
      </c>
      <c r="Z189">
        <f t="shared" si="47"/>
        <v>256.32408467121803</v>
      </c>
      <c r="AA189">
        <f t="shared" si="48"/>
        <v>261.21618659650352</v>
      </c>
      <c r="AB189">
        <f t="shared" si="49"/>
        <v>109.54836413797508</v>
      </c>
      <c r="AC189">
        <f t="shared" si="50"/>
        <v>118.01006407609626</v>
      </c>
      <c r="AD189">
        <f t="shared" si="51"/>
        <v>531.21759457331234</v>
      </c>
      <c r="AE189">
        <f t="shared" si="52"/>
        <v>379.29841540072437</v>
      </c>
      <c r="AF189">
        <f t="shared" si="53"/>
        <v>999.99999999999989</v>
      </c>
      <c r="AG189">
        <f t="shared" si="54"/>
        <v>-1382.5469744765674</v>
      </c>
      <c r="AH189">
        <f t="shared" si="55"/>
        <v>3644.5469744765674</v>
      </c>
      <c r="AI189" s="5">
        <f t="shared" si="38"/>
        <v>0.44208664898320066</v>
      </c>
      <c r="AJ189" s="5">
        <f t="shared" si="39"/>
        <v>0</v>
      </c>
      <c r="AK189" s="5">
        <f t="shared" si="40"/>
        <v>0.2743825246328786</v>
      </c>
    </row>
    <row r="190" spans="1:37" hidden="1" x14ac:dyDescent="0.3">
      <c r="A190">
        <v>5141346</v>
      </c>
      <c r="B190" t="s">
        <v>33</v>
      </c>
      <c r="C190">
        <v>57.083333333333343</v>
      </c>
      <c r="D190">
        <v>136192.08528092169</v>
      </c>
      <c r="I190">
        <v>12181.94746468618</v>
      </c>
      <c r="J190">
        <v>18329.419347934028</v>
      </c>
      <c r="K190">
        <v>129</v>
      </c>
      <c r="L190">
        <v>374.66675847100822</v>
      </c>
      <c r="M190">
        <v>67143.616437289573</v>
      </c>
      <c r="N190">
        <v>42213.18593237226</v>
      </c>
      <c r="O190">
        <v>60208.702599876968</v>
      </c>
      <c r="P190" s="2">
        <v>44277.958333333343</v>
      </c>
      <c r="Q190" s="2">
        <v>44282.534722222219</v>
      </c>
      <c r="R190">
        <v>285893.91924514389</v>
      </c>
      <c r="S190">
        <v>9.1817482400645307</v>
      </c>
      <c r="T190">
        <f t="shared" si="41"/>
        <v>0.94809107103148227</v>
      </c>
      <c r="U190">
        <f t="shared" si="42"/>
        <v>2262</v>
      </c>
      <c r="V190">
        <f t="shared" si="43"/>
        <v>0</v>
      </c>
      <c r="W190">
        <f t="shared" si="44"/>
        <v>0</v>
      </c>
      <c r="X190">
        <f t="shared" si="45"/>
        <v>0</v>
      </c>
      <c r="Y190">
        <f t="shared" si="46"/>
        <v>0</v>
      </c>
      <c r="Z190">
        <f t="shared" si="47"/>
        <v>202.32868237740556</v>
      </c>
      <c r="AA190">
        <f t="shared" si="48"/>
        <v>304.43139540381799</v>
      </c>
      <c r="AB190">
        <f t="shared" si="49"/>
        <v>2.1425474130755244</v>
      </c>
      <c r="AC190">
        <f t="shared" si="50"/>
        <v>6.2228007296701628</v>
      </c>
      <c r="AD190">
        <f t="shared" si="51"/>
        <v>1115.1812535058141</v>
      </c>
      <c r="AE190">
        <f t="shared" si="52"/>
        <v>701.11435904713414</v>
      </c>
      <c r="AF190">
        <f t="shared" si="53"/>
        <v>1000</v>
      </c>
      <c r="AG190">
        <f t="shared" si="54"/>
        <v>-2486.3819929667125</v>
      </c>
      <c r="AH190">
        <f t="shared" si="55"/>
        <v>4748.3819929667125</v>
      </c>
      <c r="AI190" s="5">
        <f t="shared" si="38"/>
        <v>0.44208664898320077</v>
      </c>
      <c r="AJ190" s="5">
        <f t="shared" si="39"/>
        <v>0</v>
      </c>
      <c r="AK190" s="5">
        <f t="shared" si="40"/>
        <v>0.2105980524484333</v>
      </c>
    </row>
    <row r="191" spans="1:37" hidden="1" x14ac:dyDescent="0.3">
      <c r="A191">
        <v>5142521</v>
      </c>
      <c r="B191" t="s">
        <v>32</v>
      </c>
      <c r="C191">
        <v>27.083333333333339</v>
      </c>
      <c r="D191">
        <v>59207.505101868497</v>
      </c>
      <c r="I191">
        <v>-18908.176030742139</v>
      </c>
      <c r="J191">
        <v>8664.1246898378522</v>
      </c>
      <c r="K191">
        <v>748.36913485300954</v>
      </c>
      <c r="L191">
        <v>540.5489932022931</v>
      </c>
      <c r="M191">
        <v>32788.407126268517</v>
      </c>
      <c r="N191">
        <v>19918.045014879561</v>
      </c>
      <c r="O191">
        <v>26174.847525140802</v>
      </c>
      <c r="P191" s="2">
        <v>44278.875</v>
      </c>
      <c r="Q191" s="2">
        <v>44281.270833333343</v>
      </c>
      <c r="R191">
        <v>153302.33104552561</v>
      </c>
      <c r="S191">
        <v>9.0837221827144337</v>
      </c>
      <c r="T191">
        <f t="shared" si="41"/>
        <v>1.0347083514935451</v>
      </c>
      <c r="U191">
        <f t="shared" si="42"/>
        <v>2262</v>
      </c>
      <c r="V191">
        <f t="shared" si="43"/>
        <v>0</v>
      </c>
      <c r="W191">
        <f t="shared" si="44"/>
        <v>0</v>
      </c>
      <c r="X191">
        <f t="shared" si="45"/>
        <v>0</v>
      </c>
      <c r="Y191">
        <f t="shared" si="46"/>
        <v>0</v>
      </c>
      <c r="Z191">
        <f t="shared" si="47"/>
        <v>-722.37960555762311</v>
      </c>
      <c r="AA191">
        <f t="shared" si="48"/>
        <v>331.00955722916848</v>
      </c>
      <c r="AB191">
        <f t="shared" si="49"/>
        <v>28.591155464581213</v>
      </c>
      <c r="AC191">
        <f t="shared" si="50"/>
        <v>20.651466744289479</v>
      </c>
      <c r="AD191">
        <f t="shared" si="51"/>
        <v>1252.6685053189108</v>
      </c>
      <c r="AE191">
        <f t="shared" si="52"/>
        <v>760.96126236259397</v>
      </c>
      <c r="AF191">
        <f t="shared" si="53"/>
        <v>1000.0000000000001</v>
      </c>
      <c r="AG191">
        <f t="shared" si="54"/>
        <v>-3594.856697953237</v>
      </c>
      <c r="AH191">
        <f t="shared" si="55"/>
        <v>5856.856697953237</v>
      </c>
      <c r="AI191" s="5">
        <f t="shared" si="38"/>
        <v>0.44208664898320066</v>
      </c>
      <c r="AJ191" s="5">
        <f t="shared" si="39"/>
        <v>0</v>
      </c>
      <c r="AK191" s="5">
        <f t="shared" si="40"/>
        <v>0.17074004906923271</v>
      </c>
    </row>
    <row r="192" spans="1:37" hidden="1" x14ac:dyDescent="0.3">
      <c r="A192">
        <v>5144313</v>
      </c>
      <c r="B192" t="s">
        <v>38</v>
      </c>
      <c r="C192">
        <v>38.583333333333343</v>
      </c>
      <c r="D192">
        <v>90738.842213923286</v>
      </c>
      <c r="I192">
        <v>-37824.185251129209</v>
      </c>
      <c r="J192">
        <v>9325.9546466013362</v>
      </c>
      <c r="K192">
        <v>2038.3315885973821</v>
      </c>
      <c r="L192">
        <v>-48436.508584151197</v>
      </c>
      <c r="M192">
        <v>23761.255480179971</v>
      </c>
      <c r="N192">
        <v>11382.797147026309</v>
      </c>
      <c r="O192">
        <v>39503.196436187762</v>
      </c>
      <c r="P192" s="2">
        <v>44282.541666666657</v>
      </c>
      <c r="Q192" s="2">
        <v>44284.184027777781</v>
      </c>
      <c r="R192">
        <v>92659.330192975089</v>
      </c>
      <c r="S192">
        <v>9.2904162857171304</v>
      </c>
      <c r="T192">
        <f t="shared" si="41"/>
        <v>0.97671421085277654</v>
      </c>
      <c r="U192">
        <f t="shared" si="42"/>
        <v>2297</v>
      </c>
      <c r="V192">
        <f t="shared" si="43"/>
        <v>0</v>
      </c>
      <c r="W192">
        <f t="shared" si="44"/>
        <v>0</v>
      </c>
      <c r="X192">
        <f t="shared" si="45"/>
        <v>0</v>
      </c>
      <c r="Y192">
        <f t="shared" si="46"/>
        <v>0</v>
      </c>
      <c r="Z192">
        <f t="shared" si="47"/>
        <v>-957.49682718028214</v>
      </c>
      <c r="AA192">
        <f t="shared" si="48"/>
        <v>236.08101338498503</v>
      </c>
      <c r="AB192">
        <f t="shared" si="49"/>
        <v>51.599155827555364</v>
      </c>
      <c r="AC192">
        <f t="shared" si="50"/>
        <v>-1226.1415012932951</v>
      </c>
      <c r="AD192">
        <f t="shared" si="51"/>
        <v>601.50209663572832</v>
      </c>
      <c r="AE192">
        <f t="shared" si="52"/>
        <v>288.14876197205274</v>
      </c>
      <c r="AF192">
        <f t="shared" si="53"/>
        <v>999.99999999999989</v>
      </c>
      <c r="AG192">
        <f t="shared" si="54"/>
        <v>-48.616014710457421</v>
      </c>
      <c r="AH192">
        <f t="shared" si="55"/>
        <v>2345.6160147104574</v>
      </c>
      <c r="AI192" s="5">
        <f t="shared" si="38"/>
        <v>0.43535045711797998</v>
      </c>
      <c r="AJ192" s="5">
        <f t="shared" si="39"/>
        <v>0</v>
      </c>
      <c r="AK192" s="5">
        <f t="shared" si="40"/>
        <v>0.42632723929600208</v>
      </c>
    </row>
    <row r="193" spans="1:37" hidden="1" x14ac:dyDescent="0.3">
      <c r="A193" t="s">
        <v>21</v>
      </c>
      <c r="B193" t="s">
        <v>38</v>
      </c>
      <c r="C193">
        <v>45.25</v>
      </c>
      <c r="D193">
        <v>96272.536078681995</v>
      </c>
      <c r="I193">
        <v>14004.262171216271</v>
      </c>
      <c r="J193">
        <v>11550.464186754471</v>
      </c>
      <c r="K193">
        <v>8922.6774400376798</v>
      </c>
      <c r="L193">
        <v>-11696.35868993943</v>
      </c>
      <c r="M193">
        <v>19633.351504584429</v>
      </c>
      <c r="N193">
        <v>12240.475059888309</v>
      </c>
      <c r="O193">
        <v>42635.753947407167</v>
      </c>
      <c r="P193" s="2">
        <v>44284.208333333343</v>
      </c>
      <c r="Q193" s="2">
        <v>45154.711805555547</v>
      </c>
      <c r="R193">
        <v>44778120.993008807</v>
      </c>
      <c r="S193">
        <v>7.2083310624903723</v>
      </c>
      <c r="T193">
        <f t="shared" si="41"/>
        <v>1.0613158162001217</v>
      </c>
      <c r="U193">
        <f t="shared" si="42"/>
        <v>2258.0235404641335</v>
      </c>
      <c r="V193">
        <f t="shared" si="43"/>
        <v>0</v>
      </c>
      <c r="W193">
        <f t="shared" si="44"/>
        <v>0</v>
      </c>
      <c r="X193">
        <f t="shared" si="45"/>
        <v>0</v>
      </c>
      <c r="Y193">
        <f t="shared" si="46"/>
        <v>0</v>
      </c>
      <c r="Z193">
        <f t="shared" si="47"/>
        <v>328.4628715254118</v>
      </c>
      <c r="AA193">
        <f t="shared" si="48"/>
        <v>270.91028344432254</v>
      </c>
      <c r="AB193">
        <f t="shared" si="49"/>
        <v>209.27687712627628</v>
      </c>
      <c r="AC193">
        <f t="shared" si="50"/>
        <v>-274.33216507364534</v>
      </c>
      <c r="AD193">
        <f t="shared" si="51"/>
        <v>460.49030888026323</v>
      </c>
      <c r="AE193">
        <f t="shared" si="52"/>
        <v>287.09413875939435</v>
      </c>
      <c r="AF193">
        <f t="shared" si="53"/>
        <v>999.99999999999989</v>
      </c>
      <c r="AG193">
        <f t="shared" si="54"/>
        <v>-1047990.1097104297</v>
      </c>
      <c r="AH193">
        <f t="shared" si="55"/>
        <v>1050248.1332508938</v>
      </c>
      <c r="AI193" s="5">
        <f t="shared" si="38"/>
        <v>0.44286517925072266</v>
      </c>
      <c r="AJ193" s="5">
        <f t="shared" si="39"/>
        <v>0</v>
      </c>
      <c r="AK193" s="5">
        <f t="shared" si="40"/>
        <v>9.5215594138181624E-4</v>
      </c>
    </row>
    <row r="194" spans="1:37" hidden="1" x14ac:dyDescent="0.3">
      <c r="A194" t="s">
        <v>22</v>
      </c>
      <c r="B194" t="s">
        <v>39</v>
      </c>
      <c r="C194">
        <v>28.833333333333329</v>
      </c>
      <c r="D194">
        <v>53109.326342435823</v>
      </c>
      <c r="I194">
        <v>-8620.2031714884833</v>
      </c>
      <c r="J194">
        <v>6418.3757875281026</v>
      </c>
      <c r="K194">
        <v>10292.74090529662</v>
      </c>
      <c r="L194">
        <v>10370.294766703881</v>
      </c>
      <c r="M194">
        <v>5559.4769140730377</v>
      </c>
      <c r="N194">
        <v>9927.3587285554295</v>
      </c>
      <c r="O194">
        <v>23580.857128048159</v>
      </c>
      <c r="P194" s="2">
        <v>44284.291666666657</v>
      </c>
      <c r="Q194" s="2">
        <v>44920.659722222219</v>
      </c>
      <c r="R194">
        <v>31973766.435444731</v>
      </c>
      <c r="S194">
        <v>7.1418771435086974</v>
      </c>
      <c r="T194">
        <f t="shared" si="41"/>
        <v>1.2227432267098397</v>
      </c>
      <c r="U194">
        <f t="shared" si="42"/>
        <v>2252.2220483353481</v>
      </c>
      <c r="V194">
        <f t="shared" si="43"/>
        <v>0</v>
      </c>
      <c r="W194">
        <f t="shared" si="44"/>
        <v>0</v>
      </c>
      <c r="X194">
        <f t="shared" si="45"/>
        <v>0</v>
      </c>
      <c r="Y194">
        <f t="shared" si="46"/>
        <v>0</v>
      </c>
      <c r="Z194">
        <f t="shared" si="47"/>
        <v>-365.55936557688631</v>
      </c>
      <c r="AA194">
        <f t="shared" si="48"/>
        <v>272.18585620850018</v>
      </c>
      <c r="AB194">
        <f t="shared" si="49"/>
        <v>436.48714079412997</v>
      </c>
      <c r="AC194">
        <f t="shared" si="50"/>
        <v>439.77598907416194</v>
      </c>
      <c r="AD194">
        <f t="shared" si="51"/>
        <v>235.76229158609928</v>
      </c>
      <c r="AE194">
        <f t="shared" si="52"/>
        <v>420.99227668647256</v>
      </c>
      <c r="AF194">
        <f t="shared" si="53"/>
        <v>1000</v>
      </c>
      <c r="AG194">
        <f t="shared" si="54"/>
        <v>-1353668.2290964902</v>
      </c>
      <c r="AH194">
        <f t="shared" si="55"/>
        <v>1355920.4511448254</v>
      </c>
      <c r="AI194" s="5">
        <f t="shared" si="38"/>
        <v>0.44400595435921397</v>
      </c>
      <c r="AJ194" s="5">
        <f t="shared" si="39"/>
        <v>0</v>
      </c>
      <c r="AK194" s="5">
        <f t="shared" si="40"/>
        <v>7.3750639217491263E-4</v>
      </c>
    </row>
    <row r="195" spans="1:37" hidden="1" x14ac:dyDescent="0.3">
      <c r="A195">
        <v>5144317</v>
      </c>
      <c r="B195" t="s">
        <v>46</v>
      </c>
      <c r="C195">
        <v>38.25</v>
      </c>
      <c r="D195">
        <v>70656.854227991513</v>
      </c>
      <c r="I195">
        <v>12170.18458559636</v>
      </c>
      <c r="J195">
        <v>12185.98767970532</v>
      </c>
      <c r="K195">
        <v>250.4389040396342</v>
      </c>
      <c r="L195">
        <v>301.04908750857362</v>
      </c>
      <c r="M195">
        <v>39551.214006018417</v>
      </c>
      <c r="N195">
        <v>20472.168671132411</v>
      </c>
      <c r="O195">
        <v>30494.973771252258</v>
      </c>
      <c r="P195" s="2">
        <v>44284.3125</v>
      </c>
      <c r="Q195" s="2">
        <v>44285.899305555547</v>
      </c>
      <c r="R195">
        <v>70061.163231017606</v>
      </c>
      <c r="S195">
        <v>10.516093703701021</v>
      </c>
      <c r="T195">
        <f t="shared" si="41"/>
        <v>1.2543050630874271</v>
      </c>
      <c r="U195">
        <f t="shared" si="42"/>
        <v>2317.0000000000009</v>
      </c>
      <c r="V195">
        <f t="shared" si="43"/>
        <v>0</v>
      </c>
      <c r="W195">
        <f t="shared" si="44"/>
        <v>0</v>
      </c>
      <c r="X195">
        <f t="shared" si="45"/>
        <v>0</v>
      </c>
      <c r="Y195">
        <f t="shared" si="46"/>
        <v>0</v>
      </c>
      <c r="Z195">
        <f t="shared" si="47"/>
        <v>399.08821292606734</v>
      </c>
      <c r="AA195">
        <f t="shared" si="48"/>
        <v>399.60643255883377</v>
      </c>
      <c r="AB195">
        <f t="shared" si="49"/>
        <v>8.2124649759733188</v>
      </c>
      <c r="AC195">
        <f t="shared" si="50"/>
        <v>9.8720887503229751</v>
      </c>
      <c r="AD195">
        <f t="shared" si="51"/>
        <v>1296.9748491242683</v>
      </c>
      <c r="AE195">
        <f t="shared" si="52"/>
        <v>671.32927625048865</v>
      </c>
      <c r="AF195">
        <f t="shared" si="53"/>
        <v>1000</v>
      </c>
      <c r="AG195">
        <f t="shared" si="54"/>
        <v>19.534071465096986</v>
      </c>
      <c r="AH195">
        <f t="shared" si="55"/>
        <v>2297.4659285349039</v>
      </c>
      <c r="AI195" s="5">
        <f t="shared" ref="AI195:AI258" si="56">IFERROR(O195/D195,0)</f>
        <v>0.43159257660768219</v>
      </c>
      <c r="AJ195" s="5">
        <f t="shared" ref="AJ195:AJ258" si="57">IFERROR(O195/(E195+H195),0)</f>
        <v>0</v>
      </c>
      <c r="AK195" s="5">
        <f t="shared" ref="AK195:AK258" si="58">IFERROR(O195/R195,0)</f>
        <v>0.43526216758204589</v>
      </c>
    </row>
    <row r="196" spans="1:37" hidden="1" x14ac:dyDescent="0.3">
      <c r="A196">
        <v>5136949</v>
      </c>
      <c r="B196" t="s">
        <v>38</v>
      </c>
      <c r="C196">
        <v>6.75</v>
      </c>
      <c r="D196">
        <v>17353.350522990931</v>
      </c>
      <c r="I196">
        <v>1743.2048358123459</v>
      </c>
      <c r="J196">
        <v>1821.8353645690679</v>
      </c>
      <c r="K196">
        <v>0</v>
      </c>
      <c r="L196">
        <v>2.5967338737658001</v>
      </c>
      <c r="M196">
        <v>7869.136396804719</v>
      </c>
      <c r="N196">
        <v>6676.6235524814037</v>
      </c>
      <c r="O196">
        <v>7554.7890827126384</v>
      </c>
      <c r="P196" s="2">
        <v>44286.107638888891</v>
      </c>
      <c r="Q196" s="2">
        <v>44286.388888888891</v>
      </c>
      <c r="R196">
        <v>17353.995036886849</v>
      </c>
      <c r="S196">
        <v>8.8898087515011337</v>
      </c>
      <c r="T196">
        <f t="shared" ref="T196:T259" si="59">1000*C196/$O196</f>
        <v>0.89347299125078028</v>
      </c>
      <c r="U196">
        <f t="shared" ref="U196:U259" si="60">1000*D196/$O196</f>
        <v>2297</v>
      </c>
      <c r="V196">
        <f t="shared" ref="V196:V259" si="61">1000*E196/$O196</f>
        <v>0</v>
      </c>
      <c r="W196">
        <f t="shared" ref="W196:W259" si="62">1000*F196/$O196</f>
        <v>0</v>
      </c>
      <c r="X196">
        <f t="shared" ref="X196:X259" si="63">1000*G196/$O196</f>
        <v>0</v>
      </c>
      <c r="Y196">
        <f t="shared" ref="Y196:Y259" si="64">1000*H196/$O196</f>
        <v>0</v>
      </c>
      <c r="Z196">
        <f t="shared" ref="Z196:Z259" si="65">1000*I196/$O196</f>
        <v>230.7416946690492</v>
      </c>
      <c r="AA196">
        <f t="shared" ref="AA196:AA259" si="66">1000*J196/$O196</f>
        <v>241.14973225896014</v>
      </c>
      <c r="AB196">
        <f t="shared" ref="AB196:AB259" si="67">1000*K196/$O196</f>
        <v>0</v>
      </c>
      <c r="AC196">
        <f t="shared" ref="AC196:AC259" si="68">1000*L196/$O196</f>
        <v>0.34372023432233417</v>
      </c>
      <c r="AD196">
        <f t="shared" ref="AD196:AD259" si="69">1000*M196/$O196</f>
        <v>1041.6090125945925</v>
      </c>
      <c r="AE196">
        <f t="shared" ref="AE196:AE259" si="70">1000*N196/$O196</f>
        <v>883.7604173171809</v>
      </c>
      <c r="AF196">
        <f t="shared" ref="AF196:AF259" si="71">1000*O196/$O196</f>
        <v>1000</v>
      </c>
      <c r="AG196">
        <f t="shared" ref="AG196:AG259" si="72">U196-AH196</f>
        <v>-8.5311964220636582E-2</v>
      </c>
      <c r="AH196">
        <f t="shared" ref="AH196:AH259" si="73">1000*R196/O196</f>
        <v>2297.0853119642206</v>
      </c>
      <c r="AI196" s="5">
        <f t="shared" si="56"/>
        <v>0.43535045711797993</v>
      </c>
      <c r="AJ196" s="5">
        <f t="shared" si="57"/>
        <v>0</v>
      </c>
      <c r="AK196" s="5">
        <f t="shared" si="58"/>
        <v>0.43533428854016198</v>
      </c>
    </row>
    <row r="197" spans="1:37" hidden="1" x14ac:dyDescent="0.3">
      <c r="A197">
        <v>5144315</v>
      </c>
      <c r="B197" t="s">
        <v>49</v>
      </c>
      <c r="C197">
        <v>4.833333333333333</v>
      </c>
      <c r="D197">
        <v>8895.9322837173495</v>
      </c>
      <c r="I197">
        <v>1236.1662287489321</v>
      </c>
      <c r="J197">
        <v>1195.206196108787</v>
      </c>
      <c r="K197">
        <v>0</v>
      </c>
      <c r="L197">
        <v>3.3712026723264898</v>
      </c>
      <c r="M197">
        <v>5645.2747615488479</v>
      </c>
      <c r="N197">
        <v>2866.475592061232</v>
      </c>
      <c r="O197">
        <v>3839.4183356570338</v>
      </c>
      <c r="P197" s="2">
        <v>44285.909722222219</v>
      </c>
      <c r="Q197" s="2">
        <v>44286.111111111109</v>
      </c>
      <c r="R197">
        <v>8953.4691777661319</v>
      </c>
      <c r="S197">
        <v>8.9685550372202201</v>
      </c>
      <c r="T197">
        <f t="shared" si="59"/>
        <v>1.2588712431895526</v>
      </c>
      <c r="U197">
        <f t="shared" si="60"/>
        <v>2317.0000000000005</v>
      </c>
      <c r="V197">
        <f t="shared" si="61"/>
        <v>0</v>
      </c>
      <c r="W197">
        <f t="shared" si="62"/>
        <v>0</v>
      </c>
      <c r="X197">
        <f t="shared" si="63"/>
        <v>0</v>
      </c>
      <c r="Y197">
        <f t="shared" si="64"/>
        <v>0</v>
      </c>
      <c r="Z197">
        <f t="shared" si="65"/>
        <v>321.9670587256777</v>
      </c>
      <c r="AA197">
        <f t="shared" si="66"/>
        <v>311.29876757861899</v>
      </c>
      <c r="AB197">
        <f t="shared" si="67"/>
        <v>0</v>
      </c>
      <c r="AC197">
        <f t="shared" si="68"/>
        <v>0.878050365342536</v>
      </c>
      <c r="AD197">
        <f t="shared" si="69"/>
        <v>1470.346356665711</v>
      </c>
      <c r="AE197">
        <f t="shared" si="70"/>
        <v>746.59110872082044</v>
      </c>
      <c r="AF197">
        <f t="shared" si="71"/>
        <v>1000</v>
      </c>
      <c r="AG197">
        <f t="shared" si="72"/>
        <v>-14.985836139404455</v>
      </c>
      <c r="AH197">
        <f t="shared" si="73"/>
        <v>2331.9858361394049</v>
      </c>
      <c r="AI197" s="5">
        <f t="shared" si="56"/>
        <v>0.43159257660768224</v>
      </c>
      <c r="AJ197" s="5">
        <f t="shared" si="57"/>
        <v>0</v>
      </c>
      <c r="AK197" s="5">
        <f t="shared" si="58"/>
        <v>0.42881907106927231</v>
      </c>
    </row>
    <row r="198" spans="1:37" hidden="1" x14ac:dyDescent="0.3">
      <c r="A198">
        <v>5135629</v>
      </c>
      <c r="B198" t="s">
        <v>32</v>
      </c>
      <c r="C198">
        <v>6.666666666666667</v>
      </c>
      <c r="D198">
        <v>15654.75538562403</v>
      </c>
      <c r="I198">
        <v>4157.9575449415142</v>
      </c>
      <c r="J198">
        <v>1891.1444617714751</v>
      </c>
      <c r="K198">
        <v>0.12937499999999999</v>
      </c>
      <c r="L198">
        <v>-39.672426227191693</v>
      </c>
      <c r="M198">
        <v>7805.2426539062526</v>
      </c>
      <c r="N198">
        <v>8050.6314633005331</v>
      </c>
      <c r="O198">
        <v>6920.7583490822426</v>
      </c>
      <c r="P198" s="2">
        <v>44286.385416666657</v>
      </c>
      <c r="Q198" s="2">
        <v>44286.663194444453</v>
      </c>
      <c r="R198">
        <v>19236.41640194862</v>
      </c>
      <c r="S198">
        <v>8.5750767917797273</v>
      </c>
      <c r="T198">
        <f t="shared" si="59"/>
        <v>0.9632855722452337</v>
      </c>
      <c r="U198">
        <f t="shared" si="60"/>
        <v>2261.9999999999995</v>
      </c>
      <c r="V198">
        <f t="shared" si="61"/>
        <v>0</v>
      </c>
      <c r="W198">
        <f t="shared" si="62"/>
        <v>0</v>
      </c>
      <c r="X198">
        <f t="shared" si="63"/>
        <v>0</v>
      </c>
      <c r="Y198">
        <f t="shared" si="64"/>
        <v>0</v>
      </c>
      <c r="Z198">
        <f t="shared" si="65"/>
        <v>600.79507695755603</v>
      </c>
      <c r="AA198">
        <f t="shared" si="66"/>
        <v>273.25682625839096</v>
      </c>
      <c r="AB198">
        <f t="shared" si="67"/>
        <v>1.8693760636384067E-2</v>
      </c>
      <c r="AC198">
        <f t="shared" si="68"/>
        <v>-5.7323813700925754</v>
      </c>
      <c r="AD198">
        <f t="shared" si="69"/>
        <v>1127.8016454571487</v>
      </c>
      <c r="AE198">
        <f t="shared" si="70"/>
        <v>1163.2585704091407</v>
      </c>
      <c r="AF198">
        <f t="shared" si="71"/>
        <v>1000</v>
      </c>
      <c r="AG198">
        <f t="shared" si="72"/>
        <v>-517.52435725480154</v>
      </c>
      <c r="AH198">
        <f t="shared" si="73"/>
        <v>2779.5243572548011</v>
      </c>
      <c r="AI198" s="5">
        <f t="shared" si="56"/>
        <v>0.44208664898320077</v>
      </c>
      <c r="AJ198" s="5">
        <f t="shared" si="57"/>
        <v>0</v>
      </c>
      <c r="AK198" s="5">
        <f t="shared" si="58"/>
        <v>0.35977378553633205</v>
      </c>
    </row>
    <row r="199" spans="1:37" hidden="1" x14ac:dyDescent="0.3">
      <c r="A199">
        <v>5147402</v>
      </c>
      <c r="B199" t="s">
        <v>32</v>
      </c>
      <c r="C199">
        <v>97.916666666666671</v>
      </c>
      <c r="D199">
        <v>244885.89613300789</v>
      </c>
      <c r="I199">
        <v>-31082.416444415121</v>
      </c>
      <c r="J199">
        <v>23595.579609535849</v>
      </c>
      <c r="K199">
        <v>8898.109934789416</v>
      </c>
      <c r="L199">
        <v>8895.0451778113966</v>
      </c>
      <c r="M199">
        <v>55593.944945153467</v>
      </c>
      <c r="N199">
        <v>32224.274464868271</v>
      </c>
      <c r="O199">
        <v>108260.7852046896</v>
      </c>
      <c r="P199" s="2">
        <v>44287.715277777781</v>
      </c>
      <c r="Q199" s="2">
        <v>44293.788194444453</v>
      </c>
      <c r="R199">
        <v>379228.02427710552</v>
      </c>
      <c r="S199">
        <v>7.3884461971162896</v>
      </c>
      <c r="T199">
        <f t="shared" si="59"/>
        <v>0.90445184266431089</v>
      </c>
      <c r="U199">
        <f t="shared" si="60"/>
        <v>2262</v>
      </c>
      <c r="V199">
        <f t="shared" si="61"/>
        <v>0</v>
      </c>
      <c r="W199">
        <f t="shared" si="62"/>
        <v>0</v>
      </c>
      <c r="X199">
        <f t="shared" si="63"/>
        <v>0</v>
      </c>
      <c r="Y199">
        <f t="shared" si="64"/>
        <v>0</v>
      </c>
      <c r="Z199">
        <f t="shared" si="65"/>
        <v>-287.10688164368406</v>
      </c>
      <c r="AA199">
        <f t="shared" si="66"/>
        <v>217.95130679057505</v>
      </c>
      <c r="AB199">
        <f t="shared" si="67"/>
        <v>82.191440954041511</v>
      </c>
      <c r="AC199">
        <f t="shared" si="68"/>
        <v>82.163131931783596</v>
      </c>
      <c r="AD199">
        <f t="shared" si="69"/>
        <v>513.51876711444049</v>
      </c>
      <c r="AE199">
        <f t="shared" si="70"/>
        <v>297.65417278233809</v>
      </c>
      <c r="AF199">
        <f t="shared" si="71"/>
        <v>1000.0000000000001</v>
      </c>
      <c r="AG199">
        <f t="shared" si="72"/>
        <v>-1240.9121907816925</v>
      </c>
      <c r="AH199">
        <f t="shared" si="73"/>
        <v>3502.9121907816925</v>
      </c>
      <c r="AI199" s="5">
        <f t="shared" si="56"/>
        <v>0.44208664898320066</v>
      </c>
      <c r="AJ199" s="5">
        <f t="shared" si="57"/>
        <v>0</v>
      </c>
      <c r="AK199" s="5">
        <f t="shared" si="58"/>
        <v>0.28547675349431034</v>
      </c>
    </row>
    <row r="200" spans="1:37" hidden="1" x14ac:dyDescent="0.3">
      <c r="A200">
        <v>5144311</v>
      </c>
      <c r="B200" t="s">
        <v>42</v>
      </c>
      <c r="C200">
        <v>7.083333333333333</v>
      </c>
      <c r="D200">
        <v>16323.691059860341</v>
      </c>
      <c r="I200">
        <v>2145.0356125488379</v>
      </c>
      <c r="J200">
        <v>2046.021354874375</v>
      </c>
      <c r="K200">
        <v>0</v>
      </c>
      <c r="L200">
        <v>0</v>
      </c>
      <c r="M200">
        <v>8297.4609375</v>
      </c>
      <c r="N200">
        <v>4964.4352833243893</v>
      </c>
      <c r="O200">
        <v>7216.4858796906919</v>
      </c>
      <c r="P200" s="2">
        <v>44286.666666666657</v>
      </c>
      <c r="Q200" s="2">
        <v>44286.961805555547</v>
      </c>
      <c r="R200">
        <v>0</v>
      </c>
      <c r="T200">
        <f t="shared" si="59"/>
        <v>0.98154883850987784</v>
      </c>
      <c r="U200">
        <f t="shared" si="60"/>
        <v>2261.9999999999995</v>
      </c>
      <c r="V200">
        <f t="shared" si="61"/>
        <v>0</v>
      </c>
      <c r="W200">
        <f t="shared" si="62"/>
        <v>0</v>
      </c>
      <c r="X200">
        <f t="shared" si="63"/>
        <v>0</v>
      </c>
      <c r="Y200">
        <f t="shared" si="64"/>
        <v>0</v>
      </c>
      <c r="Z200">
        <f t="shared" si="65"/>
        <v>297.24101845547807</v>
      </c>
      <c r="AA200">
        <f t="shared" si="66"/>
        <v>283.52045427435525</v>
      </c>
      <c r="AB200">
        <f t="shared" si="67"/>
        <v>0</v>
      </c>
      <c r="AC200">
        <f t="shared" si="68"/>
        <v>0</v>
      </c>
      <c r="AD200">
        <f t="shared" si="69"/>
        <v>1149.7924441107116</v>
      </c>
      <c r="AE200">
        <f t="shared" si="70"/>
        <v>687.92974393475458</v>
      </c>
      <c r="AF200">
        <f t="shared" si="71"/>
        <v>1000</v>
      </c>
      <c r="AG200">
        <f t="shared" si="72"/>
        <v>2261.9999999999995</v>
      </c>
      <c r="AH200">
        <f t="shared" si="73"/>
        <v>0</v>
      </c>
      <c r="AI200" s="5">
        <f t="shared" si="56"/>
        <v>0.44208664898320083</v>
      </c>
      <c r="AJ200" s="5">
        <f t="shared" si="57"/>
        <v>0</v>
      </c>
      <c r="AK200" s="5">
        <f t="shared" si="58"/>
        <v>0</v>
      </c>
    </row>
    <row r="201" spans="1:37" hidden="1" x14ac:dyDescent="0.3">
      <c r="A201">
        <v>5147406</v>
      </c>
      <c r="B201" t="s">
        <v>33</v>
      </c>
      <c r="C201">
        <v>29.416666666666671</v>
      </c>
      <c r="D201">
        <v>65336.50468050022</v>
      </c>
      <c r="I201">
        <v>8106.9016043856554</v>
      </c>
      <c r="J201">
        <v>8149.5899894706672</v>
      </c>
      <c r="K201">
        <v>2.6762277573529412</v>
      </c>
      <c r="L201">
        <v>34.044128980212918</v>
      </c>
      <c r="M201">
        <v>21423.88672591807</v>
      </c>
      <c r="N201">
        <v>15207.05361446648</v>
      </c>
      <c r="O201">
        <v>28884.396410477551</v>
      </c>
      <c r="P201" s="2">
        <v>44287.583333333343</v>
      </c>
      <c r="Q201" s="2">
        <v>44289.510416666657</v>
      </c>
      <c r="R201">
        <v>114083.0635253971</v>
      </c>
      <c r="S201">
        <v>7.2650886207892382</v>
      </c>
      <c r="T201">
        <f t="shared" si="59"/>
        <v>1.0184276052933563</v>
      </c>
      <c r="U201">
        <f t="shared" si="60"/>
        <v>2262</v>
      </c>
      <c r="V201">
        <f t="shared" si="61"/>
        <v>0</v>
      </c>
      <c r="W201">
        <f t="shared" si="62"/>
        <v>0</v>
      </c>
      <c r="X201">
        <f t="shared" si="63"/>
        <v>0</v>
      </c>
      <c r="Y201">
        <f t="shared" si="64"/>
        <v>0</v>
      </c>
      <c r="Z201">
        <f t="shared" si="65"/>
        <v>280.66716330776262</v>
      </c>
      <c r="AA201">
        <f t="shared" si="66"/>
        <v>282.14506800337631</v>
      </c>
      <c r="AB201">
        <f t="shared" si="67"/>
        <v>9.2653061511860577E-2</v>
      </c>
      <c r="AC201">
        <f t="shared" si="68"/>
        <v>1.1786339065705289</v>
      </c>
      <c r="AD201">
        <f t="shared" si="69"/>
        <v>741.71142167771768</v>
      </c>
      <c r="AE201">
        <f t="shared" si="70"/>
        <v>526.47988202205465</v>
      </c>
      <c r="AF201">
        <f t="shared" si="71"/>
        <v>1000</v>
      </c>
      <c r="AG201">
        <f t="shared" si="72"/>
        <v>-1687.6433265960336</v>
      </c>
      <c r="AH201">
        <f t="shared" si="73"/>
        <v>3949.6433265960336</v>
      </c>
      <c r="AI201" s="5">
        <f t="shared" si="56"/>
        <v>0.44208664898320071</v>
      </c>
      <c r="AJ201" s="5">
        <f t="shared" si="57"/>
        <v>0</v>
      </c>
      <c r="AK201" s="5">
        <f t="shared" si="58"/>
        <v>0.25318741904268133</v>
      </c>
    </row>
    <row r="202" spans="1:37" hidden="1" x14ac:dyDescent="0.3">
      <c r="A202">
        <v>5150412</v>
      </c>
      <c r="B202" t="s">
        <v>33</v>
      </c>
      <c r="C202">
        <v>129.16666666666671</v>
      </c>
      <c r="D202">
        <v>322620.61778284691</v>
      </c>
      <c r="I202">
        <v>16718.88148552239</v>
      </c>
      <c r="J202">
        <v>44345.497217039658</v>
      </c>
      <c r="K202">
        <v>841.21413036107242</v>
      </c>
      <c r="L202">
        <v>900.38259512519392</v>
      </c>
      <c r="M202">
        <v>116889.1185439087</v>
      </c>
      <c r="N202">
        <v>54959.589977540832</v>
      </c>
      <c r="O202">
        <v>142626.2678085088</v>
      </c>
      <c r="P202" s="2">
        <v>44292.375</v>
      </c>
      <c r="Q202" s="2">
        <v>44302.013888888891</v>
      </c>
      <c r="R202">
        <v>588358.02536775847</v>
      </c>
      <c r="S202">
        <v>7.3928713479046939</v>
      </c>
      <c r="T202">
        <f t="shared" si="59"/>
        <v>0.90563027870915713</v>
      </c>
      <c r="U202">
        <f t="shared" si="60"/>
        <v>2262</v>
      </c>
      <c r="V202">
        <f t="shared" si="61"/>
        <v>0</v>
      </c>
      <c r="W202">
        <f t="shared" si="62"/>
        <v>0</v>
      </c>
      <c r="X202">
        <f t="shared" si="63"/>
        <v>0</v>
      </c>
      <c r="Y202">
        <f t="shared" si="64"/>
        <v>0</v>
      </c>
      <c r="Z202">
        <f t="shared" si="65"/>
        <v>117.22161522146325</v>
      </c>
      <c r="AA202">
        <f t="shared" si="66"/>
        <v>310.92096777417112</v>
      </c>
      <c r="AB202">
        <f t="shared" si="67"/>
        <v>5.8980308696746757</v>
      </c>
      <c r="AC202">
        <f t="shared" si="68"/>
        <v>6.3128805721401546</v>
      </c>
      <c r="AD202">
        <f t="shared" si="69"/>
        <v>819.54832261925969</v>
      </c>
      <c r="AE202">
        <f t="shared" si="70"/>
        <v>385.33988739949388</v>
      </c>
      <c r="AF202">
        <f t="shared" si="71"/>
        <v>999.99999999999989</v>
      </c>
      <c r="AG202">
        <f t="shared" si="72"/>
        <v>-1863.1729741515273</v>
      </c>
      <c r="AH202">
        <f t="shared" si="73"/>
        <v>4125.1729741515273</v>
      </c>
      <c r="AI202" s="5">
        <f t="shared" si="56"/>
        <v>0.44208664898320071</v>
      </c>
      <c r="AJ202" s="5">
        <f t="shared" si="57"/>
        <v>0</v>
      </c>
      <c r="AK202" s="5">
        <f t="shared" si="58"/>
        <v>0.2424140772437989</v>
      </c>
    </row>
    <row r="203" spans="1:37" hidden="1" x14ac:dyDescent="0.3">
      <c r="A203">
        <v>5150414</v>
      </c>
      <c r="B203" t="s">
        <v>32</v>
      </c>
      <c r="C203">
        <v>80.5</v>
      </c>
      <c r="D203">
        <v>198589.55503403489</v>
      </c>
      <c r="I203">
        <v>-4329.364514236936</v>
      </c>
      <c r="J203">
        <v>23284.64693427856</v>
      </c>
      <c r="K203">
        <v>0</v>
      </c>
      <c r="L203">
        <v>-28161.585712454958</v>
      </c>
      <c r="M203">
        <v>75721.019234811538</v>
      </c>
      <c r="N203">
        <v>43164.956466713033</v>
      </c>
      <c r="O203">
        <v>87793.790908061419</v>
      </c>
      <c r="P203" s="2">
        <v>44295.482638888891</v>
      </c>
      <c r="Q203" s="2">
        <v>44300.53125</v>
      </c>
      <c r="R203">
        <v>305621.19174588629</v>
      </c>
      <c r="S203">
        <v>7.007624100824775</v>
      </c>
      <c r="T203">
        <f t="shared" si="59"/>
        <v>0.91692133540856491</v>
      </c>
      <c r="U203">
        <f t="shared" si="60"/>
        <v>2261.9999999999995</v>
      </c>
      <c r="V203">
        <f t="shared" si="61"/>
        <v>0</v>
      </c>
      <c r="W203">
        <f t="shared" si="62"/>
        <v>0</v>
      </c>
      <c r="X203">
        <f t="shared" si="63"/>
        <v>0</v>
      </c>
      <c r="Y203">
        <f t="shared" si="64"/>
        <v>0</v>
      </c>
      <c r="Z203">
        <f t="shared" si="65"/>
        <v>-49.312878159808506</v>
      </c>
      <c r="AA203">
        <f t="shared" si="66"/>
        <v>265.21974610553593</v>
      </c>
      <c r="AB203">
        <f t="shared" si="67"/>
        <v>0</v>
      </c>
      <c r="AC203">
        <f t="shared" si="68"/>
        <v>-320.76967426940325</v>
      </c>
      <c r="AD203">
        <f t="shared" si="69"/>
        <v>862.48718105939167</v>
      </c>
      <c r="AE203">
        <f t="shared" si="70"/>
        <v>491.66297548212526</v>
      </c>
      <c r="AF203">
        <f t="shared" si="71"/>
        <v>1000</v>
      </c>
      <c r="AG203">
        <f t="shared" si="72"/>
        <v>-1219.1253573266476</v>
      </c>
      <c r="AH203">
        <f t="shared" si="73"/>
        <v>3481.1253573266472</v>
      </c>
      <c r="AI203" s="5">
        <f t="shared" si="56"/>
        <v>0.44208664898320083</v>
      </c>
      <c r="AJ203" s="5">
        <f t="shared" si="57"/>
        <v>0</v>
      </c>
      <c r="AK203" s="5">
        <f t="shared" si="58"/>
        <v>0.28726342701084351</v>
      </c>
    </row>
    <row r="204" spans="1:37" hidden="1" x14ac:dyDescent="0.3">
      <c r="A204">
        <v>5152234</v>
      </c>
      <c r="B204" t="s">
        <v>40</v>
      </c>
      <c r="C204">
        <v>13.25</v>
      </c>
      <c r="D204">
        <v>33093.643139491433</v>
      </c>
      <c r="I204">
        <v>4047.332462673498</v>
      </c>
      <c r="J204">
        <v>4095.1717519686299</v>
      </c>
      <c r="K204">
        <v>0</v>
      </c>
      <c r="L204">
        <v>74.632930097251915</v>
      </c>
      <c r="M204">
        <v>12926.9500868989</v>
      </c>
      <c r="N204">
        <v>3604.70537615884</v>
      </c>
      <c r="O204">
        <v>21461.506575545671</v>
      </c>
      <c r="P204" s="2">
        <v>44297.208333333343</v>
      </c>
      <c r="Q204" s="2">
        <v>44297.763888888891</v>
      </c>
      <c r="R204">
        <v>33695.291628765117</v>
      </c>
      <c r="S204">
        <v>6.8021037042343471</v>
      </c>
      <c r="T204">
        <f t="shared" si="59"/>
        <v>0.61738442980968178</v>
      </c>
      <c r="U204">
        <f t="shared" si="60"/>
        <v>1542.0000000000002</v>
      </c>
      <c r="V204">
        <f t="shared" si="61"/>
        <v>0</v>
      </c>
      <c r="W204">
        <f t="shared" si="62"/>
        <v>0</v>
      </c>
      <c r="X204">
        <f t="shared" si="63"/>
        <v>0</v>
      </c>
      <c r="Y204">
        <f t="shared" si="64"/>
        <v>0</v>
      </c>
      <c r="Z204">
        <f t="shared" si="65"/>
        <v>188.58566375229378</v>
      </c>
      <c r="AA204">
        <f t="shared" si="66"/>
        <v>190.81473789146176</v>
      </c>
      <c r="AB204">
        <f t="shared" si="67"/>
        <v>0</v>
      </c>
      <c r="AC204">
        <f t="shared" si="68"/>
        <v>3.4775252070277518</v>
      </c>
      <c r="AD204">
        <f t="shared" si="69"/>
        <v>602.33190253421083</v>
      </c>
      <c r="AE204">
        <f t="shared" si="70"/>
        <v>167.96143194654491</v>
      </c>
      <c r="AF204">
        <f t="shared" si="71"/>
        <v>1000.0000000000001</v>
      </c>
      <c r="AG204">
        <f t="shared" si="72"/>
        <v>-28.033842226119987</v>
      </c>
      <c r="AH204">
        <f t="shared" si="73"/>
        <v>1570.0338422261202</v>
      </c>
      <c r="AI204" s="5">
        <f t="shared" si="56"/>
        <v>0.64850843060959773</v>
      </c>
      <c r="AJ204" s="5">
        <f t="shared" si="57"/>
        <v>0</v>
      </c>
      <c r="AK204" s="5">
        <f t="shared" si="58"/>
        <v>0.63692894580037807</v>
      </c>
    </row>
    <row r="205" spans="1:37" hidden="1" x14ac:dyDescent="0.3">
      <c r="A205">
        <v>5155975</v>
      </c>
      <c r="B205" t="s">
        <v>32</v>
      </c>
      <c r="C205">
        <v>51.5</v>
      </c>
      <c r="D205">
        <v>129385.0401503075</v>
      </c>
      <c r="I205">
        <v>-11680.539011076989</v>
      </c>
      <c r="J205">
        <v>15993.29927350959</v>
      </c>
      <c r="K205">
        <v>0</v>
      </c>
      <c r="L205">
        <v>-5.6117108374422742</v>
      </c>
      <c r="M205">
        <v>55354.692318535032</v>
      </c>
      <c r="N205">
        <v>30935.505209936651</v>
      </c>
      <c r="O205">
        <v>57199.39882860634</v>
      </c>
      <c r="P205" s="2">
        <v>44302.100694444453</v>
      </c>
      <c r="Q205" s="2">
        <v>44304.222222222219</v>
      </c>
      <c r="R205">
        <v>128673.6859365253</v>
      </c>
      <c r="S205">
        <v>6.477961391593392</v>
      </c>
      <c r="T205">
        <f t="shared" si="59"/>
        <v>0.9003591131143851</v>
      </c>
      <c r="U205">
        <f t="shared" si="60"/>
        <v>2261.9999999999991</v>
      </c>
      <c r="V205">
        <f t="shared" si="61"/>
        <v>0</v>
      </c>
      <c r="W205">
        <f t="shared" si="62"/>
        <v>0</v>
      </c>
      <c r="X205">
        <f t="shared" si="63"/>
        <v>0</v>
      </c>
      <c r="Y205">
        <f t="shared" si="64"/>
        <v>0</v>
      </c>
      <c r="Z205">
        <f t="shared" si="65"/>
        <v>-204.20737368371366</v>
      </c>
      <c r="AA205">
        <f t="shared" si="66"/>
        <v>279.60607280912689</v>
      </c>
      <c r="AB205">
        <f t="shared" si="67"/>
        <v>0</v>
      </c>
      <c r="AC205">
        <f t="shared" si="68"/>
        <v>-9.8107863935027365E-2</v>
      </c>
      <c r="AD205">
        <f t="shared" si="69"/>
        <v>967.74954723564781</v>
      </c>
      <c r="AE205">
        <f t="shared" si="70"/>
        <v>540.83619484590292</v>
      </c>
      <c r="AF205">
        <f t="shared" si="71"/>
        <v>1000</v>
      </c>
      <c r="AG205">
        <f t="shared" si="72"/>
        <v>12.436393185070301</v>
      </c>
      <c r="AH205">
        <f t="shared" si="73"/>
        <v>2249.5636068149288</v>
      </c>
      <c r="AI205" s="5">
        <f t="shared" si="56"/>
        <v>0.44208664898320088</v>
      </c>
      <c r="AJ205" s="5">
        <f t="shared" si="57"/>
        <v>0</v>
      </c>
      <c r="AK205" s="5">
        <f t="shared" si="58"/>
        <v>0.44453066228959032</v>
      </c>
    </row>
    <row r="206" spans="1:37" hidden="1" x14ac:dyDescent="0.3">
      <c r="A206">
        <v>5156770</v>
      </c>
      <c r="B206" t="s">
        <v>38</v>
      </c>
      <c r="C206">
        <v>27.5</v>
      </c>
      <c r="D206">
        <v>67530.206546323447</v>
      </c>
      <c r="I206">
        <v>8115.0910454588893</v>
      </c>
      <c r="J206">
        <v>8070.8755708971667</v>
      </c>
      <c r="K206">
        <v>0</v>
      </c>
      <c r="L206">
        <v>35.374631839189867</v>
      </c>
      <c r="M206">
        <v>28764.782372620131</v>
      </c>
      <c r="N206">
        <v>16244.905741382179</v>
      </c>
      <c r="O206">
        <v>29399.306289213509</v>
      </c>
      <c r="P206" s="2">
        <v>44304.232638888891</v>
      </c>
      <c r="Q206" s="2">
        <v>44305.368055555547</v>
      </c>
      <c r="R206">
        <v>66993.187478273059</v>
      </c>
      <c r="S206">
        <v>6.3104578125695916</v>
      </c>
      <c r="T206">
        <f t="shared" si="59"/>
        <v>0.93539622089959462</v>
      </c>
      <c r="U206">
        <f t="shared" si="60"/>
        <v>2297.0000000000005</v>
      </c>
      <c r="V206">
        <f t="shared" si="61"/>
        <v>0</v>
      </c>
      <c r="W206">
        <f t="shared" si="62"/>
        <v>0</v>
      </c>
      <c r="X206">
        <f t="shared" si="63"/>
        <v>0</v>
      </c>
      <c r="Y206">
        <f t="shared" si="64"/>
        <v>0</v>
      </c>
      <c r="Z206">
        <f t="shared" si="65"/>
        <v>276.03001804285037</v>
      </c>
      <c r="AA206">
        <f t="shared" si="66"/>
        <v>274.52605484974794</v>
      </c>
      <c r="AB206">
        <f t="shared" si="67"/>
        <v>0</v>
      </c>
      <c r="AC206">
        <f t="shared" si="68"/>
        <v>1.2032471613851883</v>
      </c>
      <c r="AD206">
        <f t="shared" si="69"/>
        <v>978.41704459447806</v>
      </c>
      <c r="AE206">
        <f t="shared" si="70"/>
        <v>552.56085234032787</v>
      </c>
      <c r="AF206">
        <f t="shared" si="71"/>
        <v>1000</v>
      </c>
      <c r="AG206">
        <f t="shared" si="72"/>
        <v>18.26638570201294</v>
      </c>
      <c r="AH206">
        <f t="shared" si="73"/>
        <v>2278.7336142979875</v>
      </c>
      <c r="AI206" s="5">
        <f t="shared" si="56"/>
        <v>0.43535045711797987</v>
      </c>
      <c r="AJ206" s="5">
        <f t="shared" si="57"/>
        <v>0</v>
      </c>
      <c r="AK206" s="5">
        <f t="shared" si="58"/>
        <v>0.43884023728156191</v>
      </c>
    </row>
    <row r="207" spans="1:37" hidden="1" x14ac:dyDescent="0.3">
      <c r="A207">
        <v>5157890</v>
      </c>
      <c r="B207" t="s">
        <v>32</v>
      </c>
      <c r="C207">
        <v>62.416666666666657</v>
      </c>
      <c r="D207">
        <v>148611.49752008411</v>
      </c>
      <c r="I207">
        <v>-38166.418771186487</v>
      </c>
      <c r="J207">
        <v>17365.424683451562</v>
      </c>
      <c r="K207">
        <v>26901.568591952251</v>
      </c>
      <c r="L207">
        <v>-960.19505878393829</v>
      </c>
      <c r="M207">
        <v>36728.913292709847</v>
      </c>
      <c r="N207">
        <v>48289.323205813751</v>
      </c>
      <c r="O207">
        <v>65699.158939029207</v>
      </c>
      <c r="P207" s="2">
        <v>44306.211805555547</v>
      </c>
      <c r="Q207" s="2">
        <v>44309.892361111109</v>
      </c>
      <c r="R207">
        <v>217168.9028863523</v>
      </c>
      <c r="S207">
        <v>6.9339858896733571</v>
      </c>
      <c r="T207">
        <f t="shared" si="59"/>
        <v>0.95003752977402955</v>
      </c>
      <c r="U207">
        <f t="shared" si="60"/>
        <v>2262.0000000000009</v>
      </c>
      <c r="V207">
        <f t="shared" si="61"/>
        <v>0</v>
      </c>
      <c r="W207">
        <f t="shared" si="62"/>
        <v>0</v>
      </c>
      <c r="X207">
        <f t="shared" si="63"/>
        <v>0</v>
      </c>
      <c r="Y207">
        <f t="shared" si="64"/>
        <v>0</v>
      </c>
      <c r="Z207">
        <f t="shared" si="65"/>
        <v>-580.9270527588651</v>
      </c>
      <c r="AA207">
        <f t="shared" si="66"/>
        <v>264.31730579027959</v>
      </c>
      <c r="AB207">
        <f t="shared" si="67"/>
        <v>409.46595095559309</v>
      </c>
      <c r="AC207">
        <f t="shared" si="68"/>
        <v>-14.615028172202754</v>
      </c>
      <c r="AD207">
        <f t="shared" si="69"/>
        <v>559.04693280465563</v>
      </c>
      <c r="AE207">
        <f t="shared" si="70"/>
        <v>735.0067182842887</v>
      </c>
      <c r="AF207">
        <f t="shared" si="71"/>
        <v>1000</v>
      </c>
      <c r="AG207">
        <f t="shared" si="72"/>
        <v>-1043.5050687618618</v>
      </c>
      <c r="AH207">
        <f t="shared" si="73"/>
        <v>3305.5050687618627</v>
      </c>
      <c r="AI207" s="5">
        <f t="shared" si="56"/>
        <v>0.44208664898320055</v>
      </c>
      <c r="AJ207" s="5">
        <f t="shared" si="57"/>
        <v>0</v>
      </c>
      <c r="AK207" s="5">
        <f t="shared" si="58"/>
        <v>0.30252562897281177</v>
      </c>
    </row>
    <row r="208" spans="1:37" hidden="1" x14ac:dyDescent="0.3">
      <c r="A208">
        <v>5156772</v>
      </c>
      <c r="B208" t="s">
        <v>42</v>
      </c>
      <c r="C208">
        <v>20.25</v>
      </c>
      <c r="D208">
        <v>44628.902078239007</v>
      </c>
      <c r="I208">
        <v>5615.3212268416082</v>
      </c>
      <c r="J208">
        <v>5670.1726585763818</v>
      </c>
      <c r="K208">
        <v>0</v>
      </c>
      <c r="L208">
        <v>-51.977514977934902</v>
      </c>
      <c r="M208">
        <v>19932.93552426391</v>
      </c>
      <c r="N208">
        <v>10839.183643273431</v>
      </c>
      <c r="O208">
        <v>19729.84176756809</v>
      </c>
      <c r="P208" s="2">
        <v>44305.368055555547</v>
      </c>
      <c r="Q208" s="2">
        <v>44306.211805555547</v>
      </c>
      <c r="R208">
        <v>45923.951001037691</v>
      </c>
      <c r="S208">
        <v>6.3169004168174716</v>
      </c>
      <c r="T208">
        <f t="shared" si="59"/>
        <v>1.0263640346719327</v>
      </c>
      <c r="U208">
        <f t="shared" si="60"/>
        <v>2261.9999999999995</v>
      </c>
      <c r="V208">
        <f t="shared" si="61"/>
        <v>0</v>
      </c>
      <c r="W208">
        <f t="shared" si="62"/>
        <v>0</v>
      </c>
      <c r="X208">
        <f t="shared" si="63"/>
        <v>0</v>
      </c>
      <c r="Y208">
        <f t="shared" si="64"/>
        <v>0</v>
      </c>
      <c r="Z208">
        <f t="shared" si="65"/>
        <v>284.61055557333827</v>
      </c>
      <c r="AA208">
        <f t="shared" si="66"/>
        <v>287.39068084656463</v>
      </c>
      <c r="AB208">
        <f t="shared" si="67"/>
        <v>0</v>
      </c>
      <c r="AC208">
        <f t="shared" si="68"/>
        <v>-2.6344618264184727</v>
      </c>
      <c r="AD208">
        <f t="shared" si="69"/>
        <v>1010.293734693284</v>
      </c>
      <c r="AE208">
        <f t="shared" si="70"/>
        <v>549.3801608227227</v>
      </c>
      <c r="AF208">
        <f t="shared" si="71"/>
        <v>999.99999999999989</v>
      </c>
      <c r="AG208">
        <f t="shared" si="72"/>
        <v>-65.639093209935254</v>
      </c>
      <c r="AH208">
        <f t="shared" si="73"/>
        <v>2327.6390932099348</v>
      </c>
      <c r="AI208" s="5">
        <f t="shared" si="56"/>
        <v>0.44208664898320083</v>
      </c>
      <c r="AJ208" s="5">
        <f t="shared" si="57"/>
        <v>0</v>
      </c>
      <c r="AK208" s="5">
        <f t="shared" si="58"/>
        <v>0.42961986801009949</v>
      </c>
    </row>
    <row r="209" spans="1:37" hidden="1" x14ac:dyDescent="0.3">
      <c r="A209">
        <v>5158593</v>
      </c>
      <c r="B209" t="s">
        <v>42</v>
      </c>
      <c r="C209">
        <v>1.416666666666667</v>
      </c>
      <c r="D209">
        <v>3577.5476818542688</v>
      </c>
      <c r="I209">
        <v>487.86983422792042</v>
      </c>
      <c r="J209">
        <v>480.88533533063531</v>
      </c>
      <c r="K209">
        <v>0</v>
      </c>
      <c r="L209">
        <v>-3.8945215937644662</v>
      </c>
      <c r="M209">
        <v>1502.389945828947</v>
      </c>
      <c r="N209">
        <v>741.03991070917721</v>
      </c>
      <c r="O209">
        <v>1581.586066248572</v>
      </c>
      <c r="P209" s="2">
        <v>44307.232638888891</v>
      </c>
      <c r="Q209" s="2">
        <v>44307.291666666657</v>
      </c>
      <c r="R209">
        <v>3577.5069814686099</v>
      </c>
      <c r="S209">
        <v>7.2374737594701068</v>
      </c>
      <c r="T209">
        <f t="shared" si="59"/>
        <v>0.895725308219815</v>
      </c>
      <c r="U209">
        <f t="shared" si="60"/>
        <v>2261.9999999999995</v>
      </c>
      <c r="V209">
        <f t="shared" si="61"/>
        <v>0</v>
      </c>
      <c r="W209">
        <f t="shared" si="62"/>
        <v>0</v>
      </c>
      <c r="X209">
        <f t="shared" si="63"/>
        <v>0</v>
      </c>
      <c r="Y209">
        <f t="shared" si="64"/>
        <v>0</v>
      </c>
      <c r="Z209">
        <f t="shared" si="65"/>
        <v>308.46872303643812</v>
      </c>
      <c r="AA209">
        <f t="shared" si="66"/>
        <v>304.05258720523926</v>
      </c>
      <c r="AB209">
        <f t="shared" si="67"/>
        <v>0</v>
      </c>
      <c r="AC209">
        <f t="shared" si="68"/>
        <v>-2.4624152152541652</v>
      </c>
      <c r="AD209">
        <f t="shared" si="69"/>
        <v>949.92613926634203</v>
      </c>
      <c r="AE209">
        <f t="shared" si="70"/>
        <v>468.54226053399663</v>
      </c>
      <c r="AF209">
        <f t="shared" si="71"/>
        <v>1000</v>
      </c>
      <c r="AG209">
        <f t="shared" si="72"/>
        <v>2.5733905051311012E-2</v>
      </c>
      <c r="AH209">
        <f t="shared" si="73"/>
        <v>2261.9742660949482</v>
      </c>
      <c r="AI209" s="5">
        <f t="shared" si="56"/>
        <v>0.44208664898320083</v>
      </c>
      <c r="AJ209" s="5">
        <f t="shared" si="57"/>
        <v>0</v>
      </c>
      <c r="AK209" s="5">
        <f t="shared" si="58"/>
        <v>0.44209167849039721</v>
      </c>
    </row>
    <row r="210" spans="1:37" hidden="1" x14ac:dyDescent="0.3">
      <c r="A210">
        <v>5158953</v>
      </c>
      <c r="B210" t="s">
        <v>33</v>
      </c>
      <c r="C210">
        <v>12.25</v>
      </c>
      <c r="D210">
        <v>29635.965161567539</v>
      </c>
      <c r="I210">
        <v>4441.5141831834626</v>
      </c>
      <c r="J210">
        <v>4459.5423386944203</v>
      </c>
      <c r="K210">
        <v>101.0934764150943</v>
      </c>
      <c r="L210">
        <v>147.18080428464481</v>
      </c>
      <c r="M210">
        <v>11180.15659925271</v>
      </c>
      <c r="N210">
        <v>6174.6145100580661</v>
      </c>
      <c r="O210">
        <v>13101.66452766027</v>
      </c>
      <c r="P210" s="2">
        <v>44307.291666666657</v>
      </c>
      <c r="Q210" s="2">
        <v>44307.802083333343</v>
      </c>
      <c r="R210">
        <v>29639.044042597801</v>
      </c>
      <c r="S210">
        <v>7.3360794950660564</v>
      </c>
      <c r="T210">
        <f t="shared" si="59"/>
        <v>0.93499570028966672</v>
      </c>
      <c r="U210">
        <f t="shared" si="60"/>
        <v>2262.0000000000005</v>
      </c>
      <c r="V210">
        <f t="shared" si="61"/>
        <v>0</v>
      </c>
      <c r="W210">
        <f t="shared" si="62"/>
        <v>0</v>
      </c>
      <c r="X210">
        <f t="shared" si="63"/>
        <v>0</v>
      </c>
      <c r="Y210">
        <f t="shared" si="64"/>
        <v>0</v>
      </c>
      <c r="Z210">
        <f t="shared" si="65"/>
        <v>339.0038093103762</v>
      </c>
      <c r="AA210">
        <f t="shared" si="66"/>
        <v>340.37982954604144</v>
      </c>
      <c r="AB210">
        <f t="shared" si="67"/>
        <v>7.7160788388120825</v>
      </c>
      <c r="AC210">
        <f t="shared" si="68"/>
        <v>11.233748503781049</v>
      </c>
      <c r="AD210">
        <f t="shared" si="69"/>
        <v>853.33864072378992</v>
      </c>
      <c r="AE210">
        <f t="shared" si="70"/>
        <v>471.28473615105946</v>
      </c>
      <c r="AF210">
        <f t="shared" si="71"/>
        <v>1000.0000000000001</v>
      </c>
      <c r="AG210">
        <f t="shared" si="72"/>
        <v>-0.23499922653036265</v>
      </c>
      <c r="AH210">
        <f t="shared" si="73"/>
        <v>2262.2349992265308</v>
      </c>
      <c r="AI210" s="5">
        <f t="shared" si="56"/>
        <v>0.4420866489832006</v>
      </c>
      <c r="AJ210" s="5">
        <f t="shared" si="57"/>
        <v>0</v>
      </c>
      <c r="AK210" s="5">
        <f t="shared" si="58"/>
        <v>0.44204072536314959</v>
      </c>
    </row>
    <row r="211" spans="1:37" hidden="1" x14ac:dyDescent="0.3">
      <c r="A211">
        <v>5159843</v>
      </c>
      <c r="B211" t="s">
        <v>42</v>
      </c>
      <c r="C211">
        <v>3.583333333333333</v>
      </c>
      <c r="D211">
        <v>8950.0377658726957</v>
      </c>
      <c r="I211">
        <v>1283.5055014529639</v>
      </c>
      <c r="J211">
        <v>1162.347429198858</v>
      </c>
      <c r="K211">
        <v>4189.6118349417029</v>
      </c>
      <c r="L211">
        <v>4327.8877222366173</v>
      </c>
      <c r="M211">
        <v>0</v>
      </c>
      <c r="N211">
        <v>4072.2606630683372</v>
      </c>
      <c r="O211">
        <v>3956.6922041877519</v>
      </c>
      <c r="P211" s="2">
        <v>44309.892361111109</v>
      </c>
      <c r="Q211" s="2">
        <v>44310.041666666657</v>
      </c>
      <c r="R211">
        <v>9032.4089638173045</v>
      </c>
      <c r="S211">
        <v>5.4741221880644897</v>
      </c>
      <c r="T211">
        <f t="shared" si="59"/>
        <v>0.90563863662195987</v>
      </c>
      <c r="U211">
        <f t="shared" si="60"/>
        <v>2262.0000000000005</v>
      </c>
      <c r="V211">
        <f t="shared" si="61"/>
        <v>0</v>
      </c>
      <c r="W211">
        <f t="shared" si="62"/>
        <v>0</v>
      </c>
      <c r="X211">
        <f t="shared" si="63"/>
        <v>0</v>
      </c>
      <c r="Y211">
        <f t="shared" si="64"/>
        <v>0</v>
      </c>
      <c r="Z211">
        <f t="shared" si="65"/>
        <v>324.38851323701789</v>
      </c>
      <c r="AA211">
        <f t="shared" si="66"/>
        <v>293.767462621589</v>
      </c>
      <c r="AB211">
        <f t="shared" si="67"/>
        <v>1058.8672605130694</v>
      </c>
      <c r="AC211">
        <f t="shared" si="68"/>
        <v>1093.8146054565461</v>
      </c>
      <c r="AD211">
        <f t="shared" si="69"/>
        <v>0</v>
      </c>
      <c r="AE211">
        <f t="shared" si="70"/>
        <v>1029.2083520568692</v>
      </c>
      <c r="AF211">
        <f t="shared" si="71"/>
        <v>1000</v>
      </c>
      <c r="AG211">
        <f t="shared" si="72"/>
        <v>-20.818197042829524</v>
      </c>
      <c r="AH211">
        <f t="shared" si="73"/>
        <v>2282.81819704283</v>
      </c>
      <c r="AI211" s="5">
        <f t="shared" si="56"/>
        <v>0.44208664898320066</v>
      </c>
      <c r="AJ211" s="5">
        <f t="shared" si="57"/>
        <v>0</v>
      </c>
      <c r="AK211" s="5">
        <f t="shared" si="58"/>
        <v>0.4380550327202592</v>
      </c>
    </row>
    <row r="212" spans="1:37" hidden="1" x14ac:dyDescent="0.3">
      <c r="A212">
        <v>5160569</v>
      </c>
      <c r="B212" t="s">
        <v>38</v>
      </c>
      <c r="C212">
        <v>11.41666666666667</v>
      </c>
      <c r="D212">
        <v>27749.622780246711</v>
      </c>
      <c r="I212">
        <v>2926.27987807623</v>
      </c>
      <c r="J212">
        <v>2893.8880669079231</v>
      </c>
      <c r="K212">
        <v>12504.558677904721</v>
      </c>
      <c r="L212">
        <v>12716.629883314141</v>
      </c>
      <c r="M212">
        <v>0</v>
      </c>
      <c r="N212">
        <v>11744.176951273181</v>
      </c>
      <c r="O212">
        <v>12080.81096223191</v>
      </c>
      <c r="P212" s="2">
        <v>44310.125</v>
      </c>
      <c r="Q212" s="2">
        <v>44310.59375</v>
      </c>
      <c r="R212">
        <v>27342.911353298601</v>
      </c>
      <c r="S212">
        <v>6.3788793693818091</v>
      </c>
      <c r="T212">
        <f t="shared" si="59"/>
        <v>0.94502485821179172</v>
      </c>
      <c r="U212">
        <f t="shared" si="60"/>
        <v>2297.0000000000014</v>
      </c>
      <c r="V212">
        <f t="shared" si="61"/>
        <v>0</v>
      </c>
      <c r="W212">
        <f t="shared" si="62"/>
        <v>0</v>
      </c>
      <c r="X212">
        <f t="shared" si="63"/>
        <v>0</v>
      </c>
      <c r="Y212">
        <f t="shared" si="64"/>
        <v>0</v>
      </c>
      <c r="Z212">
        <f t="shared" si="65"/>
        <v>242.22545052849705</v>
      </c>
      <c r="AA212">
        <f t="shared" si="66"/>
        <v>239.54418920675522</v>
      </c>
      <c r="AB212">
        <f t="shared" si="67"/>
        <v>1035.0760985332499</v>
      </c>
      <c r="AC212">
        <f t="shared" si="68"/>
        <v>1052.6304834228417</v>
      </c>
      <c r="AD212">
        <f t="shared" si="69"/>
        <v>0</v>
      </c>
      <c r="AE212">
        <f t="shared" si="70"/>
        <v>972.13481677586515</v>
      </c>
      <c r="AF212">
        <f t="shared" si="71"/>
        <v>1000</v>
      </c>
      <c r="AG212">
        <f t="shared" si="72"/>
        <v>33.665904401584612</v>
      </c>
      <c r="AH212">
        <f t="shared" si="73"/>
        <v>2263.3340955984168</v>
      </c>
      <c r="AI212" s="5">
        <f t="shared" si="56"/>
        <v>0.43535045711797976</v>
      </c>
      <c r="AJ212" s="5">
        <f t="shared" si="57"/>
        <v>0</v>
      </c>
      <c r="AK212" s="5">
        <f t="shared" si="58"/>
        <v>0.44182606622006626</v>
      </c>
    </row>
    <row r="213" spans="1:37" hidden="1" x14ac:dyDescent="0.3">
      <c r="A213">
        <v>5160573</v>
      </c>
      <c r="B213" t="s">
        <v>43</v>
      </c>
      <c r="C213">
        <v>36.416666666666671</v>
      </c>
      <c r="D213">
        <v>64420.765812294703</v>
      </c>
      <c r="I213">
        <v>8978.0876004704314</v>
      </c>
      <c r="J213">
        <v>8922.4789778771319</v>
      </c>
      <c r="K213">
        <v>15179.05118800998</v>
      </c>
      <c r="L213">
        <v>15034.05795164222</v>
      </c>
      <c r="M213">
        <v>0</v>
      </c>
      <c r="N213">
        <v>6717.8337382319087</v>
      </c>
      <c r="O213">
        <v>27803.52430396837</v>
      </c>
      <c r="P213" s="2">
        <v>44310.597222222219</v>
      </c>
      <c r="Q213" s="2">
        <v>44312.111111111109</v>
      </c>
      <c r="R213">
        <v>66185.105170049676</v>
      </c>
      <c r="S213">
        <v>6.7500310379327884</v>
      </c>
      <c r="T213">
        <f t="shared" si="59"/>
        <v>1.3097859921833346</v>
      </c>
      <c r="U213">
        <f t="shared" si="60"/>
        <v>2316.9999999999995</v>
      </c>
      <c r="V213">
        <f t="shared" si="61"/>
        <v>0</v>
      </c>
      <c r="W213">
        <f t="shared" si="62"/>
        <v>0</v>
      </c>
      <c r="X213">
        <f t="shared" si="63"/>
        <v>0</v>
      </c>
      <c r="Y213">
        <f t="shared" si="64"/>
        <v>0</v>
      </c>
      <c r="Z213">
        <f t="shared" si="65"/>
        <v>322.9118547100519</v>
      </c>
      <c r="AA213">
        <f t="shared" si="66"/>
        <v>320.9117980990502</v>
      </c>
      <c r="AB213">
        <f t="shared" si="67"/>
        <v>545.93982482441947</v>
      </c>
      <c r="AC213">
        <f t="shared" si="68"/>
        <v>540.72490189657083</v>
      </c>
      <c r="AD213">
        <f t="shared" si="69"/>
        <v>0</v>
      </c>
      <c r="AE213">
        <f t="shared" si="70"/>
        <v>241.61806484630003</v>
      </c>
      <c r="AF213">
        <f t="shared" si="71"/>
        <v>1000</v>
      </c>
      <c r="AG213">
        <f t="shared" si="72"/>
        <v>-63.457399805360183</v>
      </c>
      <c r="AH213">
        <f t="shared" si="73"/>
        <v>2380.4573998053597</v>
      </c>
      <c r="AI213" s="5">
        <f t="shared" si="56"/>
        <v>0.43159257660768241</v>
      </c>
      <c r="AJ213" s="5">
        <f t="shared" si="57"/>
        <v>0</v>
      </c>
      <c r="AK213" s="5">
        <f t="shared" si="58"/>
        <v>0.42008733283013838</v>
      </c>
    </row>
    <row r="214" spans="1:37" hidden="1" x14ac:dyDescent="0.3">
      <c r="A214">
        <v>5160545</v>
      </c>
      <c r="B214" t="s">
        <v>31</v>
      </c>
      <c r="C214">
        <v>101.0833333333333</v>
      </c>
      <c r="D214">
        <v>0</v>
      </c>
      <c r="E214">
        <v>148787.05475000001</v>
      </c>
      <c r="F214">
        <v>4123.6436215000031</v>
      </c>
      <c r="G214">
        <v>144663.41112850001</v>
      </c>
      <c r="H214">
        <v>15653.006083333339</v>
      </c>
      <c r="I214">
        <v>-5940.2424033041898</v>
      </c>
      <c r="J214">
        <v>46210.278919725242</v>
      </c>
      <c r="K214">
        <v>116324.7727240893</v>
      </c>
      <c r="L214">
        <v>-17008.179583964891</v>
      </c>
      <c r="M214">
        <v>0</v>
      </c>
      <c r="N214">
        <v>90730.877616105965</v>
      </c>
      <c r="O214">
        <v>72059.623502775343</v>
      </c>
      <c r="P214" s="2">
        <v>44317.291666666657</v>
      </c>
      <c r="Q214" s="2">
        <v>44323.760416666657</v>
      </c>
      <c r="R214">
        <v>41.518257687447353</v>
      </c>
      <c r="S214">
        <v>5.0039944294070411</v>
      </c>
      <c r="T214">
        <f t="shared" si="59"/>
        <v>1.4027735425156658</v>
      </c>
      <c r="U214">
        <f t="shared" si="60"/>
        <v>0</v>
      </c>
      <c r="V214">
        <f t="shared" si="61"/>
        <v>2064.7770209938653</v>
      </c>
      <c r="W214">
        <f t="shared" si="62"/>
        <v>57.225439449335774</v>
      </c>
      <c r="X214">
        <f t="shared" si="63"/>
        <v>2007.5515815445299</v>
      </c>
      <c r="Y214">
        <f t="shared" si="64"/>
        <v>217.22297900613472</v>
      </c>
      <c r="Z214">
        <f t="shared" si="65"/>
        <v>-82.435101858052363</v>
      </c>
      <c r="AA214">
        <f t="shared" si="66"/>
        <v>641.27838411403127</v>
      </c>
      <c r="AB214">
        <f t="shared" si="67"/>
        <v>1614.2850471541681</v>
      </c>
      <c r="AC214">
        <f t="shared" si="68"/>
        <v>-236.02925962151093</v>
      </c>
      <c r="AD214">
        <f t="shared" si="69"/>
        <v>0</v>
      </c>
      <c r="AE214">
        <f t="shared" si="70"/>
        <v>1259.1084050364418</v>
      </c>
      <c r="AF214">
        <f t="shared" si="71"/>
        <v>1000</v>
      </c>
      <c r="AG214">
        <f t="shared" si="72"/>
        <v>-0.5761653429378284</v>
      </c>
      <c r="AH214">
        <f t="shared" si="73"/>
        <v>0.5761653429378284</v>
      </c>
      <c r="AI214" s="5">
        <f t="shared" si="56"/>
        <v>0</v>
      </c>
      <c r="AJ214" s="5">
        <f t="shared" si="57"/>
        <v>0.43821209465381239</v>
      </c>
      <c r="AK214" s="5">
        <f t="shared" si="58"/>
        <v>1735.6128969872905</v>
      </c>
    </row>
    <row r="215" spans="1:37" hidden="1" x14ac:dyDescent="0.3">
      <c r="A215">
        <v>5166273</v>
      </c>
      <c r="B215" t="s">
        <v>48</v>
      </c>
      <c r="C215">
        <v>74.25</v>
      </c>
      <c r="D215">
        <v>0</v>
      </c>
      <c r="E215">
        <v>135642.35908666669</v>
      </c>
      <c r="F215">
        <v>14149.74662684</v>
      </c>
      <c r="G215">
        <v>121492.61245982671</v>
      </c>
      <c r="I215">
        <v>1766.711850041411</v>
      </c>
      <c r="J215">
        <v>32966.070366296197</v>
      </c>
      <c r="K215">
        <v>81729.589787231613</v>
      </c>
      <c r="L215">
        <v>-13012.77379348726</v>
      </c>
      <c r="M215">
        <v>0</v>
      </c>
      <c r="N215">
        <v>69230.035143368266</v>
      </c>
      <c r="O215">
        <v>59701.742555751189</v>
      </c>
      <c r="P215" s="2">
        <v>44323.291666666657</v>
      </c>
      <c r="Q215" s="2">
        <v>44327.024305555547</v>
      </c>
      <c r="R215">
        <v>25.549245914731539</v>
      </c>
      <c r="S215">
        <v>5.0041117793635319</v>
      </c>
      <c r="T215">
        <f t="shared" si="59"/>
        <v>1.2436822916963142</v>
      </c>
      <c r="U215">
        <f t="shared" si="60"/>
        <v>0</v>
      </c>
      <c r="V215">
        <f t="shared" si="61"/>
        <v>2272</v>
      </c>
      <c r="W215">
        <f t="shared" si="62"/>
        <v>237.00726345845877</v>
      </c>
      <c r="X215">
        <f t="shared" si="63"/>
        <v>2034.9927365415413</v>
      </c>
      <c r="Y215">
        <f t="shared" si="64"/>
        <v>0</v>
      </c>
      <c r="Z215">
        <f t="shared" si="65"/>
        <v>29.592299561300162</v>
      </c>
      <c r="AA215">
        <f t="shared" si="66"/>
        <v>552.17936621383444</v>
      </c>
      <c r="AB215">
        <f t="shared" si="67"/>
        <v>1368.9648959728468</v>
      </c>
      <c r="AC215">
        <f t="shared" si="68"/>
        <v>-217.963048253333</v>
      </c>
      <c r="AD215">
        <f t="shared" si="69"/>
        <v>0</v>
      </c>
      <c r="AE215">
        <f t="shared" si="70"/>
        <v>1159.5982324756983</v>
      </c>
      <c r="AF215">
        <f t="shared" si="71"/>
        <v>1000</v>
      </c>
      <c r="AG215">
        <f t="shared" si="72"/>
        <v>-0.42794807690701697</v>
      </c>
      <c r="AH215">
        <f t="shared" si="73"/>
        <v>0.42794807690701697</v>
      </c>
      <c r="AI215" s="5">
        <f t="shared" si="56"/>
        <v>0</v>
      </c>
      <c r="AJ215" s="5">
        <f t="shared" si="57"/>
        <v>0.44014084507042256</v>
      </c>
      <c r="AK215" s="5">
        <f t="shared" si="58"/>
        <v>2336.7320802735521</v>
      </c>
    </row>
    <row r="216" spans="1:37" hidden="1" x14ac:dyDescent="0.3">
      <c r="A216">
        <v>5169577</v>
      </c>
      <c r="B216" t="s">
        <v>31</v>
      </c>
      <c r="C216">
        <v>34.25</v>
      </c>
      <c r="D216">
        <v>0</v>
      </c>
      <c r="E216">
        <v>36806</v>
      </c>
      <c r="F216">
        <v>4724.4800000000014</v>
      </c>
      <c r="G216">
        <v>32081.52</v>
      </c>
      <c r="H216">
        <v>12100</v>
      </c>
      <c r="I216">
        <v>16240.558316547929</v>
      </c>
      <c r="J216">
        <v>13836.84920924801</v>
      </c>
      <c r="K216">
        <v>30180.601231874811</v>
      </c>
      <c r="L216">
        <v>6751.4077759173788</v>
      </c>
      <c r="M216">
        <v>0</v>
      </c>
      <c r="N216">
        <v>19392.781166547789</v>
      </c>
      <c r="O216">
        <v>22069.494584837539</v>
      </c>
      <c r="P216" s="2">
        <v>44327.291666666657</v>
      </c>
      <c r="Q216" s="2">
        <v>44329.083333333343</v>
      </c>
      <c r="R216">
        <v>12.28644107903455</v>
      </c>
      <c r="S216">
        <v>5.0041666030883789</v>
      </c>
      <c r="T216">
        <f t="shared" si="59"/>
        <v>1.5519159203369735</v>
      </c>
      <c r="U216">
        <f t="shared" si="60"/>
        <v>0</v>
      </c>
      <c r="V216">
        <f t="shared" si="61"/>
        <v>1667.7318938371575</v>
      </c>
      <c r="W216">
        <f t="shared" si="62"/>
        <v>214.0728679507628</v>
      </c>
      <c r="X216">
        <f t="shared" si="63"/>
        <v>1453.6590258863946</v>
      </c>
      <c r="Y216">
        <f t="shared" si="64"/>
        <v>548.2681061628432</v>
      </c>
      <c r="Z216">
        <f t="shared" si="65"/>
        <v>735.88265712735085</v>
      </c>
      <c r="AA216">
        <f t="shared" si="66"/>
        <v>626.96719927398681</v>
      </c>
      <c r="AB216">
        <f t="shared" si="67"/>
        <v>1367.5257091120641</v>
      </c>
      <c r="AC216">
        <f t="shared" si="68"/>
        <v>305.915831011183</v>
      </c>
      <c r="AD216">
        <f t="shared" si="69"/>
        <v>0</v>
      </c>
      <c r="AE216">
        <f t="shared" si="70"/>
        <v>878.71433086062882</v>
      </c>
      <c r="AF216">
        <f t="shared" si="71"/>
        <v>1000.0000000000001</v>
      </c>
      <c r="AG216">
        <f t="shared" si="72"/>
        <v>-0.55671601503170509</v>
      </c>
      <c r="AH216">
        <f t="shared" si="73"/>
        <v>0.55671601503170509</v>
      </c>
      <c r="AI216" s="5">
        <f t="shared" si="56"/>
        <v>0</v>
      </c>
      <c r="AJ216" s="5">
        <f t="shared" si="57"/>
        <v>0.45126353790613705</v>
      </c>
      <c r="AK216" s="5">
        <f t="shared" si="58"/>
        <v>1796.2479486835848</v>
      </c>
    </row>
    <row r="217" spans="1:37" hidden="1" x14ac:dyDescent="0.3">
      <c r="A217">
        <v>5171553</v>
      </c>
      <c r="B217" t="s">
        <v>50</v>
      </c>
      <c r="C217">
        <v>44.583333333333343</v>
      </c>
      <c r="D217">
        <v>0</v>
      </c>
      <c r="E217">
        <v>85742.689229999989</v>
      </c>
      <c r="F217">
        <v>14597.25164292999</v>
      </c>
      <c r="G217">
        <v>71145.437587070002</v>
      </c>
      <c r="I217">
        <v>11153.315968947551</v>
      </c>
      <c r="J217">
        <v>20654.400515884459</v>
      </c>
      <c r="K217">
        <v>50352.968230320359</v>
      </c>
      <c r="L217">
        <v>-858.12954723198231</v>
      </c>
      <c r="M217">
        <v>0</v>
      </c>
      <c r="N217">
        <v>41381.37852618804</v>
      </c>
      <c r="O217">
        <v>37738.859696302818</v>
      </c>
      <c r="P217" s="2">
        <v>44328.291666666657</v>
      </c>
      <c r="Q217" s="2">
        <v>44330.940972222219</v>
      </c>
      <c r="R217">
        <v>18.559670031508929</v>
      </c>
      <c r="S217">
        <v>5.0041666030883789</v>
      </c>
      <c r="T217">
        <f t="shared" si="59"/>
        <v>1.1813640818008357</v>
      </c>
      <c r="U217">
        <f t="shared" si="60"/>
        <v>0</v>
      </c>
      <c r="V217">
        <f t="shared" si="61"/>
        <v>2271.9999999999995</v>
      </c>
      <c r="W217">
        <f t="shared" si="62"/>
        <v>386.79630917306298</v>
      </c>
      <c r="X217">
        <f t="shared" si="63"/>
        <v>1885.2036908269367</v>
      </c>
      <c r="Y217">
        <f t="shared" si="64"/>
        <v>0</v>
      </c>
      <c r="Z217">
        <f t="shared" si="65"/>
        <v>295.53929447529686</v>
      </c>
      <c r="AA217">
        <f t="shared" si="66"/>
        <v>547.29794917221409</v>
      </c>
      <c r="AB217">
        <f t="shared" si="67"/>
        <v>1334.2472092566516</v>
      </c>
      <c r="AC217">
        <f t="shared" si="68"/>
        <v>-22.73861887024772</v>
      </c>
      <c r="AD217">
        <f t="shared" si="69"/>
        <v>0</v>
      </c>
      <c r="AE217">
        <f t="shared" si="70"/>
        <v>1096.5190485138603</v>
      </c>
      <c r="AF217">
        <f t="shared" si="71"/>
        <v>1000</v>
      </c>
      <c r="AG217">
        <f t="shared" si="72"/>
        <v>-0.49179201970766417</v>
      </c>
      <c r="AH217">
        <f t="shared" si="73"/>
        <v>0.49179201970766417</v>
      </c>
      <c r="AI217" s="5">
        <f t="shared" si="56"/>
        <v>0</v>
      </c>
      <c r="AJ217" s="5">
        <f t="shared" si="57"/>
        <v>0.44014084507042261</v>
      </c>
      <c r="AK217" s="5">
        <f t="shared" si="58"/>
        <v>2033.3798840298989</v>
      </c>
    </row>
    <row r="218" spans="1:37" hidden="1" x14ac:dyDescent="0.3">
      <c r="A218">
        <v>5171618</v>
      </c>
      <c r="B218" t="s">
        <v>51</v>
      </c>
      <c r="C218">
        <v>106.9166666666667</v>
      </c>
      <c r="D218">
        <v>0</v>
      </c>
      <c r="E218">
        <v>109610.758</v>
      </c>
      <c r="F218">
        <v>15905.753585</v>
      </c>
      <c r="G218">
        <v>93705.004414999989</v>
      </c>
      <c r="H218">
        <v>35356.252666666667</v>
      </c>
      <c r="I218">
        <v>-35866.599150566792</v>
      </c>
      <c r="J218">
        <v>40050.979109099579</v>
      </c>
      <c r="K218">
        <v>93165.26200460174</v>
      </c>
      <c r="L218">
        <v>-31568.870427278529</v>
      </c>
      <c r="M218">
        <v>0</v>
      </c>
      <c r="N218">
        <v>59512.447840826921</v>
      </c>
      <c r="O218">
        <v>65418.326113116716</v>
      </c>
      <c r="P218" s="2">
        <v>44330.9375</v>
      </c>
      <c r="Q218" s="2">
        <v>44338.309027777781</v>
      </c>
      <c r="R218">
        <v>49.705556868304967</v>
      </c>
      <c r="S218">
        <v>5.003618365839908</v>
      </c>
      <c r="T218">
        <f t="shared" si="59"/>
        <v>1.6343534452684405</v>
      </c>
      <c r="U218">
        <f t="shared" si="60"/>
        <v>0</v>
      </c>
      <c r="V218">
        <f t="shared" si="61"/>
        <v>1675.5359623612026</v>
      </c>
      <c r="W218">
        <f t="shared" si="62"/>
        <v>243.13910994140852</v>
      </c>
      <c r="X218">
        <f t="shared" si="63"/>
        <v>1432.396852419794</v>
      </c>
      <c r="Y218">
        <f t="shared" si="64"/>
        <v>540.46403763879778</v>
      </c>
      <c r="Z218">
        <f t="shared" si="65"/>
        <v>-548.26531465431901</v>
      </c>
      <c r="AA218">
        <f t="shared" si="66"/>
        <v>612.22873602492177</v>
      </c>
      <c r="AB218">
        <f t="shared" si="67"/>
        <v>1424.1462223216627</v>
      </c>
      <c r="AC218">
        <f t="shared" si="68"/>
        <v>-482.56921726630372</v>
      </c>
      <c r="AD218">
        <f t="shared" si="69"/>
        <v>0</v>
      </c>
      <c r="AE218">
        <f t="shared" si="70"/>
        <v>909.72134838672321</v>
      </c>
      <c r="AF218">
        <f t="shared" si="71"/>
        <v>1000</v>
      </c>
      <c r="AG218">
        <f t="shared" si="72"/>
        <v>-0.75981089431052773</v>
      </c>
      <c r="AH218">
        <f t="shared" si="73"/>
        <v>0.75981089431052773</v>
      </c>
      <c r="AI218" s="5">
        <f t="shared" si="56"/>
        <v>0</v>
      </c>
      <c r="AJ218" s="5">
        <f t="shared" si="57"/>
        <v>0.4512635379061371</v>
      </c>
      <c r="AK218" s="5">
        <f t="shared" si="58"/>
        <v>1316.1169542158593</v>
      </c>
    </row>
    <row r="219" spans="1:37" hidden="1" x14ac:dyDescent="0.3">
      <c r="A219">
        <v>5177256</v>
      </c>
      <c r="B219" t="s">
        <v>32</v>
      </c>
      <c r="C219">
        <v>6.666666666666667</v>
      </c>
      <c r="D219">
        <v>11607.34065577062</v>
      </c>
      <c r="I219">
        <v>1955.8358054001701</v>
      </c>
      <c r="J219">
        <v>1898.570101059714</v>
      </c>
      <c r="K219">
        <v>3494.789450545341</v>
      </c>
      <c r="L219">
        <v>3820.7288746838231</v>
      </c>
      <c r="M219">
        <v>0</v>
      </c>
      <c r="N219">
        <v>230.0768611466745</v>
      </c>
      <c r="O219">
        <v>5131.4503341161017</v>
      </c>
      <c r="P219" s="2">
        <v>44338.291666666657</v>
      </c>
      <c r="Q219" s="2">
        <v>44338.569444444453</v>
      </c>
      <c r="R219">
        <v>1.7469879518072291</v>
      </c>
      <c r="T219">
        <f t="shared" si="59"/>
        <v>1.2991778605638611</v>
      </c>
      <c r="U219">
        <f t="shared" si="60"/>
        <v>2261.9999999999995</v>
      </c>
      <c r="V219">
        <f t="shared" si="61"/>
        <v>0</v>
      </c>
      <c r="W219">
        <f t="shared" si="62"/>
        <v>0</v>
      </c>
      <c r="X219">
        <f t="shared" si="63"/>
        <v>0</v>
      </c>
      <c r="Y219">
        <f t="shared" si="64"/>
        <v>0</v>
      </c>
      <c r="Z219">
        <f t="shared" si="65"/>
        <v>381.14678659109836</v>
      </c>
      <c r="AA219">
        <f t="shared" si="66"/>
        <v>369.98703630379089</v>
      </c>
      <c r="AB219">
        <f t="shared" si="67"/>
        <v>681.05296222209711</v>
      </c>
      <c r="AC219">
        <f t="shared" si="68"/>
        <v>744.57095478094459</v>
      </c>
      <c r="AD219">
        <f t="shared" si="69"/>
        <v>0</v>
      </c>
      <c r="AE219">
        <f t="shared" si="70"/>
        <v>44.836614634467765</v>
      </c>
      <c r="AF219">
        <f t="shared" si="71"/>
        <v>999.99999999999989</v>
      </c>
      <c r="AG219">
        <f t="shared" si="72"/>
        <v>2261.6595527895506</v>
      </c>
      <c r="AH219">
        <f t="shared" si="73"/>
        <v>0.34044721044896364</v>
      </c>
      <c r="AI219" s="5">
        <f t="shared" si="56"/>
        <v>0.44208664898320077</v>
      </c>
      <c r="AJ219" s="5">
        <f t="shared" si="57"/>
        <v>0</v>
      </c>
      <c r="AK219" s="5">
        <f t="shared" si="58"/>
        <v>2937.3129498733542</v>
      </c>
    </row>
    <row r="220" spans="1:37" hidden="1" x14ac:dyDescent="0.3">
      <c r="A220">
        <v>5177258</v>
      </c>
      <c r="B220" t="s">
        <v>33</v>
      </c>
      <c r="C220">
        <v>5.25</v>
      </c>
      <c r="D220">
        <v>10605.222755139779</v>
      </c>
      <c r="I220">
        <v>1404.8984396509711</v>
      </c>
      <c r="J220">
        <v>1425.81940912136</v>
      </c>
      <c r="K220">
        <v>2513.988552155628</v>
      </c>
      <c r="L220">
        <v>2520.912173368401</v>
      </c>
      <c r="M220">
        <v>0</v>
      </c>
      <c r="N220">
        <v>410.97309584512197</v>
      </c>
      <c r="O220">
        <v>4676.8350760553494</v>
      </c>
      <c r="P220" s="2">
        <v>44338.291666666657</v>
      </c>
      <c r="Q220" s="2">
        <v>44339.333333333343</v>
      </c>
      <c r="R220">
        <v>50671.579857645287</v>
      </c>
      <c r="S220">
        <v>6.9612180389289477</v>
      </c>
      <c r="T220">
        <f t="shared" si="59"/>
        <v>1.1225540166851646</v>
      </c>
      <c r="U220">
        <f t="shared" si="60"/>
        <v>2267.6067431662987</v>
      </c>
      <c r="V220">
        <f t="shared" si="61"/>
        <v>0</v>
      </c>
      <c r="W220">
        <f t="shared" si="62"/>
        <v>0</v>
      </c>
      <c r="X220">
        <f t="shared" si="63"/>
        <v>0</v>
      </c>
      <c r="Y220">
        <f t="shared" si="64"/>
        <v>0</v>
      </c>
      <c r="Z220">
        <f t="shared" si="65"/>
        <v>300.39512123141299</v>
      </c>
      <c r="AA220">
        <f t="shared" si="66"/>
        <v>304.8684390051144</v>
      </c>
      <c r="AB220">
        <f t="shared" si="67"/>
        <v>537.54056135672795</v>
      </c>
      <c r="AC220">
        <f t="shared" si="68"/>
        <v>539.02096874766221</v>
      </c>
      <c r="AD220">
        <f t="shared" si="69"/>
        <v>0</v>
      </c>
      <c r="AE220">
        <f t="shared" si="70"/>
        <v>87.874190379138824</v>
      </c>
      <c r="AF220">
        <f t="shared" si="71"/>
        <v>1000.0000000000001</v>
      </c>
      <c r="AG220">
        <f t="shared" si="72"/>
        <v>-8566.980971306617</v>
      </c>
      <c r="AH220">
        <f t="shared" si="73"/>
        <v>10834.587714472915</v>
      </c>
      <c r="AI220" s="5">
        <f t="shared" si="56"/>
        <v>0.44099357307593939</v>
      </c>
      <c r="AJ220" s="5">
        <f t="shared" si="57"/>
        <v>0</v>
      </c>
      <c r="AK220" s="5">
        <f t="shared" si="58"/>
        <v>9.2297005327133336E-2</v>
      </c>
    </row>
    <row r="221" spans="1:37" hidden="1" x14ac:dyDescent="0.3">
      <c r="A221">
        <v>5177259</v>
      </c>
      <c r="B221" t="s">
        <v>34</v>
      </c>
      <c r="C221">
        <v>88.75</v>
      </c>
      <c r="D221">
        <v>131222.2080755498</v>
      </c>
      <c r="I221">
        <v>-9853.7007460578388</v>
      </c>
      <c r="J221">
        <v>17822.413659656551</v>
      </c>
      <c r="K221">
        <v>26134.121791185749</v>
      </c>
      <c r="L221">
        <v>-1867.1526864496991</v>
      </c>
      <c r="M221">
        <v>0</v>
      </c>
      <c r="N221">
        <v>13005.51567337133</v>
      </c>
      <c r="O221">
        <v>56634.530891475973</v>
      </c>
      <c r="P221" s="2">
        <v>44339.333333333343</v>
      </c>
      <c r="Q221" s="2">
        <v>44344.03125</v>
      </c>
      <c r="R221">
        <v>188454.19836482979</v>
      </c>
      <c r="S221">
        <v>7.4278940892640133</v>
      </c>
      <c r="T221">
        <f t="shared" si="59"/>
        <v>1.567065156239472</v>
      </c>
      <c r="U221">
        <f t="shared" si="60"/>
        <v>2316.9999999999995</v>
      </c>
      <c r="V221">
        <f t="shared" si="61"/>
        <v>0</v>
      </c>
      <c r="W221">
        <f t="shared" si="62"/>
        <v>0</v>
      </c>
      <c r="X221">
        <f t="shared" si="63"/>
        <v>0</v>
      </c>
      <c r="Y221">
        <f t="shared" si="64"/>
        <v>0</v>
      </c>
      <c r="Z221">
        <f t="shared" si="65"/>
        <v>-173.9875053426268</v>
      </c>
      <c r="AA221">
        <f t="shared" si="66"/>
        <v>314.69164446348384</v>
      </c>
      <c r="AB221">
        <f t="shared" si="67"/>
        <v>461.45207490575643</v>
      </c>
      <c r="AC221">
        <f t="shared" si="68"/>
        <v>-32.968449761287296</v>
      </c>
      <c r="AD221">
        <f t="shared" si="69"/>
        <v>0</v>
      </c>
      <c r="AE221">
        <f t="shared" si="70"/>
        <v>229.63932902159488</v>
      </c>
      <c r="AF221">
        <f t="shared" si="71"/>
        <v>1000</v>
      </c>
      <c r="AG221">
        <f t="shared" si="72"/>
        <v>-1010.549383713425</v>
      </c>
      <c r="AH221">
        <f t="shared" si="73"/>
        <v>3327.5493837134245</v>
      </c>
      <c r="AI221" s="5">
        <f t="shared" si="56"/>
        <v>0.43159257660768247</v>
      </c>
      <c r="AJ221" s="5">
        <f t="shared" si="57"/>
        <v>0</v>
      </c>
      <c r="AK221" s="5">
        <f t="shared" si="58"/>
        <v>0.30052146029581572</v>
      </c>
    </row>
    <row r="222" spans="1:37" hidden="1" x14ac:dyDescent="0.3">
      <c r="A222">
        <v>5178078</v>
      </c>
      <c r="B222" t="s">
        <v>52</v>
      </c>
      <c r="C222">
        <v>31.583333333333339</v>
      </c>
      <c r="D222">
        <v>0</v>
      </c>
      <c r="E222">
        <v>48181.565249999963</v>
      </c>
      <c r="F222">
        <v>6697.2834824999954</v>
      </c>
      <c r="G222">
        <v>41484.281767499961</v>
      </c>
      <c r="H222">
        <v>5184.8405833333291</v>
      </c>
      <c r="I222">
        <v>-10308.414565476931</v>
      </c>
      <c r="J222">
        <v>12058.2365916786</v>
      </c>
      <c r="K222">
        <v>34656.352881156992</v>
      </c>
      <c r="L222">
        <v>-12572.9008454011</v>
      </c>
      <c r="M222">
        <v>0</v>
      </c>
      <c r="N222">
        <v>28541.135110675332</v>
      </c>
      <c r="O222">
        <v>23385.804484370419</v>
      </c>
      <c r="P222" s="2">
        <v>44345.083333333343</v>
      </c>
      <c r="Q222" s="2">
        <v>44347.427083333343</v>
      </c>
      <c r="R222">
        <v>15.554743705035969</v>
      </c>
      <c r="S222">
        <v>5.0040440559387207</v>
      </c>
      <c r="T222">
        <f t="shared" si="59"/>
        <v>1.3505343959598066</v>
      </c>
      <c r="U222">
        <f t="shared" si="60"/>
        <v>0</v>
      </c>
      <c r="V222">
        <f t="shared" si="61"/>
        <v>2060.2911172973095</v>
      </c>
      <c r="W222">
        <f t="shared" si="62"/>
        <v>286.38242857867186</v>
      </c>
      <c r="X222">
        <f t="shared" si="63"/>
        <v>1773.9086887186374</v>
      </c>
      <c r="Y222">
        <f t="shared" si="64"/>
        <v>221.70888270269026</v>
      </c>
      <c r="Z222">
        <f t="shared" si="65"/>
        <v>-440.79794528199443</v>
      </c>
      <c r="AA222">
        <f t="shared" si="66"/>
        <v>515.62205609550688</v>
      </c>
      <c r="AB222">
        <f t="shared" si="67"/>
        <v>1481.9397341801559</v>
      </c>
      <c r="AC222">
        <f t="shared" si="68"/>
        <v>-537.62960576378828</v>
      </c>
      <c r="AD222">
        <f t="shared" si="69"/>
        <v>0</v>
      </c>
      <c r="AE222">
        <f t="shared" si="70"/>
        <v>1220.4470079167218</v>
      </c>
      <c r="AF222">
        <f t="shared" si="71"/>
        <v>999.99999999999989</v>
      </c>
      <c r="AG222">
        <f t="shared" si="72"/>
        <v>-0.66513613912370506</v>
      </c>
      <c r="AH222">
        <f t="shared" si="73"/>
        <v>0.66513613912370506</v>
      </c>
      <c r="AI222" s="5">
        <f t="shared" si="56"/>
        <v>0</v>
      </c>
      <c r="AJ222" s="5">
        <f t="shared" si="57"/>
        <v>0.43821209465381245</v>
      </c>
      <c r="AK222" s="5">
        <f t="shared" si="58"/>
        <v>1503.4516111505638</v>
      </c>
    </row>
    <row r="223" spans="1:37" hidden="1" x14ac:dyDescent="0.3">
      <c r="A223">
        <v>5179465</v>
      </c>
      <c r="B223" t="s">
        <v>48</v>
      </c>
      <c r="C223">
        <v>12.41666666666667</v>
      </c>
      <c r="D223">
        <v>0</v>
      </c>
      <c r="E223">
        <v>19228</v>
      </c>
      <c r="F223">
        <v>2691.9200000000019</v>
      </c>
      <c r="G223">
        <v>16536.080000000002</v>
      </c>
      <c r="H223">
        <v>0</v>
      </c>
      <c r="I223">
        <v>6277.1049919707239</v>
      </c>
      <c r="J223">
        <v>4338.7870549177624</v>
      </c>
      <c r="K223">
        <v>13792.747099584931</v>
      </c>
      <c r="L223">
        <v>19249.083248473671</v>
      </c>
      <c r="M223">
        <v>0</v>
      </c>
      <c r="N223">
        <v>8978.2710189728969</v>
      </c>
      <c r="O223">
        <v>8463.0281690140855</v>
      </c>
      <c r="P223" s="2">
        <v>44344.583333333343</v>
      </c>
      <c r="Q223" s="2">
        <v>44345.100694444453</v>
      </c>
      <c r="R223">
        <v>3.2054896142433229</v>
      </c>
      <c r="S223">
        <v>5.0041666030883789</v>
      </c>
      <c r="T223">
        <f t="shared" si="59"/>
        <v>1.4671659385618196</v>
      </c>
      <c r="U223">
        <f t="shared" si="60"/>
        <v>0</v>
      </c>
      <c r="V223">
        <f t="shared" si="61"/>
        <v>2271.9999999999995</v>
      </c>
      <c r="W223">
        <f t="shared" si="62"/>
        <v>318.08000000000015</v>
      </c>
      <c r="X223">
        <f t="shared" si="63"/>
        <v>1953.92</v>
      </c>
      <c r="Y223">
        <f t="shared" si="64"/>
        <v>0</v>
      </c>
      <c r="Z223">
        <f t="shared" si="65"/>
        <v>741.70909828154163</v>
      </c>
      <c r="AA223">
        <f t="shared" si="66"/>
        <v>512.67548308576841</v>
      </c>
      <c r="AB223">
        <f t="shared" si="67"/>
        <v>1629.764999493289</v>
      </c>
      <c r="AC223">
        <f t="shared" si="68"/>
        <v>2274.4912180430711</v>
      </c>
      <c r="AD223">
        <f t="shared" si="69"/>
        <v>0</v>
      </c>
      <c r="AE223">
        <f t="shared" si="70"/>
        <v>1060.8816182185572</v>
      </c>
      <c r="AF223">
        <f t="shared" si="71"/>
        <v>1000</v>
      </c>
      <c r="AG223">
        <f t="shared" si="72"/>
        <v>-0.37876390698776935</v>
      </c>
      <c r="AH223">
        <f t="shared" si="73"/>
        <v>0.37876390698776935</v>
      </c>
      <c r="AI223" s="5">
        <f t="shared" si="56"/>
        <v>0</v>
      </c>
      <c r="AJ223" s="5">
        <f t="shared" si="57"/>
        <v>0.44014084507042256</v>
      </c>
      <c r="AK223" s="5">
        <f t="shared" si="58"/>
        <v>2640.1670844320734</v>
      </c>
    </row>
    <row r="224" spans="1:37" hidden="1" x14ac:dyDescent="0.3">
      <c r="A224">
        <v>5178079</v>
      </c>
      <c r="B224" t="s">
        <v>31</v>
      </c>
      <c r="C224">
        <v>15.25</v>
      </c>
      <c r="D224">
        <v>0</v>
      </c>
      <c r="E224">
        <v>20688.066074028098</v>
      </c>
      <c r="F224">
        <v>2896.329250363935</v>
      </c>
      <c r="G224">
        <v>17791.736823664171</v>
      </c>
      <c r="H224">
        <v>2298.674008225345</v>
      </c>
      <c r="I224">
        <v>4894.2753575130737</v>
      </c>
      <c r="J224">
        <v>4891.8234903744606</v>
      </c>
      <c r="K224">
        <v>12666.459720097129</v>
      </c>
      <c r="L224">
        <v>12688.670425992919</v>
      </c>
      <c r="M224">
        <v>0</v>
      </c>
      <c r="N224">
        <v>10873.07954250269</v>
      </c>
      <c r="O224">
        <v>10073.067520707031</v>
      </c>
      <c r="P224" s="2">
        <v>44345.291666666657</v>
      </c>
      <c r="Q224" s="2">
        <v>44345.927083333343</v>
      </c>
      <c r="R224">
        <v>4.027721774193548</v>
      </c>
      <c r="T224">
        <f t="shared" si="59"/>
        <v>1.5139380301631891</v>
      </c>
      <c r="U224">
        <f t="shared" si="60"/>
        <v>0</v>
      </c>
      <c r="V224">
        <f t="shared" si="61"/>
        <v>2053.7999999999997</v>
      </c>
      <c r="W224">
        <f t="shared" si="62"/>
        <v>287.5320000000001</v>
      </c>
      <c r="X224">
        <f t="shared" si="63"/>
        <v>1766.2680000000005</v>
      </c>
      <c r="Y224">
        <f t="shared" si="64"/>
        <v>228.20000000000007</v>
      </c>
      <c r="Z224">
        <f t="shared" si="65"/>
        <v>485.87735041505448</v>
      </c>
      <c r="AA224">
        <f t="shared" si="66"/>
        <v>485.63394222449358</v>
      </c>
      <c r="AB224">
        <f t="shared" si="67"/>
        <v>1257.458037887556</v>
      </c>
      <c r="AC224">
        <f t="shared" si="68"/>
        <v>1259.6629973847628</v>
      </c>
      <c r="AD224">
        <f t="shared" si="69"/>
        <v>0</v>
      </c>
      <c r="AE224">
        <f t="shared" si="70"/>
        <v>1079.420893402242</v>
      </c>
      <c r="AF224">
        <f t="shared" si="71"/>
        <v>999.99999999999989</v>
      </c>
      <c r="AG224">
        <f t="shared" si="72"/>
        <v>-0.39985056845035832</v>
      </c>
      <c r="AH224">
        <f t="shared" si="73"/>
        <v>0.39985056845035832</v>
      </c>
      <c r="AI224" s="5">
        <f t="shared" si="56"/>
        <v>0</v>
      </c>
      <c r="AJ224" s="5">
        <f t="shared" si="57"/>
        <v>0.43821209465381245</v>
      </c>
      <c r="AK224" s="5">
        <f t="shared" si="58"/>
        <v>2500.9342962185897</v>
      </c>
    </row>
    <row r="225" spans="1:37" hidden="1" x14ac:dyDescent="0.3">
      <c r="A225">
        <v>5181626</v>
      </c>
      <c r="B225" t="s">
        <v>53</v>
      </c>
      <c r="C225">
        <v>14.91666666666667</v>
      </c>
      <c r="D225">
        <v>0</v>
      </c>
      <c r="E225">
        <v>27324</v>
      </c>
      <c r="F225">
        <v>3552.119999999999</v>
      </c>
      <c r="G225">
        <v>23771.88</v>
      </c>
      <c r="I225">
        <v>0</v>
      </c>
      <c r="J225">
        <v>6631.6899125823074</v>
      </c>
      <c r="K225">
        <v>15445.20198170506</v>
      </c>
      <c r="L225">
        <v>0</v>
      </c>
      <c r="M225">
        <v>0</v>
      </c>
      <c r="N225">
        <v>15043.773885391191</v>
      </c>
      <c r="O225">
        <v>12026.40845070423</v>
      </c>
      <c r="P225" s="2">
        <v>44347.4375</v>
      </c>
      <c r="Q225" s="2">
        <v>44348.059027777781</v>
      </c>
      <c r="R225">
        <v>4.6136999569522166</v>
      </c>
      <c r="S225">
        <v>5.0041666030883789</v>
      </c>
      <c r="T225">
        <f t="shared" si="59"/>
        <v>1.240325964963646</v>
      </c>
      <c r="U225">
        <f t="shared" si="60"/>
        <v>0</v>
      </c>
      <c r="V225">
        <f t="shared" si="61"/>
        <v>2271.9999999999991</v>
      </c>
      <c r="W225">
        <f t="shared" si="62"/>
        <v>295.35999999999979</v>
      </c>
      <c r="X225">
        <f t="shared" si="63"/>
        <v>1976.6399999999992</v>
      </c>
      <c r="Y225">
        <f t="shared" si="64"/>
        <v>0</v>
      </c>
      <c r="Z225">
        <f t="shared" si="65"/>
        <v>0</v>
      </c>
      <c r="AA225">
        <f t="shared" si="66"/>
        <v>551.42729766458046</v>
      </c>
      <c r="AB225">
        <f t="shared" si="67"/>
        <v>1284.2738582357592</v>
      </c>
      <c r="AC225">
        <f t="shared" si="68"/>
        <v>0</v>
      </c>
      <c r="AD225">
        <f t="shared" si="69"/>
        <v>0</v>
      </c>
      <c r="AE225">
        <f t="shared" si="70"/>
        <v>1250.8949739280038</v>
      </c>
      <c r="AF225">
        <f t="shared" si="71"/>
        <v>1000</v>
      </c>
      <c r="AG225">
        <f t="shared" si="72"/>
        <v>-0.38363073862521713</v>
      </c>
      <c r="AH225">
        <f t="shared" si="73"/>
        <v>0.38363073862521713</v>
      </c>
      <c r="AI225" s="5">
        <f t="shared" si="56"/>
        <v>0</v>
      </c>
      <c r="AJ225" s="5">
        <f t="shared" si="57"/>
        <v>0.44014084507042273</v>
      </c>
      <c r="AK225" s="5">
        <f t="shared" si="58"/>
        <v>2606.673291049643</v>
      </c>
    </row>
    <row r="226" spans="1:37" hidden="1" x14ac:dyDescent="0.3">
      <c r="A226">
        <v>5182306</v>
      </c>
      <c r="B226" t="s">
        <v>31</v>
      </c>
      <c r="C226">
        <v>58.75</v>
      </c>
      <c r="D226">
        <v>0</v>
      </c>
      <c r="E226">
        <v>88388.413499999981</v>
      </c>
      <c r="F226">
        <v>11328.493755</v>
      </c>
      <c r="G226">
        <v>77059.919744999977</v>
      </c>
      <c r="H226">
        <v>9652.2681666666649</v>
      </c>
      <c r="I226">
        <v>37417.665181387441</v>
      </c>
      <c r="J226">
        <v>27948.150640248361</v>
      </c>
      <c r="K226">
        <v>65613.69923965339</v>
      </c>
      <c r="L226">
        <v>1055.7515308459549</v>
      </c>
      <c r="M226">
        <v>0</v>
      </c>
      <c r="N226">
        <v>51861.348748245931</v>
      </c>
      <c r="O226">
        <v>42962.612474437607</v>
      </c>
      <c r="P226" s="2">
        <v>44348.291666666657</v>
      </c>
      <c r="Q226" s="2">
        <v>44351.510416666657</v>
      </c>
      <c r="R226">
        <v>23.223966193782069</v>
      </c>
      <c r="S226">
        <v>5.0040908466685901</v>
      </c>
      <c r="T226">
        <f t="shared" si="59"/>
        <v>1.3674680522502154</v>
      </c>
      <c r="U226">
        <f t="shared" si="60"/>
        <v>0</v>
      </c>
      <c r="V226">
        <f t="shared" si="61"/>
        <v>2057.3333046864955</v>
      </c>
      <c r="W226">
        <f t="shared" si="62"/>
        <v>263.68260919282687</v>
      </c>
      <c r="X226">
        <f t="shared" si="63"/>
        <v>1793.6506954936685</v>
      </c>
      <c r="Y226">
        <f t="shared" si="64"/>
        <v>224.66669531350502</v>
      </c>
      <c r="Z226">
        <f t="shared" si="65"/>
        <v>870.93551872923547</v>
      </c>
      <c r="AA226">
        <f t="shared" si="66"/>
        <v>650.52260629814532</v>
      </c>
      <c r="AB226">
        <f t="shared" si="67"/>
        <v>1527.2278723434936</v>
      </c>
      <c r="AC226">
        <f t="shared" si="68"/>
        <v>24.573727481635768</v>
      </c>
      <c r="AD226">
        <f t="shared" si="69"/>
        <v>0</v>
      </c>
      <c r="AE226">
        <f t="shared" si="70"/>
        <v>1207.1274478269449</v>
      </c>
      <c r="AF226">
        <f t="shared" si="71"/>
        <v>1000.0000000000001</v>
      </c>
      <c r="AG226">
        <f t="shared" si="72"/>
        <v>-0.54056224368571937</v>
      </c>
      <c r="AH226">
        <f t="shared" si="73"/>
        <v>0.54056224368571937</v>
      </c>
      <c r="AI226" s="5">
        <f t="shared" si="56"/>
        <v>0</v>
      </c>
      <c r="AJ226" s="5">
        <f t="shared" si="57"/>
        <v>0.43821209465381233</v>
      </c>
      <c r="AK226" s="5">
        <f t="shared" si="58"/>
        <v>1849.9257239678689</v>
      </c>
    </row>
    <row r="227" spans="1:37" hidden="1" x14ac:dyDescent="0.3">
      <c r="A227">
        <v>5184674</v>
      </c>
      <c r="B227" t="s">
        <v>48</v>
      </c>
      <c r="C227">
        <v>84.25</v>
      </c>
      <c r="D227">
        <v>0</v>
      </c>
      <c r="E227">
        <v>155160.02468999999</v>
      </c>
      <c r="F227">
        <v>16499.870715900011</v>
      </c>
      <c r="G227">
        <v>138660.15397409999</v>
      </c>
      <c r="I227">
        <v>-23951.198762497788</v>
      </c>
      <c r="J227">
        <v>39178.711662949027</v>
      </c>
      <c r="K227">
        <v>95089.111044522157</v>
      </c>
      <c r="L227">
        <v>27458.730660881349</v>
      </c>
      <c r="M227">
        <v>0</v>
      </c>
      <c r="N227">
        <v>79394.623766559613</v>
      </c>
      <c r="O227">
        <v>68292.264388204247</v>
      </c>
      <c r="P227" s="2">
        <v>44351.506944444453</v>
      </c>
      <c r="Q227" s="2">
        <v>44355.072916666657</v>
      </c>
      <c r="R227">
        <v>23.93873435020279</v>
      </c>
      <c r="S227">
        <v>5.0041666030883789</v>
      </c>
      <c r="T227">
        <f t="shared" si="59"/>
        <v>1.2336682749467016</v>
      </c>
      <c r="U227">
        <f t="shared" si="60"/>
        <v>0</v>
      </c>
      <c r="V227">
        <f t="shared" si="61"/>
        <v>2271.9999999999991</v>
      </c>
      <c r="W227">
        <f t="shared" si="62"/>
        <v>241.60673047985716</v>
      </c>
      <c r="X227">
        <f t="shared" si="63"/>
        <v>2030.3932695201422</v>
      </c>
      <c r="Y227">
        <f t="shared" si="64"/>
        <v>0</v>
      </c>
      <c r="Z227">
        <f t="shared" si="65"/>
        <v>-350.71613127876822</v>
      </c>
      <c r="AA227">
        <f t="shared" si="66"/>
        <v>573.69179385002428</v>
      </c>
      <c r="AB227">
        <f t="shared" si="67"/>
        <v>1392.3848022375194</v>
      </c>
      <c r="AC227">
        <f t="shared" si="68"/>
        <v>402.07673455947298</v>
      </c>
      <c r="AD227">
        <f t="shared" si="69"/>
        <v>0</v>
      </c>
      <c r="AE227">
        <f t="shared" si="70"/>
        <v>1162.5712586603443</v>
      </c>
      <c r="AF227">
        <f t="shared" si="71"/>
        <v>1000</v>
      </c>
      <c r="AG227">
        <f t="shared" si="72"/>
        <v>-0.35053361555159679</v>
      </c>
      <c r="AH227">
        <f t="shared" si="73"/>
        <v>0.35053361555159679</v>
      </c>
      <c r="AI227" s="5">
        <f t="shared" si="56"/>
        <v>0</v>
      </c>
      <c r="AJ227" s="5">
        <f t="shared" si="57"/>
        <v>0.44014084507042267</v>
      </c>
      <c r="AK227" s="5">
        <f t="shared" si="58"/>
        <v>2852.793443009477</v>
      </c>
    </row>
    <row r="228" spans="1:37" hidden="1" x14ac:dyDescent="0.3">
      <c r="A228">
        <v>5186479</v>
      </c>
      <c r="B228" t="s">
        <v>32</v>
      </c>
      <c r="C228">
        <v>12.5</v>
      </c>
      <c r="D228">
        <v>30766.646209505179</v>
      </c>
      <c r="I228">
        <v>3599.2656010949559</v>
      </c>
      <c r="J228">
        <v>3687.355644764818</v>
      </c>
      <c r="K228">
        <v>5774.4132389621063</v>
      </c>
      <c r="L228">
        <v>-22595.901266856381</v>
      </c>
      <c r="M228">
        <v>0</v>
      </c>
      <c r="N228">
        <v>1019.0570087565191</v>
      </c>
      <c r="O228">
        <v>13601.523523211839</v>
      </c>
      <c r="P228" s="2">
        <v>44358.583333333343</v>
      </c>
      <c r="Q228" s="2">
        <v>44359.104166666657</v>
      </c>
      <c r="R228">
        <v>35187.366963166722</v>
      </c>
      <c r="S228">
        <v>7.2514967415702269</v>
      </c>
      <c r="T228">
        <f t="shared" si="59"/>
        <v>0.91901469557200544</v>
      </c>
      <c r="U228">
        <f t="shared" si="60"/>
        <v>2262</v>
      </c>
      <c r="V228">
        <f t="shared" si="61"/>
        <v>0</v>
      </c>
      <c r="W228">
        <f t="shared" si="62"/>
        <v>0</v>
      </c>
      <c r="X228">
        <f t="shared" si="63"/>
        <v>0</v>
      </c>
      <c r="Y228">
        <f t="shared" si="64"/>
        <v>0</v>
      </c>
      <c r="Z228">
        <f t="shared" si="65"/>
        <v>264.6222384538458</v>
      </c>
      <c r="AA228">
        <f t="shared" si="66"/>
        <v>271.09872202714041</v>
      </c>
      <c r="AB228">
        <f t="shared" si="67"/>
        <v>424.54164999293749</v>
      </c>
      <c r="AC228">
        <f t="shared" si="68"/>
        <v>-1661.2772259148087</v>
      </c>
      <c r="AD228">
        <f t="shared" si="69"/>
        <v>0</v>
      </c>
      <c r="AE228">
        <f t="shared" si="70"/>
        <v>74.922269333831267</v>
      </c>
      <c r="AF228">
        <f t="shared" si="71"/>
        <v>1000</v>
      </c>
      <c r="AG228">
        <f t="shared" si="72"/>
        <v>-325.01658701080851</v>
      </c>
      <c r="AH228">
        <f t="shared" si="73"/>
        <v>2587.0165870108085</v>
      </c>
      <c r="AI228" s="5">
        <f t="shared" si="56"/>
        <v>0.44208664898320071</v>
      </c>
      <c r="AJ228" s="5">
        <f t="shared" si="57"/>
        <v>0</v>
      </c>
      <c r="AK228" s="5">
        <f t="shared" si="58"/>
        <v>0.38654564683539927</v>
      </c>
    </row>
    <row r="229" spans="1:37" hidden="1" x14ac:dyDescent="0.3">
      <c r="A229">
        <v>5188512</v>
      </c>
      <c r="B229" t="s">
        <v>40</v>
      </c>
      <c r="C229">
        <v>18.666666666666661</v>
      </c>
      <c r="D229">
        <v>40497.317012310887</v>
      </c>
      <c r="I229">
        <v>4460.9710928393579</v>
      </c>
      <c r="J229">
        <v>4425.643768098068</v>
      </c>
      <c r="K229">
        <v>5184.9445614481647</v>
      </c>
      <c r="L229">
        <v>5258.2871274755335</v>
      </c>
      <c r="M229">
        <v>4339.7091081828994</v>
      </c>
      <c r="N229">
        <v>5104.0603726362688</v>
      </c>
      <c r="O229">
        <v>26262.8514995531</v>
      </c>
      <c r="P229" s="2">
        <v>44359.125</v>
      </c>
      <c r="Q229" s="2">
        <v>44359.913194444453</v>
      </c>
      <c r="R229">
        <v>43467.42903899782</v>
      </c>
      <c r="S229">
        <v>6.9644386395065387</v>
      </c>
      <c r="T229">
        <f t="shared" si="59"/>
        <v>0.71076313503064592</v>
      </c>
      <c r="U229">
        <f t="shared" si="60"/>
        <v>1542.0000000000002</v>
      </c>
      <c r="V229">
        <f t="shared" si="61"/>
        <v>0</v>
      </c>
      <c r="W229">
        <f t="shared" si="62"/>
        <v>0</v>
      </c>
      <c r="X229">
        <f t="shared" si="63"/>
        <v>0</v>
      </c>
      <c r="Y229">
        <f t="shared" si="64"/>
        <v>0</v>
      </c>
      <c r="Z229">
        <f t="shared" si="65"/>
        <v>169.85859638719228</v>
      </c>
      <c r="AA229">
        <f t="shared" si="66"/>
        <v>168.5134520969049</v>
      </c>
      <c r="AB229">
        <f t="shared" si="67"/>
        <v>197.42504204223192</v>
      </c>
      <c r="AC229">
        <f t="shared" si="68"/>
        <v>200.21767733656077</v>
      </c>
      <c r="AD229">
        <f t="shared" si="69"/>
        <v>165.24135272427466</v>
      </c>
      <c r="AE229">
        <f t="shared" si="70"/>
        <v>194.34524742003441</v>
      </c>
      <c r="AF229">
        <f t="shared" si="71"/>
        <v>1000</v>
      </c>
      <c r="AG229">
        <f t="shared" si="72"/>
        <v>-113.09175725786963</v>
      </c>
      <c r="AH229">
        <f t="shared" si="73"/>
        <v>1655.0917572578699</v>
      </c>
      <c r="AI229" s="5">
        <f t="shared" si="56"/>
        <v>0.64850843060959784</v>
      </c>
      <c r="AJ229" s="5">
        <f t="shared" si="57"/>
        <v>0</v>
      </c>
      <c r="AK229" s="5">
        <f t="shared" si="58"/>
        <v>0.60419610913704536</v>
      </c>
    </row>
    <row r="230" spans="1:37" hidden="1" x14ac:dyDescent="0.3">
      <c r="A230">
        <v>5188514</v>
      </c>
      <c r="B230" t="s">
        <v>32</v>
      </c>
      <c r="C230">
        <v>51.75</v>
      </c>
      <c r="D230">
        <v>117797.4771477826</v>
      </c>
      <c r="I230">
        <v>13784.22672272437</v>
      </c>
      <c r="J230">
        <v>13729.155612576469</v>
      </c>
      <c r="K230">
        <v>5044.0273403577812</v>
      </c>
      <c r="L230">
        <v>4946.0279045530951</v>
      </c>
      <c r="M230">
        <v>36710.223424389347</v>
      </c>
      <c r="N230">
        <v>23934.391398028642</v>
      </c>
      <c r="O230">
        <v>52076.691930938381</v>
      </c>
      <c r="P230" s="2">
        <v>44359.909722222219</v>
      </c>
      <c r="Q230" s="2">
        <v>44362.069444444453</v>
      </c>
      <c r="R230">
        <v>126421.037705643</v>
      </c>
      <c r="S230">
        <v>7.4702870836145552</v>
      </c>
      <c r="T230">
        <f t="shared" si="59"/>
        <v>0.99372671498850917</v>
      </c>
      <c r="U230">
        <f t="shared" si="60"/>
        <v>2261.9999999999995</v>
      </c>
      <c r="V230">
        <f t="shared" si="61"/>
        <v>0</v>
      </c>
      <c r="W230">
        <f t="shared" si="62"/>
        <v>0</v>
      </c>
      <c r="X230">
        <f t="shared" si="63"/>
        <v>0</v>
      </c>
      <c r="Y230">
        <f t="shared" si="64"/>
        <v>0</v>
      </c>
      <c r="Z230">
        <f t="shared" si="65"/>
        <v>264.69090511748237</v>
      </c>
      <c r="AA230">
        <f t="shared" si="66"/>
        <v>263.63340495558782</v>
      </c>
      <c r="AB230">
        <f t="shared" si="67"/>
        <v>96.857675734221544</v>
      </c>
      <c r="AC230">
        <f t="shared" si="68"/>
        <v>94.975846605469499</v>
      </c>
      <c r="AD230">
        <f t="shared" si="69"/>
        <v>704.92617835773228</v>
      </c>
      <c r="AE230">
        <f t="shared" si="70"/>
        <v>459.59892056448763</v>
      </c>
      <c r="AF230">
        <f t="shared" si="71"/>
        <v>999.99999999999989</v>
      </c>
      <c r="AG230">
        <f t="shared" si="72"/>
        <v>-165.59347835105518</v>
      </c>
      <c r="AH230">
        <f t="shared" si="73"/>
        <v>2427.5934783510547</v>
      </c>
      <c r="AI230" s="5">
        <f t="shared" si="56"/>
        <v>0.44208664898320077</v>
      </c>
      <c r="AJ230" s="5">
        <f t="shared" si="57"/>
        <v>0</v>
      </c>
      <c r="AK230" s="5">
        <f t="shared" si="58"/>
        <v>0.41193058430823065</v>
      </c>
    </row>
    <row r="231" spans="1:37" hidden="1" x14ac:dyDescent="0.3">
      <c r="A231">
        <v>5188518</v>
      </c>
      <c r="B231" t="s">
        <v>33</v>
      </c>
      <c r="C231">
        <v>15.08333333333333</v>
      </c>
      <c r="D231">
        <v>29288.727155464581</v>
      </c>
      <c r="I231">
        <v>-23480.107659778529</v>
      </c>
      <c r="J231">
        <v>4202.8023146390751</v>
      </c>
      <c r="K231">
        <v>2810.055685806527</v>
      </c>
      <c r="L231">
        <v>-26441.92838703113</v>
      </c>
      <c r="M231">
        <v>6704.6695654302957</v>
      </c>
      <c r="N231">
        <v>5840.7077891862054</v>
      </c>
      <c r="O231">
        <v>12948.155241142609</v>
      </c>
      <c r="P231" s="2">
        <v>44362.069444444453</v>
      </c>
      <c r="Q231" s="2">
        <v>44362.697916666657</v>
      </c>
      <c r="R231">
        <v>29991.15796568698</v>
      </c>
      <c r="S231">
        <v>6.551689948766068</v>
      </c>
      <c r="T231">
        <f t="shared" si="59"/>
        <v>1.1649021078621469</v>
      </c>
      <c r="U231">
        <f t="shared" si="60"/>
        <v>2262</v>
      </c>
      <c r="V231">
        <f t="shared" si="61"/>
        <v>0</v>
      </c>
      <c r="W231">
        <f t="shared" si="62"/>
        <v>0</v>
      </c>
      <c r="X231">
        <f t="shared" si="63"/>
        <v>0</v>
      </c>
      <c r="Y231">
        <f t="shared" si="64"/>
        <v>0</v>
      </c>
      <c r="Z231">
        <f t="shared" si="65"/>
        <v>-1813.394048997093</v>
      </c>
      <c r="AA231">
        <f t="shared" si="66"/>
        <v>324.58695747520238</v>
      </c>
      <c r="AB231">
        <f t="shared" si="67"/>
        <v>217.02363259266528</v>
      </c>
      <c r="AC231">
        <f t="shared" si="68"/>
        <v>-2042.138659491216</v>
      </c>
      <c r="AD231">
        <f t="shared" si="69"/>
        <v>517.80886470423889</v>
      </c>
      <c r="AE231">
        <f t="shared" si="70"/>
        <v>451.0841645323672</v>
      </c>
      <c r="AF231">
        <f t="shared" si="71"/>
        <v>999.99999999999989</v>
      </c>
      <c r="AG231">
        <f t="shared" si="72"/>
        <v>-54.249489378257749</v>
      </c>
      <c r="AH231">
        <f t="shared" si="73"/>
        <v>2316.2494893782577</v>
      </c>
      <c r="AI231" s="5">
        <f t="shared" si="56"/>
        <v>0.44208664898320071</v>
      </c>
      <c r="AJ231" s="5">
        <f t="shared" si="57"/>
        <v>0</v>
      </c>
      <c r="AK231" s="5">
        <f t="shared" si="58"/>
        <v>0.43173242113414401</v>
      </c>
    </row>
    <row r="232" spans="1:37" hidden="1" x14ac:dyDescent="0.3">
      <c r="A232">
        <v>5189680</v>
      </c>
      <c r="B232" t="s">
        <v>32</v>
      </c>
      <c r="C232">
        <v>40.75</v>
      </c>
      <c r="D232">
        <v>86919.27387631929</v>
      </c>
      <c r="I232">
        <v>10443.81740287253</v>
      </c>
      <c r="J232">
        <v>10652.8019488749</v>
      </c>
      <c r="K232">
        <v>11360.88204557598</v>
      </c>
      <c r="L232">
        <v>11424.54399327894</v>
      </c>
      <c r="M232">
        <v>9109.7790215020941</v>
      </c>
      <c r="N232">
        <v>7839.239016760348</v>
      </c>
      <c r="O232">
        <v>38425.850520035063</v>
      </c>
      <c r="P232" s="2">
        <v>44362.6875</v>
      </c>
      <c r="Q232" s="2">
        <v>44368.114583333343</v>
      </c>
      <c r="R232">
        <v>305310.10976855282</v>
      </c>
      <c r="S232">
        <v>5.8140287830377542</v>
      </c>
      <c r="T232">
        <f t="shared" si="59"/>
        <v>1.0604840087730298</v>
      </c>
      <c r="U232">
        <f t="shared" si="60"/>
        <v>2261.9999999999995</v>
      </c>
      <c r="V232">
        <f t="shared" si="61"/>
        <v>0</v>
      </c>
      <c r="W232">
        <f t="shared" si="62"/>
        <v>0</v>
      </c>
      <c r="X232">
        <f t="shared" si="63"/>
        <v>0</v>
      </c>
      <c r="Y232">
        <f t="shared" si="64"/>
        <v>0</v>
      </c>
      <c r="Z232">
        <f t="shared" si="65"/>
        <v>271.7914440807802</v>
      </c>
      <c r="AA232">
        <f t="shared" si="66"/>
        <v>277.23008872166872</v>
      </c>
      <c r="AB232">
        <f t="shared" si="67"/>
        <v>295.6572695678517</v>
      </c>
      <c r="AC232">
        <f t="shared" si="68"/>
        <v>297.31401748211749</v>
      </c>
      <c r="AD232">
        <f t="shared" si="69"/>
        <v>237.07423253396297</v>
      </c>
      <c r="AE232">
        <f t="shared" si="70"/>
        <v>204.00951210365545</v>
      </c>
      <c r="AF232">
        <f t="shared" si="71"/>
        <v>1000.0000000000001</v>
      </c>
      <c r="AG232">
        <f t="shared" si="72"/>
        <v>-5683.4353159825459</v>
      </c>
      <c r="AH232">
        <f t="shared" si="73"/>
        <v>7945.435315982545</v>
      </c>
      <c r="AI232" s="5">
        <f t="shared" si="56"/>
        <v>0.44208664898320083</v>
      </c>
      <c r="AJ232" s="5">
        <f t="shared" si="57"/>
        <v>0</v>
      </c>
      <c r="AK232" s="5">
        <f t="shared" si="58"/>
        <v>0.12585842817050716</v>
      </c>
    </row>
    <row r="233" spans="1:37" hidden="1" x14ac:dyDescent="0.3">
      <c r="A233">
        <v>5189682</v>
      </c>
      <c r="B233" t="s">
        <v>40</v>
      </c>
      <c r="C233">
        <v>20.583333333333329</v>
      </c>
      <c r="D233">
        <v>53441.466509030819</v>
      </c>
      <c r="I233">
        <v>8886.1768672173293</v>
      </c>
      <c r="J233">
        <v>8742.8942476172997</v>
      </c>
      <c r="K233">
        <v>3149.450556936722</v>
      </c>
      <c r="L233">
        <v>3133.8223148442171</v>
      </c>
      <c r="M233">
        <v>15158.06652787958</v>
      </c>
      <c r="N233">
        <v>9527.9192568564595</v>
      </c>
      <c r="O233">
        <v>34657.241575246968</v>
      </c>
      <c r="P233" s="2">
        <v>44363.777777777781</v>
      </c>
      <c r="Q233" s="2">
        <v>44364.663194444453</v>
      </c>
      <c r="R233">
        <v>55991.459090965982</v>
      </c>
      <c r="S233">
        <v>5.9362558434406916</v>
      </c>
      <c r="T233">
        <f t="shared" si="59"/>
        <v>0.59391147124745314</v>
      </c>
      <c r="U233">
        <f t="shared" si="60"/>
        <v>1541.9999999999998</v>
      </c>
      <c r="V233">
        <f t="shared" si="61"/>
        <v>0</v>
      </c>
      <c r="W233">
        <f t="shared" si="62"/>
        <v>0</v>
      </c>
      <c r="X233">
        <f t="shared" si="63"/>
        <v>0</v>
      </c>
      <c r="Y233">
        <f t="shared" si="64"/>
        <v>0</v>
      </c>
      <c r="Z233">
        <f t="shared" si="65"/>
        <v>256.40173491372292</v>
      </c>
      <c r="AA233">
        <f t="shared" si="66"/>
        <v>252.26745840793299</v>
      </c>
      <c r="AB233">
        <f t="shared" si="67"/>
        <v>90.874241970432394</v>
      </c>
      <c r="AC233">
        <f t="shared" si="68"/>
        <v>90.423304694926102</v>
      </c>
      <c r="AD233">
        <f t="shared" si="69"/>
        <v>437.37083042136379</v>
      </c>
      <c r="AE233">
        <f t="shared" si="70"/>
        <v>274.91856892793015</v>
      </c>
      <c r="AF233">
        <f t="shared" si="71"/>
        <v>1000</v>
      </c>
      <c r="AG233">
        <f t="shared" si="72"/>
        <v>-73.577482397111226</v>
      </c>
      <c r="AH233">
        <f t="shared" si="73"/>
        <v>1615.577482397111</v>
      </c>
      <c r="AI233" s="5">
        <f t="shared" si="56"/>
        <v>0.64850843060959795</v>
      </c>
      <c r="AJ233" s="5">
        <f t="shared" si="57"/>
        <v>0</v>
      </c>
      <c r="AK233" s="5">
        <f t="shared" si="58"/>
        <v>0.61897371738324258</v>
      </c>
    </row>
    <row r="234" spans="1:37" hidden="1" x14ac:dyDescent="0.3">
      <c r="A234">
        <v>5191967</v>
      </c>
      <c r="B234" t="s">
        <v>42</v>
      </c>
      <c r="C234">
        <v>16.5</v>
      </c>
      <c r="D234">
        <v>34206.469457251747</v>
      </c>
      <c r="I234">
        <v>758.01006362983253</v>
      </c>
      <c r="J234">
        <v>5060.4843134922321</v>
      </c>
      <c r="K234">
        <v>12273.73137490879</v>
      </c>
      <c r="L234">
        <v>2041.3207339379869</v>
      </c>
      <c r="M234">
        <v>4505.1449160525417</v>
      </c>
      <c r="N234">
        <v>6300.7650464061744</v>
      </c>
      <c r="O234">
        <v>15122.223455902629</v>
      </c>
      <c r="P234" s="2">
        <v>44365.083333333343</v>
      </c>
      <c r="Q234" s="2">
        <v>44365.875</v>
      </c>
      <c r="R234">
        <v>43016.067657206993</v>
      </c>
      <c r="S234">
        <v>5.7368433460018942</v>
      </c>
      <c r="T234">
        <f t="shared" si="59"/>
        <v>1.0911093893113704</v>
      </c>
      <c r="U234">
        <f t="shared" si="60"/>
        <v>2262</v>
      </c>
      <c r="V234">
        <f t="shared" si="61"/>
        <v>0</v>
      </c>
      <c r="W234">
        <f t="shared" si="62"/>
        <v>0</v>
      </c>
      <c r="X234">
        <f t="shared" si="63"/>
        <v>0</v>
      </c>
      <c r="Y234">
        <f t="shared" si="64"/>
        <v>0</v>
      </c>
      <c r="Z234">
        <f t="shared" si="65"/>
        <v>50.125569552667862</v>
      </c>
      <c r="AA234">
        <f t="shared" si="66"/>
        <v>334.63890599480482</v>
      </c>
      <c r="AB234">
        <f t="shared" si="67"/>
        <v>811.63536636657807</v>
      </c>
      <c r="AC234">
        <f t="shared" si="68"/>
        <v>134.98813450883125</v>
      </c>
      <c r="AD234">
        <f t="shared" si="69"/>
        <v>297.91551018868569</v>
      </c>
      <c r="AE234">
        <f t="shared" si="70"/>
        <v>416.65599405931329</v>
      </c>
      <c r="AF234">
        <f t="shared" si="71"/>
        <v>1000</v>
      </c>
      <c r="AG234">
        <f t="shared" si="72"/>
        <v>-582.55971588070997</v>
      </c>
      <c r="AH234">
        <f t="shared" si="73"/>
        <v>2844.55971588071</v>
      </c>
      <c r="AI234" s="5">
        <f t="shared" si="56"/>
        <v>0.44208664898320071</v>
      </c>
      <c r="AJ234" s="5">
        <f t="shared" si="57"/>
        <v>0</v>
      </c>
      <c r="AK234" s="5">
        <f t="shared" si="58"/>
        <v>0.35154825346684204</v>
      </c>
    </row>
    <row r="235" spans="1:37" hidden="1" x14ac:dyDescent="0.3">
      <c r="A235">
        <v>5191186</v>
      </c>
      <c r="B235" t="s">
        <v>41</v>
      </c>
      <c r="C235">
        <v>42.916666666666657</v>
      </c>
      <c r="D235">
        <v>100570.995246707</v>
      </c>
      <c r="I235">
        <v>-7352.4352259724901</v>
      </c>
      <c r="J235">
        <v>15683.47020363408</v>
      </c>
      <c r="K235">
        <v>2702.7711325977862</v>
      </c>
      <c r="L235">
        <v>-15215.22355156055</v>
      </c>
      <c r="M235">
        <v>36715.604909660033</v>
      </c>
      <c r="N235">
        <v>16359.117769880801</v>
      </c>
      <c r="O235">
        <v>44461.094273522103</v>
      </c>
      <c r="P235" s="2">
        <v>44365.875</v>
      </c>
      <c r="Q235" s="2">
        <v>44368.795138888891</v>
      </c>
      <c r="R235">
        <v>168481.07523359649</v>
      </c>
      <c r="S235">
        <v>5.890970958790823</v>
      </c>
      <c r="T235">
        <f t="shared" si="59"/>
        <v>0.96526339191396826</v>
      </c>
      <c r="U235">
        <f t="shared" si="60"/>
        <v>2262</v>
      </c>
      <c r="V235">
        <f t="shared" si="61"/>
        <v>0</v>
      </c>
      <c r="W235">
        <f t="shared" si="62"/>
        <v>0</v>
      </c>
      <c r="X235">
        <f t="shared" si="63"/>
        <v>0</v>
      </c>
      <c r="Y235">
        <f t="shared" si="64"/>
        <v>0</v>
      </c>
      <c r="Z235">
        <f t="shared" si="65"/>
        <v>-165.36784229242605</v>
      </c>
      <c r="AA235">
        <f t="shared" si="66"/>
        <v>352.74593349300557</v>
      </c>
      <c r="AB235">
        <f t="shared" si="67"/>
        <v>60.789577421790234</v>
      </c>
      <c r="AC235">
        <f t="shared" si="68"/>
        <v>-342.21432918311382</v>
      </c>
      <c r="AD235">
        <f t="shared" si="69"/>
        <v>825.79175140827033</v>
      </c>
      <c r="AE235">
        <f t="shared" si="70"/>
        <v>367.94231084913127</v>
      </c>
      <c r="AF235">
        <f t="shared" si="71"/>
        <v>1000</v>
      </c>
      <c r="AG235">
        <f t="shared" si="72"/>
        <v>-1527.4046016301486</v>
      </c>
      <c r="AH235">
        <f t="shared" si="73"/>
        <v>3789.4046016301486</v>
      </c>
      <c r="AI235" s="5">
        <f t="shared" si="56"/>
        <v>0.44208664898320071</v>
      </c>
      <c r="AJ235" s="5">
        <f t="shared" si="57"/>
        <v>0</v>
      </c>
      <c r="AK235" s="5">
        <f t="shared" si="58"/>
        <v>0.26389369970412085</v>
      </c>
    </row>
    <row r="236" spans="1:37" hidden="1" x14ac:dyDescent="0.3">
      <c r="A236">
        <v>5188516</v>
      </c>
      <c r="B236" t="s">
        <v>38</v>
      </c>
      <c r="C236">
        <v>13.16666666666667</v>
      </c>
      <c r="D236">
        <v>31950.130337148901</v>
      </c>
      <c r="I236">
        <v>2816.143613373049</v>
      </c>
      <c r="J236">
        <v>5312.2292553679581</v>
      </c>
      <c r="K236">
        <v>0</v>
      </c>
      <c r="L236">
        <v>-4910.1362117035042</v>
      </c>
      <c r="M236">
        <v>7457.6228584347336</v>
      </c>
      <c r="N236">
        <v>5197.9558682784527</v>
      </c>
      <c r="O236">
        <v>13909.50384725681</v>
      </c>
      <c r="P236" s="2">
        <v>44368.854166666657</v>
      </c>
      <c r="Q236" s="2">
        <v>44369.493055555547</v>
      </c>
      <c r="R236">
        <v>37175.174623508203</v>
      </c>
      <c r="S236">
        <v>6.7281711443160113</v>
      </c>
      <c r="T236">
        <f t="shared" si="59"/>
        <v>0.94659499082444698</v>
      </c>
      <c r="U236">
        <f t="shared" si="60"/>
        <v>2297.0000000000005</v>
      </c>
      <c r="V236">
        <f t="shared" si="61"/>
        <v>0</v>
      </c>
      <c r="W236">
        <f t="shared" si="62"/>
        <v>0</v>
      </c>
      <c r="X236">
        <f t="shared" si="63"/>
        <v>0</v>
      </c>
      <c r="Y236">
        <f t="shared" si="64"/>
        <v>0</v>
      </c>
      <c r="Z236">
        <f t="shared" si="65"/>
        <v>202.46183072363434</v>
      </c>
      <c r="AA236">
        <f t="shared" si="66"/>
        <v>381.91364075258656</v>
      </c>
      <c r="AB236">
        <f t="shared" si="67"/>
        <v>0</v>
      </c>
      <c r="AC236">
        <f t="shared" si="68"/>
        <v>-353.00584877956425</v>
      </c>
      <c r="AD236">
        <f t="shared" si="69"/>
        <v>536.15304617105403</v>
      </c>
      <c r="AE236">
        <f t="shared" si="70"/>
        <v>373.69815094472818</v>
      </c>
      <c r="AF236">
        <f t="shared" si="71"/>
        <v>999.99999999999989</v>
      </c>
      <c r="AG236">
        <f t="shared" si="72"/>
        <v>-375.64562645343858</v>
      </c>
      <c r="AH236">
        <f t="shared" si="73"/>
        <v>2672.645626453439</v>
      </c>
      <c r="AI236" s="5">
        <f t="shared" si="56"/>
        <v>0.43535045711797987</v>
      </c>
      <c r="AJ236" s="5">
        <f t="shared" si="57"/>
        <v>0</v>
      </c>
      <c r="AK236" s="5">
        <f t="shared" si="58"/>
        <v>0.37416108970907042</v>
      </c>
    </row>
    <row r="237" spans="1:37" hidden="1" x14ac:dyDescent="0.3">
      <c r="A237">
        <v>5193759</v>
      </c>
      <c r="B237" t="s">
        <v>32</v>
      </c>
      <c r="C237">
        <v>8.5833333333333339</v>
      </c>
      <c r="D237">
        <v>21448.612547519089</v>
      </c>
      <c r="I237">
        <v>4993.0357011968772</v>
      </c>
      <c r="J237">
        <v>2324.210097708095</v>
      </c>
      <c r="K237">
        <v>2.8124999999999999E-3</v>
      </c>
      <c r="L237">
        <v>4925.1639126481377</v>
      </c>
      <c r="M237">
        <v>6009.5856255541294</v>
      </c>
      <c r="N237">
        <v>755.87563891977095</v>
      </c>
      <c r="O237">
        <v>9482.1452464717477</v>
      </c>
      <c r="P237" s="2">
        <v>44369.833333333343</v>
      </c>
      <c r="Q237" s="2">
        <v>44370.190972222219</v>
      </c>
      <c r="R237">
        <v>21658.57419262837</v>
      </c>
      <c r="S237">
        <v>6.2949455091303044</v>
      </c>
      <c r="T237">
        <f t="shared" si="59"/>
        <v>0.90521006694420159</v>
      </c>
      <c r="U237">
        <f t="shared" si="60"/>
        <v>2261.9999999999995</v>
      </c>
      <c r="V237">
        <f t="shared" si="61"/>
        <v>0</v>
      </c>
      <c r="W237">
        <f t="shared" si="62"/>
        <v>0</v>
      </c>
      <c r="X237">
        <f t="shared" si="63"/>
        <v>0</v>
      </c>
      <c r="Y237">
        <f t="shared" si="64"/>
        <v>0</v>
      </c>
      <c r="Z237">
        <f t="shared" si="65"/>
        <v>526.57237064099581</v>
      </c>
      <c r="AA237">
        <f t="shared" si="66"/>
        <v>245.1143741520855</v>
      </c>
      <c r="AB237">
        <f t="shared" si="67"/>
        <v>2.9661009475113402E-4</v>
      </c>
      <c r="AC237">
        <f t="shared" si="68"/>
        <v>519.41451903837515</v>
      </c>
      <c r="AD237">
        <f t="shared" si="69"/>
        <v>633.77911531045811</v>
      </c>
      <c r="AE237">
        <f t="shared" si="70"/>
        <v>79.715678179579456</v>
      </c>
      <c r="AF237">
        <f t="shared" si="71"/>
        <v>1000</v>
      </c>
      <c r="AG237">
        <f t="shared" si="72"/>
        <v>-22.142842115543772</v>
      </c>
      <c r="AH237">
        <f t="shared" si="73"/>
        <v>2284.1428421155433</v>
      </c>
      <c r="AI237" s="5">
        <f t="shared" si="56"/>
        <v>0.44208664898320077</v>
      </c>
      <c r="AJ237" s="5">
        <f t="shared" si="57"/>
        <v>0</v>
      </c>
      <c r="AK237" s="5">
        <f t="shared" si="58"/>
        <v>0.43780099105965409</v>
      </c>
    </row>
    <row r="238" spans="1:37" hidden="1" x14ac:dyDescent="0.3">
      <c r="A238">
        <v>5193835</v>
      </c>
      <c r="B238" t="s">
        <v>42</v>
      </c>
      <c r="C238">
        <v>11.75</v>
      </c>
      <c r="D238">
        <v>29568.825193538622</v>
      </c>
      <c r="I238">
        <v>4126.3219413902061</v>
      </c>
      <c r="J238">
        <v>4393.8430400774987</v>
      </c>
      <c r="K238">
        <v>0</v>
      </c>
      <c r="L238">
        <v>18.36018267456296</v>
      </c>
      <c r="M238">
        <v>11562.297682692049</v>
      </c>
      <c r="N238">
        <v>6658.7699706819776</v>
      </c>
      <c r="O238">
        <v>13071.98284418153</v>
      </c>
      <c r="P238" s="2">
        <v>44370.1875</v>
      </c>
      <c r="Q238" s="2">
        <v>44370.677083333343</v>
      </c>
      <c r="R238">
        <v>29568.817180242819</v>
      </c>
      <c r="S238">
        <v>6.267231489429423</v>
      </c>
      <c r="T238">
        <f t="shared" si="59"/>
        <v>0.89886898874182986</v>
      </c>
      <c r="U238">
        <f t="shared" si="60"/>
        <v>2262</v>
      </c>
      <c r="V238">
        <f t="shared" si="61"/>
        <v>0</v>
      </c>
      <c r="W238">
        <f t="shared" si="62"/>
        <v>0</v>
      </c>
      <c r="X238">
        <f t="shared" si="63"/>
        <v>0</v>
      </c>
      <c r="Y238">
        <f t="shared" si="64"/>
        <v>0</v>
      </c>
      <c r="Z238">
        <f t="shared" si="65"/>
        <v>315.66151750473517</v>
      </c>
      <c r="AA238">
        <f t="shared" si="66"/>
        <v>336.1267446914714</v>
      </c>
      <c r="AB238">
        <f t="shared" si="67"/>
        <v>0</v>
      </c>
      <c r="AC238">
        <f t="shared" si="68"/>
        <v>1.404544581599972</v>
      </c>
      <c r="AD238">
        <f t="shared" si="69"/>
        <v>884.50985749560891</v>
      </c>
      <c r="AE238">
        <f t="shared" si="70"/>
        <v>509.3924961541594</v>
      </c>
      <c r="AF238">
        <f t="shared" si="71"/>
        <v>1000</v>
      </c>
      <c r="AG238">
        <f t="shared" si="72"/>
        <v>6.1301302912397659E-4</v>
      </c>
      <c r="AH238">
        <f t="shared" si="73"/>
        <v>2261.9993869869709</v>
      </c>
      <c r="AI238" s="5">
        <f t="shared" si="56"/>
        <v>0.44208664898320071</v>
      </c>
      <c r="AJ238" s="5">
        <f t="shared" si="57"/>
        <v>0</v>
      </c>
      <c r="AK238" s="5">
        <f t="shared" si="58"/>
        <v>0.44208676879087061</v>
      </c>
    </row>
    <row r="239" spans="1:37" hidden="1" x14ac:dyDescent="0.3">
      <c r="A239">
        <v>5195114</v>
      </c>
      <c r="B239" t="s">
        <v>32</v>
      </c>
      <c r="C239">
        <v>45.916666666666657</v>
      </c>
      <c r="D239">
        <v>108203.13257394089</v>
      </c>
      <c r="I239">
        <v>-7332.313010387652</v>
      </c>
      <c r="J239">
        <v>17203.840728607371</v>
      </c>
      <c r="K239">
        <v>0</v>
      </c>
      <c r="L239">
        <v>432.20541499847798</v>
      </c>
      <c r="M239">
        <v>42579.186368042247</v>
      </c>
      <c r="N239">
        <v>25032.757033267419</v>
      </c>
      <c r="O239">
        <v>47728.068863401168</v>
      </c>
      <c r="P239" s="2">
        <v>44370.291666666657</v>
      </c>
      <c r="Q239" s="2">
        <v>44373.298611111109</v>
      </c>
      <c r="R239">
        <v>172941.20609000599</v>
      </c>
      <c r="S239">
        <v>5.6444327201070781</v>
      </c>
      <c r="T239">
        <f t="shared" si="59"/>
        <v>0.96204744420062782</v>
      </c>
      <c r="U239">
        <f t="shared" si="60"/>
        <v>2267.075436963954</v>
      </c>
      <c r="V239">
        <f t="shared" si="61"/>
        <v>0</v>
      </c>
      <c r="W239">
        <f t="shared" si="62"/>
        <v>0</v>
      </c>
      <c r="X239">
        <f t="shared" si="63"/>
        <v>0</v>
      </c>
      <c r="Y239">
        <f t="shared" si="64"/>
        <v>0</v>
      </c>
      <c r="Z239">
        <f t="shared" si="65"/>
        <v>-153.6268528142821</v>
      </c>
      <c r="AA239">
        <f t="shared" si="66"/>
        <v>360.45541205208116</v>
      </c>
      <c r="AB239">
        <f t="shared" si="67"/>
        <v>0</v>
      </c>
      <c r="AC239">
        <f t="shared" si="68"/>
        <v>9.0555814490517061</v>
      </c>
      <c r="AD239">
        <f t="shared" si="69"/>
        <v>892.12045201126523</v>
      </c>
      <c r="AE239">
        <f t="shared" si="70"/>
        <v>524.4871127074457</v>
      </c>
      <c r="AF239">
        <f t="shared" si="71"/>
        <v>1000</v>
      </c>
      <c r="AG239">
        <f t="shared" si="72"/>
        <v>-1356.394152492257</v>
      </c>
      <c r="AH239">
        <f t="shared" si="73"/>
        <v>3623.469589456211</v>
      </c>
      <c r="AI239" s="5">
        <f t="shared" si="56"/>
        <v>0.44109692324097982</v>
      </c>
      <c r="AJ239" s="5">
        <f t="shared" si="57"/>
        <v>0</v>
      </c>
      <c r="AK239" s="5">
        <f t="shared" si="58"/>
        <v>0.275978582215747</v>
      </c>
    </row>
    <row r="240" spans="1:37" hidden="1" x14ac:dyDescent="0.3">
      <c r="A240" t="s">
        <v>23</v>
      </c>
      <c r="B240" t="s">
        <v>38</v>
      </c>
      <c r="C240">
        <v>1.333333333333333</v>
      </c>
      <c r="D240">
        <v>3412.0946523035018</v>
      </c>
      <c r="I240">
        <v>332.98996970701819</v>
      </c>
      <c r="J240">
        <v>362.57551939763079</v>
      </c>
      <c r="K240">
        <v>0</v>
      </c>
      <c r="L240">
        <v>-6.2187298969220706</v>
      </c>
      <c r="M240">
        <v>1089.0715093509209</v>
      </c>
      <c r="N240">
        <v>679.52158228791154</v>
      </c>
      <c r="O240">
        <v>1485.456966610144</v>
      </c>
      <c r="P240" s="2">
        <v>44370.989583333343</v>
      </c>
      <c r="Q240" s="2">
        <v>44371.045138888891</v>
      </c>
      <c r="R240">
        <v>3412.2687180746689</v>
      </c>
      <c r="S240">
        <v>5.1534574403830451</v>
      </c>
      <c r="T240">
        <f t="shared" si="59"/>
        <v>0.89759135626529685</v>
      </c>
      <c r="U240">
        <f t="shared" si="60"/>
        <v>2297.0000000000009</v>
      </c>
      <c r="V240">
        <f t="shared" si="61"/>
        <v>0</v>
      </c>
      <c r="W240">
        <f t="shared" si="62"/>
        <v>0</v>
      </c>
      <c r="X240">
        <f t="shared" si="63"/>
        <v>0</v>
      </c>
      <c r="Y240">
        <f t="shared" si="64"/>
        <v>0</v>
      </c>
      <c r="Z240">
        <f t="shared" si="65"/>
        <v>224.16668889904699</v>
      </c>
      <c r="AA240">
        <f t="shared" si="66"/>
        <v>244.08348915353545</v>
      </c>
      <c r="AB240">
        <f t="shared" si="67"/>
        <v>0</v>
      </c>
      <c r="AC240">
        <f t="shared" si="68"/>
        <v>-4.1864086518193737</v>
      </c>
      <c r="AD240">
        <f t="shared" si="69"/>
        <v>733.15587986114042</v>
      </c>
      <c r="AE240">
        <f t="shared" si="70"/>
        <v>457.44952399301042</v>
      </c>
      <c r="AF240">
        <f t="shared" si="71"/>
        <v>1000.0000000000001</v>
      </c>
      <c r="AG240">
        <f t="shared" si="72"/>
        <v>-0.11717994871560222</v>
      </c>
      <c r="AH240">
        <f t="shared" si="73"/>
        <v>2297.1171799487165</v>
      </c>
      <c r="AI240" s="5">
        <f t="shared" si="56"/>
        <v>0.43535045711797987</v>
      </c>
      <c r="AJ240" s="5">
        <f t="shared" si="57"/>
        <v>0</v>
      </c>
      <c r="AK240" s="5">
        <f t="shared" si="58"/>
        <v>0.43532824913282181</v>
      </c>
    </row>
    <row r="241" spans="1:37" hidden="1" x14ac:dyDescent="0.3">
      <c r="A241">
        <v>5196663</v>
      </c>
      <c r="B241" t="s">
        <v>32</v>
      </c>
      <c r="C241">
        <v>14.08333333333333</v>
      </c>
      <c r="D241">
        <v>32074.22797597172</v>
      </c>
      <c r="I241">
        <v>-24535.705005156218</v>
      </c>
      <c r="J241">
        <v>4700.611304640368</v>
      </c>
      <c r="K241">
        <v>437.10815473577952</v>
      </c>
      <c r="L241">
        <v>211.35648270112031</v>
      </c>
      <c r="M241">
        <v>8293.1412296059207</v>
      </c>
      <c r="N241">
        <v>3111.157896656091</v>
      </c>
      <c r="O241">
        <v>14179.58796462057</v>
      </c>
      <c r="P241" s="2">
        <v>44373.875</v>
      </c>
      <c r="Q241" s="2">
        <v>44374.75</v>
      </c>
      <c r="R241">
        <v>49214.667693044612</v>
      </c>
      <c r="S241">
        <v>5.5968723185907479</v>
      </c>
      <c r="T241">
        <f t="shared" si="59"/>
        <v>0.99321174694727343</v>
      </c>
      <c r="U241">
        <f t="shared" si="60"/>
        <v>2261.9999999999995</v>
      </c>
      <c r="V241">
        <f t="shared" si="61"/>
        <v>0</v>
      </c>
      <c r="W241">
        <f t="shared" si="62"/>
        <v>0</v>
      </c>
      <c r="X241">
        <f t="shared" si="63"/>
        <v>0</v>
      </c>
      <c r="Y241">
        <f t="shared" si="64"/>
        <v>0</v>
      </c>
      <c r="Z241">
        <f t="shared" si="65"/>
        <v>-1730.3538767399414</v>
      </c>
      <c r="AA241">
        <f t="shared" si="66"/>
        <v>331.50549341552397</v>
      </c>
      <c r="AB241">
        <f t="shared" si="67"/>
        <v>30.826576613256055</v>
      </c>
      <c r="AC241">
        <f t="shared" si="68"/>
        <v>14.905685780748705</v>
      </c>
      <c r="AD241">
        <f t="shared" si="69"/>
        <v>584.86475420146917</v>
      </c>
      <c r="AE241">
        <f t="shared" si="70"/>
        <v>219.41102269111963</v>
      </c>
      <c r="AF241">
        <f t="shared" si="71"/>
        <v>1000</v>
      </c>
      <c r="AG241">
        <f t="shared" si="72"/>
        <v>-1208.8108455506554</v>
      </c>
      <c r="AH241">
        <f t="shared" si="73"/>
        <v>3470.8108455506549</v>
      </c>
      <c r="AI241" s="5">
        <f t="shared" si="56"/>
        <v>0.44208664898320083</v>
      </c>
      <c r="AJ241" s="5">
        <f t="shared" si="57"/>
        <v>0</v>
      </c>
      <c r="AK241" s="5">
        <f t="shared" si="58"/>
        <v>0.28811711283025765</v>
      </c>
    </row>
    <row r="242" spans="1:37" hidden="1" x14ac:dyDescent="0.3">
      <c r="A242">
        <v>5196661</v>
      </c>
      <c r="B242" t="s">
        <v>42</v>
      </c>
      <c r="C242">
        <v>13.75</v>
      </c>
      <c r="D242">
        <v>34702.427045584533</v>
      </c>
      <c r="I242">
        <v>4806.7669386132466</v>
      </c>
      <c r="J242">
        <v>5256.6833290409286</v>
      </c>
      <c r="K242">
        <v>588.9961054687501</v>
      </c>
      <c r="L242">
        <v>354.81374952954781</v>
      </c>
      <c r="M242">
        <v>12250.884873942059</v>
      </c>
      <c r="N242">
        <v>5094.002043560351</v>
      </c>
      <c r="O242">
        <v>15341.479684166459</v>
      </c>
      <c r="P242" s="2">
        <v>44373.3125</v>
      </c>
      <c r="Q242" s="2">
        <v>44373.885416666657</v>
      </c>
      <c r="R242">
        <v>34701.053195643173</v>
      </c>
      <c r="S242">
        <v>5.5255480614211114</v>
      </c>
      <c r="T242">
        <f t="shared" si="59"/>
        <v>0.89626296048816045</v>
      </c>
      <c r="U242">
        <f t="shared" si="60"/>
        <v>2262</v>
      </c>
      <c r="V242">
        <f t="shared" si="61"/>
        <v>0</v>
      </c>
      <c r="W242">
        <f t="shared" si="62"/>
        <v>0</v>
      </c>
      <c r="X242">
        <f t="shared" si="63"/>
        <v>0</v>
      </c>
      <c r="Y242">
        <f t="shared" si="64"/>
        <v>0</v>
      </c>
      <c r="Z242">
        <f t="shared" si="65"/>
        <v>313.31833940204507</v>
      </c>
      <c r="AA242">
        <f t="shared" si="66"/>
        <v>342.64513184254412</v>
      </c>
      <c r="AB242">
        <f t="shared" si="67"/>
        <v>38.392392232975915</v>
      </c>
      <c r="AC242">
        <f t="shared" si="68"/>
        <v>23.127739750927795</v>
      </c>
      <c r="AD242">
        <f t="shared" si="69"/>
        <v>798.54649787046799</v>
      </c>
      <c r="AE242">
        <f t="shared" si="70"/>
        <v>332.0411165304829</v>
      </c>
      <c r="AF242">
        <f t="shared" si="71"/>
        <v>1000</v>
      </c>
      <c r="AG242">
        <f t="shared" si="72"/>
        <v>8.9551332051541976E-2</v>
      </c>
      <c r="AH242">
        <f t="shared" si="73"/>
        <v>2261.9104486679485</v>
      </c>
      <c r="AI242" s="5">
        <f t="shared" si="56"/>
        <v>0.44208664898320066</v>
      </c>
      <c r="AJ242" s="5">
        <f t="shared" si="57"/>
        <v>0</v>
      </c>
      <c r="AK242" s="5">
        <f t="shared" si="58"/>
        <v>0.44210415164265476</v>
      </c>
    </row>
    <row r="243" spans="1:37" hidden="1" x14ac:dyDescent="0.3">
      <c r="A243">
        <v>5196665</v>
      </c>
      <c r="B243" t="s">
        <v>42</v>
      </c>
      <c r="C243">
        <v>19.583333333333339</v>
      </c>
      <c r="D243">
        <v>50056.222964803201</v>
      </c>
      <c r="I243">
        <v>6621.0319543137211</v>
      </c>
      <c r="J243">
        <v>6546.6044474409027</v>
      </c>
      <c r="K243">
        <v>0</v>
      </c>
      <c r="L243">
        <v>32.021053616844597</v>
      </c>
      <c r="M243">
        <v>15935.05978122031</v>
      </c>
      <c r="N243">
        <v>11976.73621990884</v>
      </c>
      <c r="O243">
        <v>22129.187871265782</v>
      </c>
      <c r="P243" s="2">
        <v>44374.8125</v>
      </c>
      <c r="Q243" s="2">
        <v>44375.628472222219</v>
      </c>
      <c r="R243">
        <v>50056.408763494423</v>
      </c>
      <c r="S243">
        <v>5.2614889456762519</v>
      </c>
      <c r="T243">
        <f t="shared" si="59"/>
        <v>0.88495490423133993</v>
      </c>
      <c r="U243">
        <f t="shared" si="60"/>
        <v>2262.0000000000005</v>
      </c>
      <c r="V243">
        <f t="shared" si="61"/>
        <v>0</v>
      </c>
      <c r="W243">
        <f t="shared" si="62"/>
        <v>0</v>
      </c>
      <c r="X243">
        <f t="shared" si="63"/>
        <v>0</v>
      </c>
      <c r="Y243">
        <f t="shared" si="64"/>
        <v>0</v>
      </c>
      <c r="Z243">
        <f t="shared" si="65"/>
        <v>299.19904846173648</v>
      </c>
      <c r="AA243">
        <f t="shared" si="66"/>
        <v>295.83572996555881</v>
      </c>
      <c r="AB243">
        <f t="shared" si="67"/>
        <v>0</v>
      </c>
      <c r="AC243">
        <f t="shared" si="68"/>
        <v>1.4470053669896836</v>
      </c>
      <c r="AD243">
        <f t="shared" si="69"/>
        <v>720.09238992053577</v>
      </c>
      <c r="AE243">
        <f t="shared" si="70"/>
        <v>541.218967889027</v>
      </c>
      <c r="AF243">
        <f t="shared" si="71"/>
        <v>999.99999999999989</v>
      </c>
      <c r="AG243">
        <f t="shared" si="72"/>
        <v>-8.3960917272634106E-3</v>
      </c>
      <c r="AH243">
        <f t="shared" si="73"/>
        <v>2262.0083960917277</v>
      </c>
      <c r="AI243" s="5">
        <f t="shared" si="56"/>
        <v>0.44208664898320066</v>
      </c>
      <c r="AJ243" s="5">
        <f t="shared" si="57"/>
        <v>0</v>
      </c>
      <c r="AK243" s="5">
        <f t="shared" si="58"/>
        <v>0.44208500805204287</v>
      </c>
    </row>
    <row r="244" spans="1:37" hidden="1" x14ac:dyDescent="0.3">
      <c r="A244">
        <v>5196673</v>
      </c>
      <c r="B244" t="s">
        <v>32</v>
      </c>
      <c r="C244">
        <v>7</v>
      </c>
      <c r="D244">
        <v>17762.516548973661</v>
      </c>
      <c r="I244">
        <v>2084.784370644883</v>
      </c>
      <c r="J244">
        <v>2149.5952752396252</v>
      </c>
      <c r="K244">
        <v>0</v>
      </c>
      <c r="L244">
        <v>-10.390906311606329</v>
      </c>
      <c r="M244">
        <v>6410.6344873016806</v>
      </c>
      <c r="N244">
        <v>3305.7920016130702</v>
      </c>
      <c r="O244">
        <v>7852.5714186444111</v>
      </c>
      <c r="P244" s="2">
        <v>44375.666666666657</v>
      </c>
      <c r="Q244" s="2">
        <v>44375.958333333343</v>
      </c>
      <c r="R244">
        <v>17802.609113734139</v>
      </c>
      <c r="S244">
        <v>5.6337904185667114</v>
      </c>
      <c r="T244">
        <f t="shared" si="59"/>
        <v>0.89142774090278942</v>
      </c>
      <c r="U244">
        <f t="shared" si="60"/>
        <v>2262.0000000000005</v>
      </c>
      <c r="V244">
        <f t="shared" si="61"/>
        <v>0</v>
      </c>
      <c r="W244">
        <f t="shared" si="62"/>
        <v>0</v>
      </c>
      <c r="X244">
        <f t="shared" si="63"/>
        <v>0</v>
      </c>
      <c r="Y244">
        <f t="shared" si="64"/>
        <v>0</v>
      </c>
      <c r="Z244">
        <f t="shared" si="65"/>
        <v>265.49066025620169</v>
      </c>
      <c r="AA244">
        <f t="shared" si="66"/>
        <v>273.7441228660241</v>
      </c>
      <c r="AB244">
        <f t="shared" si="67"/>
        <v>0</v>
      </c>
      <c r="AC244">
        <f t="shared" si="68"/>
        <v>-1.3232488770411095</v>
      </c>
      <c r="AD244">
        <f t="shared" si="69"/>
        <v>816.37391696697841</v>
      </c>
      <c r="AE244">
        <f t="shared" si="70"/>
        <v>420.9820994132071</v>
      </c>
      <c r="AF244">
        <f t="shared" si="71"/>
        <v>1000</v>
      </c>
      <c r="AG244">
        <f t="shared" si="72"/>
        <v>-5.105660633061234</v>
      </c>
      <c r="AH244">
        <f t="shared" si="73"/>
        <v>2267.1056606330617</v>
      </c>
      <c r="AI244" s="5">
        <f t="shared" si="56"/>
        <v>0.44208664898320066</v>
      </c>
      <c r="AJ244" s="5">
        <f t="shared" si="57"/>
        <v>0</v>
      </c>
      <c r="AK244" s="5">
        <f t="shared" si="58"/>
        <v>0.44109104280598987</v>
      </c>
    </row>
    <row r="245" spans="1:37" hidden="1" x14ac:dyDescent="0.3">
      <c r="A245">
        <v>5195112</v>
      </c>
      <c r="B245" t="s">
        <v>38</v>
      </c>
      <c r="C245">
        <v>4.833333333333333</v>
      </c>
      <c r="D245">
        <v>12405.48811194743</v>
      </c>
      <c r="I245">
        <v>1422.532295918742</v>
      </c>
      <c r="J245">
        <v>1370.990280788096</v>
      </c>
      <c r="K245">
        <v>0</v>
      </c>
      <c r="L245">
        <v>-47.898028316176067</v>
      </c>
      <c r="M245">
        <v>3834.017890483593</v>
      </c>
      <c r="N245">
        <v>2185.893651605204</v>
      </c>
      <c r="O245">
        <v>5400.7349203079802</v>
      </c>
      <c r="P245" s="2">
        <v>44375.291666666657</v>
      </c>
      <c r="Q245" s="2">
        <v>44375.493055555547</v>
      </c>
      <c r="R245">
        <v>12196.934068466921</v>
      </c>
      <c r="S245">
        <v>5.0949544667835847</v>
      </c>
      <c r="T245">
        <f t="shared" si="59"/>
        <v>0.89493993033409414</v>
      </c>
      <c r="U245">
        <f t="shared" si="60"/>
        <v>2297</v>
      </c>
      <c r="V245">
        <f t="shared" si="61"/>
        <v>0</v>
      </c>
      <c r="W245">
        <f t="shared" si="62"/>
        <v>0</v>
      </c>
      <c r="X245">
        <f t="shared" si="63"/>
        <v>0</v>
      </c>
      <c r="Y245">
        <f t="shared" si="64"/>
        <v>0</v>
      </c>
      <c r="Z245">
        <f t="shared" si="65"/>
        <v>263.396059408452</v>
      </c>
      <c r="AA245">
        <f t="shared" si="66"/>
        <v>253.85254062976938</v>
      </c>
      <c r="AB245">
        <f t="shared" si="67"/>
        <v>0</v>
      </c>
      <c r="AC245">
        <f t="shared" si="68"/>
        <v>-8.8687982326384294</v>
      </c>
      <c r="AD245">
        <f t="shared" si="69"/>
        <v>709.90669733980496</v>
      </c>
      <c r="AE245">
        <f t="shared" si="70"/>
        <v>404.74003702454485</v>
      </c>
      <c r="AF245">
        <f t="shared" si="71"/>
        <v>999.99999999999989</v>
      </c>
      <c r="AG245">
        <f t="shared" si="72"/>
        <v>38.615863684829492</v>
      </c>
      <c r="AH245">
        <f t="shared" si="73"/>
        <v>2258.3841363151705</v>
      </c>
      <c r="AI245" s="5">
        <f t="shared" si="56"/>
        <v>0.43535045711797998</v>
      </c>
      <c r="AJ245" s="5">
        <f t="shared" si="57"/>
        <v>0</v>
      </c>
      <c r="AK245" s="5">
        <f t="shared" si="58"/>
        <v>0.44279446703501113</v>
      </c>
    </row>
    <row r="246" spans="1:37" hidden="1" x14ac:dyDescent="0.3">
      <c r="A246">
        <v>5188522</v>
      </c>
      <c r="B246" t="s">
        <v>46</v>
      </c>
      <c r="C246">
        <v>7.166666666666667</v>
      </c>
      <c r="D246">
        <v>13209.55519562739</v>
      </c>
      <c r="I246">
        <v>1697.3753598566791</v>
      </c>
      <c r="J246">
        <v>1710.981762792396</v>
      </c>
      <c r="K246">
        <v>0</v>
      </c>
      <c r="L246">
        <v>30.623684894557361</v>
      </c>
      <c r="M246">
        <v>4745.1210890230086</v>
      </c>
      <c r="N246">
        <v>2415.7891897748818</v>
      </c>
      <c r="O246">
        <v>5701.1459627222221</v>
      </c>
      <c r="P246" s="2">
        <v>44375.291666666657</v>
      </c>
      <c r="Q246" s="2">
        <v>44376.475694444453</v>
      </c>
      <c r="R246">
        <v>66275.82770309232</v>
      </c>
      <c r="S246">
        <v>5.6498856657923424</v>
      </c>
      <c r="T246">
        <f t="shared" si="59"/>
        <v>1.2570572150804358</v>
      </c>
      <c r="U246">
        <f t="shared" si="60"/>
        <v>2317</v>
      </c>
      <c r="V246">
        <f t="shared" si="61"/>
        <v>0</v>
      </c>
      <c r="W246">
        <f t="shared" si="62"/>
        <v>0</v>
      </c>
      <c r="X246">
        <f t="shared" si="63"/>
        <v>0</v>
      </c>
      <c r="Y246">
        <f t="shared" si="64"/>
        <v>0</v>
      </c>
      <c r="Z246">
        <f t="shared" si="65"/>
        <v>297.72529434524506</v>
      </c>
      <c r="AA246">
        <f t="shared" si="66"/>
        <v>300.11190276128713</v>
      </c>
      <c r="AB246">
        <f t="shared" si="67"/>
        <v>0</v>
      </c>
      <c r="AC246">
        <f t="shared" si="68"/>
        <v>5.37149637893764</v>
      </c>
      <c r="AD246">
        <f t="shared" si="69"/>
        <v>832.31005135628493</v>
      </c>
      <c r="AE246">
        <f t="shared" si="70"/>
        <v>423.73747410974454</v>
      </c>
      <c r="AF246">
        <f t="shared" si="71"/>
        <v>1000</v>
      </c>
      <c r="AG246">
        <f t="shared" si="72"/>
        <v>-9308.0010325023304</v>
      </c>
      <c r="AH246">
        <f t="shared" si="73"/>
        <v>11625.00103250233</v>
      </c>
      <c r="AI246" s="5">
        <f t="shared" si="56"/>
        <v>0.4315925766076823</v>
      </c>
      <c r="AJ246" s="5">
        <f t="shared" si="57"/>
        <v>0</v>
      </c>
      <c r="AK246" s="5">
        <f t="shared" si="58"/>
        <v>8.6021497736137903E-2</v>
      </c>
    </row>
    <row r="247" spans="1:37" hidden="1" x14ac:dyDescent="0.3">
      <c r="A247">
        <v>5199566</v>
      </c>
      <c r="B247" t="s">
        <v>32</v>
      </c>
      <c r="C247">
        <v>7.166666666666667</v>
      </c>
      <c r="D247">
        <v>18456.255202616401</v>
      </c>
      <c r="I247">
        <v>2354.206364493677</v>
      </c>
      <c r="J247">
        <v>2188.5584344338531</v>
      </c>
      <c r="K247">
        <v>0</v>
      </c>
      <c r="L247">
        <v>-81.190363480025951</v>
      </c>
      <c r="M247">
        <v>7010.1222885378565</v>
      </c>
      <c r="N247">
        <v>5351.9975752658675</v>
      </c>
      <c r="O247">
        <v>8159.264015303449</v>
      </c>
      <c r="P247" s="2">
        <v>44376.833333333343</v>
      </c>
      <c r="Q247" s="2">
        <v>44377.131944444453</v>
      </c>
      <c r="R247">
        <v>18478.865573771171</v>
      </c>
      <c r="S247">
        <v>5.7316813538100693</v>
      </c>
      <c r="T247">
        <f t="shared" si="59"/>
        <v>0.87834719568148856</v>
      </c>
      <c r="U247">
        <f t="shared" si="60"/>
        <v>2262</v>
      </c>
      <c r="V247">
        <f t="shared" si="61"/>
        <v>0</v>
      </c>
      <c r="W247">
        <f t="shared" si="62"/>
        <v>0</v>
      </c>
      <c r="X247">
        <f t="shared" si="63"/>
        <v>0</v>
      </c>
      <c r="Y247">
        <f t="shared" si="64"/>
        <v>0</v>
      </c>
      <c r="Z247">
        <f t="shared" si="65"/>
        <v>288.53170581049307</v>
      </c>
      <c r="AA247">
        <f t="shared" si="66"/>
        <v>268.22988327488986</v>
      </c>
      <c r="AB247">
        <f t="shared" si="67"/>
        <v>0</v>
      </c>
      <c r="AC247">
        <f t="shared" si="68"/>
        <v>-9.9506969412616098</v>
      </c>
      <c r="AD247">
        <f t="shared" si="69"/>
        <v>859.1611051425383</v>
      </c>
      <c r="AE247">
        <f t="shared" si="70"/>
        <v>655.94121788775374</v>
      </c>
      <c r="AF247">
        <f t="shared" si="71"/>
        <v>1000</v>
      </c>
      <c r="AG247">
        <f t="shared" si="72"/>
        <v>-2.7711287577362782</v>
      </c>
      <c r="AH247">
        <f t="shared" si="73"/>
        <v>2264.7711287577363</v>
      </c>
      <c r="AI247" s="5">
        <f t="shared" si="56"/>
        <v>0.44208664898320071</v>
      </c>
      <c r="AJ247" s="5">
        <f t="shared" si="57"/>
        <v>0</v>
      </c>
      <c r="AK247" s="5">
        <f t="shared" si="58"/>
        <v>0.4415457205817156</v>
      </c>
    </row>
    <row r="248" spans="1:37" hidden="1" x14ac:dyDescent="0.3">
      <c r="A248">
        <v>5198735</v>
      </c>
      <c r="B248" t="s">
        <v>42</v>
      </c>
      <c r="C248">
        <v>2.333333333333333</v>
      </c>
      <c r="D248">
        <v>5885.1814758556429</v>
      </c>
      <c r="I248">
        <v>814.00885984279375</v>
      </c>
      <c r="J248">
        <v>765.04552361278741</v>
      </c>
      <c r="K248">
        <v>0</v>
      </c>
      <c r="L248">
        <v>1.2171249203305481</v>
      </c>
      <c r="M248">
        <v>2347.3417955400432</v>
      </c>
      <c r="N248">
        <v>1026.777644639184</v>
      </c>
      <c r="O248">
        <v>2601.7601573190291</v>
      </c>
      <c r="P248" s="2">
        <v>44378.291666666657</v>
      </c>
      <c r="Q248" s="2">
        <v>44378.388888888891</v>
      </c>
      <c r="R248">
        <v>5885.2253820392198</v>
      </c>
      <c r="S248">
        <v>6.1992503605112734</v>
      </c>
      <c r="T248">
        <f t="shared" si="59"/>
        <v>0.89682875908811854</v>
      </c>
      <c r="U248">
        <f t="shared" si="60"/>
        <v>2261.9999999999995</v>
      </c>
      <c r="V248">
        <f t="shared" si="61"/>
        <v>0</v>
      </c>
      <c r="W248">
        <f t="shared" si="62"/>
        <v>0</v>
      </c>
      <c r="X248">
        <f t="shared" si="63"/>
        <v>0</v>
      </c>
      <c r="Y248">
        <f t="shared" si="64"/>
        <v>0</v>
      </c>
      <c r="Z248">
        <f t="shared" si="65"/>
        <v>312.86852385409162</v>
      </c>
      <c r="AA248">
        <f t="shared" si="66"/>
        <v>294.04921182324688</v>
      </c>
      <c r="AB248">
        <f t="shared" si="67"/>
        <v>0</v>
      </c>
      <c r="AC248">
        <f t="shared" si="68"/>
        <v>0.46780827083797322</v>
      </c>
      <c r="AD248">
        <f t="shared" si="69"/>
        <v>902.21298413565148</v>
      </c>
      <c r="AE248">
        <f t="shared" si="70"/>
        <v>394.64730895764887</v>
      </c>
      <c r="AF248">
        <f t="shared" si="71"/>
        <v>999.99999999999989</v>
      </c>
      <c r="AG248">
        <f t="shared" si="72"/>
        <v>-1.6875569200237805E-2</v>
      </c>
      <c r="AH248">
        <f t="shared" si="73"/>
        <v>2262.0168755691998</v>
      </c>
      <c r="AI248" s="5">
        <f t="shared" si="56"/>
        <v>0.44208664898320077</v>
      </c>
      <c r="AJ248" s="5">
        <f t="shared" si="57"/>
        <v>0</v>
      </c>
      <c r="AK248" s="5">
        <f t="shared" si="58"/>
        <v>0.44208335083634875</v>
      </c>
    </row>
    <row r="249" spans="1:37" hidden="1" x14ac:dyDescent="0.3">
      <c r="A249">
        <v>5198471</v>
      </c>
      <c r="B249" t="s">
        <v>38</v>
      </c>
      <c r="C249">
        <v>6.5</v>
      </c>
      <c r="D249">
        <v>16683.09888652918</v>
      </c>
      <c r="I249">
        <v>1610.6024228811791</v>
      </c>
      <c r="J249">
        <v>1721.1099282398491</v>
      </c>
      <c r="K249">
        <v>0</v>
      </c>
      <c r="L249">
        <v>1.589456968886793</v>
      </c>
      <c r="M249">
        <v>7363.0582553555523</v>
      </c>
      <c r="N249">
        <v>3337.743430222738</v>
      </c>
      <c r="O249">
        <v>7262.9947263949407</v>
      </c>
      <c r="P249" s="2">
        <v>44376.569444444453</v>
      </c>
      <c r="Q249" s="2">
        <v>44376.840277777781</v>
      </c>
      <c r="R249">
        <v>16673.674727609759</v>
      </c>
      <c r="S249">
        <v>6.0204988110987028</v>
      </c>
      <c r="T249">
        <f t="shared" si="59"/>
        <v>0.89494764141544947</v>
      </c>
      <c r="U249">
        <f t="shared" si="60"/>
        <v>2297</v>
      </c>
      <c r="V249">
        <f t="shared" si="61"/>
        <v>0</v>
      </c>
      <c r="W249">
        <f t="shared" si="62"/>
        <v>0</v>
      </c>
      <c r="X249">
        <f t="shared" si="63"/>
        <v>0</v>
      </c>
      <c r="Y249">
        <f t="shared" si="64"/>
        <v>0</v>
      </c>
      <c r="Z249">
        <f t="shared" si="65"/>
        <v>221.75459071007992</v>
      </c>
      <c r="AA249">
        <f t="shared" si="66"/>
        <v>236.969733983841</v>
      </c>
      <c r="AB249">
        <f t="shared" si="67"/>
        <v>0</v>
      </c>
      <c r="AC249">
        <f t="shared" si="68"/>
        <v>0.21884319468255151</v>
      </c>
      <c r="AD249">
        <f t="shared" si="69"/>
        <v>1013.777172190001</v>
      </c>
      <c r="AE249">
        <f t="shared" si="70"/>
        <v>459.55470931196174</v>
      </c>
      <c r="AF249">
        <f t="shared" si="71"/>
        <v>1000</v>
      </c>
      <c r="AG249">
        <f t="shared" si="72"/>
        <v>1.2975582765011495</v>
      </c>
      <c r="AH249">
        <f t="shared" si="73"/>
        <v>2295.7024417234989</v>
      </c>
      <c r="AI249" s="5">
        <f t="shared" si="56"/>
        <v>0.43535045711797993</v>
      </c>
      <c r="AJ249" s="5">
        <f t="shared" si="57"/>
        <v>0</v>
      </c>
      <c r="AK249" s="5">
        <f t="shared" si="58"/>
        <v>0.43559652236517638</v>
      </c>
    </row>
    <row r="250" spans="1:37" hidden="1" x14ac:dyDescent="0.3">
      <c r="A250">
        <v>5199841</v>
      </c>
      <c r="B250" t="s">
        <v>32</v>
      </c>
      <c r="C250">
        <v>43.916666666666657</v>
      </c>
      <c r="D250">
        <v>100802.1418146653</v>
      </c>
      <c r="I250">
        <v>12047.113472773861</v>
      </c>
      <c r="J250">
        <v>12005.591641212781</v>
      </c>
      <c r="K250">
        <v>0.97875000000000001</v>
      </c>
      <c r="L250">
        <v>-20.508597569794059</v>
      </c>
      <c r="M250">
        <v>36565.160021835152</v>
      </c>
      <c r="N250">
        <v>18999.104580691659</v>
      </c>
      <c r="O250">
        <v>44563.281085174749</v>
      </c>
      <c r="P250" s="2">
        <v>44378.291666666657</v>
      </c>
      <c r="Q250" s="2">
        <v>44381.114583333343</v>
      </c>
      <c r="R250">
        <v>164258.0660718724</v>
      </c>
      <c r="S250">
        <v>6.5113163447162004</v>
      </c>
      <c r="T250">
        <f t="shared" si="59"/>
        <v>0.98548997284844886</v>
      </c>
      <c r="U250">
        <f t="shared" si="60"/>
        <v>2262.0000000000005</v>
      </c>
      <c r="V250">
        <f t="shared" si="61"/>
        <v>0</v>
      </c>
      <c r="W250">
        <f t="shared" si="62"/>
        <v>0</v>
      </c>
      <c r="X250">
        <f t="shared" si="63"/>
        <v>0</v>
      </c>
      <c r="Y250">
        <f t="shared" si="64"/>
        <v>0</v>
      </c>
      <c r="Z250">
        <f t="shared" si="65"/>
        <v>270.33721888089786</v>
      </c>
      <c r="AA250">
        <f t="shared" si="66"/>
        <v>269.40546900633814</v>
      </c>
      <c r="AB250">
        <f t="shared" si="67"/>
        <v>2.1963149394886212E-2</v>
      </c>
      <c r="AC250">
        <f t="shared" si="68"/>
        <v>-0.46021291678670473</v>
      </c>
      <c r="AD250">
        <f t="shared" si="69"/>
        <v>820.52216828351095</v>
      </c>
      <c r="AE250">
        <f t="shared" si="70"/>
        <v>426.33989504449335</v>
      </c>
      <c r="AF250">
        <f t="shared" si="71"/>
        <v>1000</v>
      </c>
      <c r="AG250">
        <f t="shared" si="72"/>
        <v>-1423.9509010999982</v>
      </c>
      <c r="AH250">
        <f t="shared" si="73"/>
        <v>3685.9509010999986</v>
      </c>
      <c r="AI250" s="5">
        <f t="shared" si="56"/>
        <v>0.4420866489832006</v>
      </c>
      <c r="AJ250" s="5">
        <f t="shared" si="57"/>
        <v>0</v>
      </c>
      <c r="AK250" s="5">
        <f t="shared" si="58"/>
        <v>0.2713004125208423</v>
      </c>
    </row>
    <row r="251" spans="1:37" hidden="1" x14ac:dyDescent="0.3">
      <c r="A251">
        <v>5200764</v>
      </c>
      <c r="B251" t="s">
        <v>38</v>
      </c>
      <c r="C251">
        <v>50.916666666666657</v>
      </c>
      <c r="D251">
        <v>111799.2019664921</v>
      </c>
      <c r="I251">
        <v>-12982.398616884329</v>
      </c>
      <c r="J251">
        <v>13688.38489105716</v>
      </c>
      <c r="K251">
        <v>1846.5586111829371</v>
      </c>
      <c r="L251">
        <v>1998.4286800788029</v>
      </c>
      <c r="M251">
        <v>41010.983593082339</v>
      </c>
      <c r="N251">
        <v>17331.129705542491</v>
      </c>
      <c r="O251">
        <v>48679.391160382693</v>
      </c>
      <c r="P251" s="2">
        <v>44379.125</v>
      </c>
      <c r="Q251" s="2">
        <v>44382.649305555547</v>
      </c>
      <c r="R251">
        <v>191972.94821395481</v>
      </c>
      <c r="S251">
        <v>6.2843974365005248</v>
      </c>
      <c r="T251">
        <f t="shared" si="59"/>
        <v>1.0459593978674235</v>
      </c>
      <c r="U251">
        <f t="shared" si="60"/>
        <v>2296.6433905911076</v>
      </c>
      <c r="V251">
        <f t="shared" si="61"/>
        <v>0</v>
      </c>
      <c r="W251">
        <f t="shared" si="62"/>
        <v>0</v>
      </c>
      <c r="X251">
        <f t="shared" si="63"/>
        <v>0</v>
      </c>
      <c r="Y251">
        <f t="shared" si="64"/>
        <v>0</v>
      </c>
      <c r="Z251">
        <f t="shared" si="65"/>
        <v>-266.69188556840345</v>
      </c>
      <c r="AA251">
        <f t="shared" si="66"/>
        <v>281.19466091838336</v>
      </c>
      <c r="AB251">
        <f t="shared" si="67"/>
        <v>37.933067098130493</v>
      </c>
      <c r="AC251">
        <f t="shared" si="68"/>
        <v>41.05286924182419</v>
      </c>
      <c r="AD251">
        <f t="shared" si="69"/>
        <v>842.47116932840311</v>
      </c>
      <c r="AE251">
        <f t="shared" si="70"/>
        <v>356.02601619321979</v>
      </c>
      <c r="AF251">
        <f t="shared" si="71"/>
        <v>1000</v>
      </c>
      <c r="AG251">
        <f t="shared" si="72"/>
        <v>-1646.9751230724396</v>
      </c>
      <c r="AH251">
        <f t="shared" si="73"/>
        <v>3943.6185136635472</v>
      </c>
      <c r="AI251" s="5">
        <f t="shared" si="56"/>
        <v>0.43541805580126269</v>
      </c>
      <c r="AJ251" s="5">
        <f t="shared" si="57"/>
        <v>0</v>
      </c>
      <c r="AK251" s="5">
        <f t="shared" si="58"/>
        <v>0.25357422289587006</v>
      </c>
    </row>
    <row r="252" spans="1:37" hidden="1" x14ac:dyDescent="0.3">
      <c r="A252">
        <v>5202619</v>
      </c>
      <c r="B252" t="s">
        <v>32</v>
      </c>
      <c r="C252">
        <v>9.75</v>
      </c>
      <c r="D252">
        <v>27348.401403548589</v>
      </c>
      <c r="I252">
        <v>2940.108676497026</v>
      </c>
      <c r="J252">
        <v>2898.7494351321038</v>
      </c>
      <c r="K252">
        <v>0</v>
      </c>
      <c r="L252">
        <v>-19.42186433173276</v>
      </c>
      <c r="M252">
        <v>7672.2996819735044</v>
      </c>
      <c r="N252">
        <v>6289.4583795443887</v>
      </c>
      <c r="O252">
        <v>12090.363131542261</v>
      </c>
      <c r="P252" s="2">
        <v>44382.645833333343</v>
      </c>
      <c r="Q252" s="2">
        <v>44383.052083333343</v>
      </c>
      <c r="R252">
        <v>27331.65873988887</v>
      </c>
      <c r="S252">
        <v>5.7203345460562032</v>
      </c>
      <c r="T252">
        <f t="shared" si="59"/>
        <v>0.80642739129674745</v>
      </c>
      <c r="U252">
        <f t="shared" si="60"/>
        <v>2261.9999999999995</v>
      </c>
      <c r="V252">
        <f t="shared" si="61"/>
        <v>0</v>
      </c>
      <c r="W252">
        <f t="shared" si="62"/>
        <v>0</v>
      </c>
      <c r="X252">
        <f t="shared" si="63"/>
        <v>0</v>
      </c>
      <c r="Y252">
        <f t="shared" si="64"/>
        <v>0</v>
      </c>
      <c r="Z252">
        <f t="shared" si="65"/>
        <v>243.17786360168506</v>
      </c>
      <c r="AA252">
        <f t="shared" si="66"/>
        <v>239.75701999964133</v>
      </c>
      <c r="AB252">
        <f t="shared" si="67"/>
        <v>0</v>
      </c>
      <c r="AC252">
        <f t="shared" si="68"/>
        <v>-1.6063921422726766</v>
      </c>
      <c r="AD252">
        <f t="shared" si="69"/>
        <v>634.57975566982145</v>
      </c>
      <c r="AE252">
        <f t="shared" si="70"/>
        <v>520.20425781389235</v>
      </c>
      <c r="AF252">
        <f t="shared" si="71"/>
        <v>1000.0000000000001</v>
      </c>
      <c r="AG252">
        <f t="shared" si="72"/>
        <v>1.3847941106118924</v>
      </c>
      <c r="AH252">
        <f t="shared" si="73"/>
        <v>2260.6152058893877</v>
      </c>
      <c r="AI252" s="5">
        <f t="shared" si="56"/>
        <v>0.44208664898320077</v>
      </c>
      <c r="AJ252" s="5">
        <f t="shared" si="57"/>
        <v>0</v>
      </c>
      <c r="AK252" s="5">
        <f t="shared" si="58"/>
        <v>0.44235745977235996</v>
      </c>
    </row>
    <row r="253" spans="1:37" hidden="1" x14ac:dyDescent="0.3">
      <c r="A253">
        <v>5202629</v>
      </c>
      <c r="B253" t="s">
        <v>42</v>
      </c>
      <c r="C253">
        <v>17.833333333333329</v>
      </c>
      <c r="D253">
        <v>47778.10549722323</v>
      </c>
      <c r="I253">
        <v>6140.7392163093491</v>
      </c>
      <c r="J253">
        <v>6214.996738462426</v>
      </c>
      <c r="K253">
        <v>0</v>
      </c>
      <c r="L253">
        <v>13.346587209106531</v>
      </c>
      <c r="M253">
        <v>19468.4890304943</v>
      </c>
      <c r="N253">
        <v>12253.22134784409</v>
      </c>
      <c r="O253">
        <v>21122.062554033258</v>
      </c>
      <c r="P253" s="2">
        <v>44383.052083333343</v>
      </c>
      <c r="Q253" s="2">
        <v>44383.798611111109</v>
      </c>
      <c r="R253">
        <v>48011.462049137699</v>
      </c>
      <c r="S253">
        <v>5.8948256698814596</v>
      </c>
      <c r="T253">
        <f t="shared" si="59"/>
        <v>0.84429885991072651</v>
      </c>
      <c r="U253">
        <f t="shared" si="60"/>
        <v>2262</v>
      </c>
      <c r="V253">
        <f t="shared" si="61"/>
        <v>0</v>
      </c>
      <c r="W253">
        <f t="shared" si="62"/>
        <v>0</v>
      </c>
      <c r="X253">
        <f t="shared" si="63"/>
        <v>0</v>
      </c>
      <c r="Y253">
        <f t="shared" si="64"/>
        <v>0</v>
      </c>
      <c r="Z253">
        <f t="shared" si="65"/>
        <v>290.7263057573312</v>
      </c>
      <c r="AA253">
        <f t="shared" si="66"/>
        <v>294.24194358688101</v>
      </c>
      <c r="AB253">
        <f t="shared" si="67"/>
        <v>0</v>
      </c>
      <c r="AC253">
        <f t="shared" si="68"/>
        <v>0.63187897370174195</v>
      </c>
      <c r="AD253">
        <f t="shared" si="69"/>
        <v>921.71344444658837</v>
      </c>
      <c r="AE253">
        <f t="shared" si="70"/>
        <v>580.11481201225479</v>
      </c>
      <c r="AF253">
        <f t="shared" si="71"/>
        <v>999.99999999999989</v>
      </c>
      <c r="AG253">
        <f t="shared" si="72"/>
        <v>-11.048000228079218</v>
      </c>
      <c r="AH253">
        <f t="shared" si="73"/>
        <v>2273.0480002280792</v>
      </c>
      <c r="AI253" s="5">
        <f t="shared" si="56"/>
        <v>0.44208664898320071</v>
      </c>
      <c r="AJ253" s="5">
        <f t="shared" si="57"/>
        <v>0</v>
      </c>
      <c r="AK253" s="5">
        <f t="shared" si="58"/>
        <v>0.43993791591715581</v>
      </c>
    </row>
    <row r="254" spans="1:37" hidden="1" x14ac:dyDescent="0.3">
      <c r="A254">
        <v>5203266</v>
      </c>
      <c r="B254" t="s">
        <v>32</v>
      </c>
      <c r="C254">
        <v>4.916666666666667</v>
      </c>
      <c r="D254">
        <v>13097.115119928359</v>
      </c>
      <c r="I254">
        <v>1495.1596023861171</v>
      </c>
      <c r="J254">
        <v>1465.21006081664</v>
      </c>
      <c r="K254">
        <v>0</v>
      </c>
      <c r="L254">
        <v>-6.2881190075572144</v>
      </c>
      <c r="M254">
        <v>5798.3250793860861</v>
      </c>
      <c r="N254">
        <v>3527.4658141450718</v>
      </c>
      <c r="O254">
        <v>5790.0597347163384</v>
      </c>
      <c r="P254" s="2">
        <v>44383.798611111109</v>
      </c>
      <c r="Q254" s="2">
        <v>44384.003472222219</v>
      </c>
      <c r="R254">
        <v>13097.18196648224</v>
      </c>
      <c r="S254">
        <v>6.628388271670012</v>
      </c>
      <c r="T254">
        <f t="shared" si="59"/>
        <v>0.8491564667609669</v>
      </c>
      <c r="U254">
        <f t="shared" si="60"/>
        <v>2262.0000000000005</v>
      </c>
      <c r="V254">
        <f t="shared" si="61"/>
        <v>0</v>
      </c>
      <c r="W254">
        <f t="shared" si="62"/>
        <v>0</v>
      </c>
      <c r="X254">
        <f t="shared" si="63"/>
        <v>0</v>
      </c>
      <c r="Y254">
        <f t="shared" si="64"/>
        <v>0</v>
      </c>
      <c r="Z254">
        <f t="shared" si="65"/>
        <v>258.2287007198496</v>
      </c>
      <c r="AA254">
        <f t="shared" si="66"/>
        <v>253.05612168929071</v>
      </c>
      <c r="AB254">
        <f t="shared" si="67"/>
        <v>0</v>
      </c>
      <c r="AC254">
        <f t="shared" si="68"/>
        <v>-1.0860197123450361</v>
      </c>
      <c r="AD254">
        <f t="shared" si="69"/>
        <v>1001.4275059409474</v>
      </c>
      <c r="AE254">
        <f t="shared" si="70"/>
        <v>609.22787946295455</v>
      </c>
      <c r="AF254">
        <f t="shared" si="71"/>
        <v>1000</v>
      </c>
      <c r="AG254">
        <f t="shared" si="72"/>
        <v>-1.1545054272573907E-2</v>
      </c>
      <c r="AH254">
        <f t="shared" si="73"/>
        <v>2262.011545054273</v>
      </c>
      <c r="AI254" s="5">
        <f t="shared" si="56"/>
        <v>0.44208664898320066</v>
      </c>
      <c r="AJ254" s="5">
        <f t="shared" si="57"/>
        <v>0</v>
      </c>
      <c r="AK254" s="5">
        <f t="shared" si="58"/>
        <v>0.44208439262232269</v>
      </c>
    </row>
    <row r="255" spans="1:37" hidden="1" x14ac:dyDescent="0.3">
      <c r="A255">
        <v>5203291</v>
      </c>
      <c r="B255" t="s">
        <v>38</v>
      </c>
      <c r="C255">
        <v>26.916666666666671</v>
      </c>
      <c r="D255">
        <v>69125.128468815557</v>
      </c>
      <c r="I255">
        <v>-20673.440726999521</v>
      </c>
      <c r="J255">
        <v>6766.0411657984669</v>
      </c>
      <c r="K255">
        <v>322.95104531250001</v>
      </c>
      <c r="L255">
        <v>282.32702089360367</v>
      </c>
      <c r="M255">
        <v>29502.024418288111</v>
      </c>
      <c r="N255">
        <v>20688.881809053459</v>
      </c>
      <c r="O255">
        <v>30093.65627723794</v>
      </c>
      <c r="P255" s="2">
        <v>44384.003472222219</v>
      </c>
      <c r="Q255" s="2">
        <v>44385.125</v>
      </c>
      <c r="R255">
        <v>69124.94291569812</v>
      </c>
      <c r="S255">
        <v>6.3671413159310264</v>
      </c>
      <c r="T255">
        <f t="shared" si="59"/>
        <v>0.89442992299429358</v>
      </c>
      <c r="U255">
        <f t="shared" si="60"/>
        <v>2297</v>
      </c>
      <c r="V255">
        <f t="shared" si="61"/>
        <v>0</v>
      </c>
      <c r="W255">
        <f t="shared" si="62"/>
        <v>0</v>
      </c>
      <c r="X255">
        <f t="shared" si="63"/>
        <v>0</v>
      </c>
      <c r="Y255">
        <f t="shared" si="64"/>
        <v>0</v>
      </c>
      <c r="Z255">
        <f t="shared" si="65"/>
        <v>-686.9700556338305</v>
      </c>
      <c r="AA255">
        <f t="shared" si="66"/>
        <v>224.8328054080994</v>
      </c>
      <c r="AB255">
        <f t="shared" si="67"/>
        <v>10.731532331509078</v>
      </c>
      <c r="AC255">
        <f t="shared" si="68"/>
        <v>9.3816124665166889</v>
      </c>
      <c r="AD255">
        <f t="shared" si="69"/>
        <v>980.34031313777837</v>
      </c>
      <c r="AE255">
        <f t="shared" si="70"/>
        <v>687.48315653163058</v>
      </c>
      <c r="AF255">
        <f t="shared" si="71"/>
        <v>1000</v>
      </c>
      <c r="AG255">
        <f t="shared" si="72"/>
        <v>6.1658548802370206E-3</v>
      </c>
      <c r="AH255">
        <f t="shared" si="73"/>
        <v>2296.9938341451198</v>
      </c>
      <c r="AI255" s="5">
        <f t="shared" si="56"/>
        <v>0.43535045711797993</v>
      </c>
      <c r="AJ255" s="5">
        <f t="shared" si="57"/>
        <v>0</v>
      </c>
      <c r="AK255" s="5">
        <f t="shared" si="58"/>
        <v>0.43535162573571889</v>
      </c>
    </row>
    <row r="256" spans="1:37" hidden="1" x14ac:dyDescent="0.3">
      <c r="A256">
        <v>5204175</v>
      </c>
      <c r="B256" t="s">
        <v>32</v>
      </c>
      <c r="C256">
        <v>14.83333333333333</v>
      </c>
      <c r="D256">
        <v>38415.03921601201</v>
      </c>
      <c r="I256">
        <v>4195.3156721810956</v>
      </c>
      <c r="J256">
        <v>4195.4185199762142</v>
      </c>
      <c r="K256">
        <v>479.61115136718757</v>
      </c>
      <c r="L256">
        <v>582.17037398545551</v>
      </c>
      <c r="M256">
        <v>11232.78145074269</v>
      </c>
      <c r="N256">
        <v>8268.7280526987379</v>
      </c>
      <c r="O256">
        <v>16982.775957564991</v>
      </c>
      <c r="P256" s="2">
        <v>44384.291666666657</v>
      </c>
      <c r="Q256" s="2">
        <v>44385.743055555547</v>
      </c>
      <c r="R256">
        <v>89996.574403209641</v>
      </c>
      <c r="S256">
        <v>6.2347163629451474</v>
      </c>
      <c r="T256">
        <f t="shared" si="59"/>
        <v>0.87343396452956268</v>
      </c>
      <c r="U256">
        <f t="shared" si="60"/>
        <v>2262</v>
      </c>
      <c r="V256">
        <f t="shared" si="61"/>
        <v>0</v>
      </c>
      <c r="W256">
        <f t="shared" si="62"/>
        <v>0</v>
      </c>
      <c r="X256">
        <f t="shared" si="63"/>
        <v>0</v>
      </c>
      <c r="Y256">
        <f t="shared" si="64"/>
        <v>0</v>
      </c>
      <c r="Z256">
        <f t="shared" si="65"/>
        <v>247.03356404535793</v>
      </c>
      <c r="AA256">
        <f t="shared" si="66"/>
        <v>247.03962005147704</v>
      </c>
      <c r="AB256">
        <f t="shared" si="67"/>
        <v>28.241033890195343</v>
      </c>
      <c r="AC256">
        <f t="shared" si="68"/>
        <v>34.28004794034436</v>
      </c>
      <c r="AD256">
        <f t="shared" si="69"/>
        <v>661.42198889098802</v>
      </c>
      <c r="AE256">
        <f t="shared" si="70"/>
        <v>486.88907357430139</v>
      </c>
      <c r="AF256">
        <f t="shared" si="71"/>
        <v>1000</v>
      </c>
      <c r="AG256">
        <f t="shared" si="72"/>
        <v>-3037.2852657354051</v>
      </c>
      <c r="AH256">
        <f t="shared" si="73"/>
        <v>5299.2852657354051</v>
      </c>
      <c r="AI256" s="5">
        <f t="shared" si="56"/>
        <v>0.44208664898320071</v>
      </c>
      <c r="AJ256" s="5">
        <f t="shared" si="57"/>
        <v>0</v>
      </c>
      <c r="AK256" s="5">
        <f t="shared" si="58"/>
        <v>0.18870469315284646</v>
      </c>
    </row>
    <row r="257" spans="1:37" hidden="1" x14ac:dyDescent="0.3">
      <c r="A257">
        <v>5204782</v>
      </c>
      <c r="B257" t="s">
        <v>38</v>
      </c>
      <c r="C257">
        <v>12.41666666666667</v>
      </c>
      <c r="D257">
        <v>31871.00821045693</v>
      </c>
      <c r="I257">
        <v>3482.3673651254412</v>
      </c>
      <c r="J257">
        <v>3394.8734880442239</v>
      </c>
      <c r="K257">
        <v>0.79101562500000011</v>
      </c>
      <c r="L257">
        <v>-47.495747631728591</v>
      </c>
      <c r="M257">
        <v>13143.467063717921</v>
      </c>
      <c r="N257">
        <v>5318.1447932090969</v>
      </c>
      <c r="O257">
        <v>13875.057993233309</v>
      </c>
      <c r="P257" s="2">
        <v>44385.715277777781</v>
      </c>
      <c r="Q257" s="2">
        <v>44386.232638888891</v>
      </c>
      <c r="R257">
        <v>31870.837007286711</v>
      </c>
      <c r="S257">
        <v>6.7298220897306438</v>
      </c>
      <c r="T257">
        <f t="shared" si="59"/>
        <v>0.89489115452505652</v>
      </c>
      <c r="U257">
        <f t="shared" si="60"/>
        <v>2297.0000000000014</v>
      </c>
      <c r="V257">
        <f t="shared" si="61"/>
        <v>0</v>
      </c>
      <c r="W257">
        <f t="shared" si="62"/>
        <v>0</v>
      </c>
      <c r="X257">
        <f t="shared" si="63"/>
        <v>0</v>
      </c>
      <c r="Y257">
        <f t="shared" si="64"/>
        <v>0</v>
      </c>
      <c r="Z257">
        <f t="shared" si="65"/>
        <v>250.9803826999316</v>
      </c>
      <c r="AA257">
        <f t="shared" si="66"/>
        <v>244.6745440415356</v>
      </c>
      <c r="AB257">
        <f t="shared" si="67"/>
        <v>5.7009896851297377E-2</v>
      </c>
      <c r="AC257">
        <f t="shared" si="68"/>
        <v>-3.4231026389144943</v>
      </c>
      <c r="AD257">
        <f t="shared" si="69"/>
        <v>947.27294618356359</v>
      </c>
      <c r="AE257">
        <f t="shared" si="70"/>
        <v>383.28811279943397</v>
      </c>
      <c r="AF257">
        <f t="shared" si="71"/>
        <v>1000</v>
      </c>
      <c r="AG257">
        <f t="shared" si="72"/>
        <v>1.2338915650161653E-2</v>
      </c>
      <c r="AH257">
        <f t="shared" si="73"/>
        <v>2296.9876610843512</v>
      </c>
      <c r="AI257" s="5">
        <f t="shared" si="56"/>
        <v>0.43535045711797971</v>
      </c>
      <c r="AJ257" s="5">
        <f t="shared" si="57"/>
        <v>0</v>
      </c>
      <c r="AK257" s="5">
        <f t="shared" si="58"/>
        <v>0.43535279572547841</v>
      </c>
    </row>
    <row r="258" spans="1:37" hidden="1" x14ac:dyDescent="0.3">
      <c r="A258">
        <v>5206639</v>
      </c>
      <c r="B258" t="s">
        <v>32</v>
      </c>
      <c r="C258">
        <v>8</v>
      </c>
      <c r="D258">
        <v>20173.734955443091</v>
      </c>
      <c r="I258">
        <v>0</v>
      </c>
      <c r="J258">
        <v>2262.896435377098</v>
      </c>
      <c r="K258">
        <v>0</v>
      </c>
      <c r="L258">
        <v>0</v>
      </c>
      <c r="M258">
        <v>6081.3733765221068</v>
      </c>
      <c r="N258">
        <v>2751.4335970337752</v>
      </c>
      <c r="O258">
        <v>8918.5388839270963</v>
      </c>
      <c r="P258" s="2">
        <v>44386.90625</v>
      </c>
      <c r="Q258" s="2">
        <v>44387.239583333343</v>
      </c>
      <c r="R258">
        <v>20173.691869156111</v>
      </c>
      <c r="S258">
        <v>6.4259619767966258</v>
      </c>
      <c r="T258">
        <f t="shared" si="59"/>
        <v>0.89700791846268924</v>
      </c>
      <c r="U258">
        <f t="shared" si="60"/>
        <v>2262</v>
      </c>
      <c r="V258">
        <f t="shared" si="61"/>
        <v>0</v>
      </c>
      <c r="W258">
        <f t="shared" si="62"/>
        <v>0</v>
      </c>
      <c r="X258">
        <f t="shared" si="63"/>
        <v>0</v>
      </c>
      <c r="Y258">
        <f t="shared" si="64"/>
        <v>0</v>
      </c>
      <c r="Z258">
        <f t="shared" si="65"/>
        <v>0</v>
      </c>
      <c r="AA258">
        <f t="shared" si="66"/>
        <v>253.72950264928127</v>
      </c>
      <c r="AB258">
        <f t="shared" si="67"/>
        <v>0</v>
      </c>
      <c r="AC258">
        <f t="shared" si="68"/>
        <v>0</v>
      </c>
      <c r="AD258">
        <f t="shared" si="69"/>
        <v>681.8800092335639</v>
      </c>
      <c r="AE258">
        <f t="shared" si="70"/>
        <v>308.50721545794704</v>
      </c>
      <c r="AF258">
        <f t="shared" si="71"/>
        <v>999.99999999999989</v>
      </c>
      <c r="AG258">
        <f t="shared" si="72"/>
        <v>4.8310925749319722E-3</v>
      </c>
      <c r="AH258">
        <f t="shared" si="73"/>
        <v>2261.9951689074251</v>
      </c>
      <c r="AI258" s="5">
        <f t="shared" si="56"/>
        <v>0.44208664898320071</v>
      </c>
      <c r="AJ258" s="5">
        <f t="shared" si="57"/>
        <v>0</v>
      </c>
      <c r="AK258" s="5">
        <f t="shared" si="58"/>
        <v>0.44208759317687391</v>
      </c>
    </row>
    <row r="259" spans="1:37" hidden="1" x14ac:dyDescent="0.3">
      <c r="A259">
        <v>5204915</v>
      </c>
      <c r="B259" t="s">
        <v>42</v>
      </c>
      <c r="C259">
        <v>7.666666666666667</v>
      </c>
      <c r="D259">
        <v>19256.592115333919</v>
      </c>
      <c r="I259">
        <v>2958.7191133450551</v>
      </c>
      <c r="J259">
        <v>2606.6381826351198</v>
      </c>
      <c r="K259">
        <v>0</v>
      </c>
      <c r="L259">
        <v>11.01258145630624</v>
      </c>
      <c r="M259">
        <v>6843.3955650500147</v>
      </c>
      <c r="N259">
        <v>4161.3760685542902</v>
      </c>
      <c r="O259">
        <v>8513.0822791042956</v>
      </c>
      <c r="P259" s="2">
        <v>44386.583333333343</v>
      </c>
      <c r="Q259" s="2">
        <v>44386.902777777781</v>
      </c>
      <c r="R259">
        <v>19272.91097299449</v>
      </c>
      <c r="S259">
        <v>6.521981937972714</v>
      </c>
      <c r="T259">
        <f t="shared" si="59"/>
        <v>0.90057471727776084</v>
      </c>
      <c r="U259">
        <f t="shared" si="60"/>
        <v>2262</v>
      </c>
      <c r="V259">
        <f t="shared" si="61"/>
        <v>0</v>
      </c>
      <c r="W259">
        <f t="shared" si="62"/>
        <v>0</v>
      </c>
      <c r="X259">
        <f t="shared" si="63"/>
        <v>0</v>
      </c>
      <c r="Y259">
        <f t="shared" si="64"/>
        <v>0</v>
      </c>
      <c r="Z259">
        <f t="shared" si="65"/>
        <v>347.54969073978651</v>
      </c>
      <c r="AA259">
        <f t="shared" si="66"/>
        <v>306.1920579615703</v>
      </c>
      <c r="AB259">
        <f t="shared" si="67"/>
        <v>0</v>
      </c>
      <c r="AC259">
        <f t="shared" si="68"/>
        <v>1.2936068388927786</v>
      </c>
      <c r="AD259">
        <f t="shared" si="69"/>
        <v>803.86813385410414</v>
      </c>
      <c r="AE259">
        <f t="shared" si="70"/>
        <v>488.82131431626777</v>
      </c>
      <c r="AF259">
        <f t="shared" si="71"/>
        <v>1000.0000000000001</v>
      </c>
      <c r="AG259">
        <f t="shared" si="72"/>
        <v>-1.9169152987783491</v>
      </c>
      <c r="AH259">
        <f t="shared" si="73"/>
        <v>2263.9169152987783</v>
      </c>
      <c r="AI259" s="5">
        <f t="shared" ref="AI259:AI322" si="74">IFERROR(O259/D259,0)</f>
        <v>0.44208664898320066</v>
      </c>
      <c r="AJ259" s="5">
        <f t="shared" ref="AJ259:AJ322" si="75">IFERROR(O259/(E259+H259),0)</f>
        <v>0</v>
      </c>
      <c r="AK259" s="5">
        <f t="shared" ref="AK259:AK322" si="76">IFERROR(O259/R259,0)</f>
        <v>0.44171232311678094</v>
      </c>
    </row>
    <row r="260" spans="1:37" hidden="1" x14ac:dyDescent="0.3">
      <c r="A260">
        <v>5204917</v>
      </c>
      <c r="B260" t="s">
        <v>41</v>
      </c>
      <c r="C260">
        <v>15</v>
      </c>
      <c r="D260">
        <v>37825.145685025433</v>
      </c>
      <c r="I260">
        <v>4906.9419093318129</v>
      </c>
      <c r="J260">
        <v>4793.2000170646097</v>
      </c>
      <c r="K260">
        <v>0</v>
      </c>
      <c r="L260">
        <v>878.14453151278826</v>
      </c>
      <c r="M260">
        <v>9138.2688828612208</v>
      </c>
      <c r="N260">
        <v>4365.5452392283014</v>
      </c>
      <c r="O260">
        <v>16721.99190319427</v>
      </c>
      <c r="P260" s="2">
        <v>44387.243055555547</v>
      </c>
      <c r="Q260" s="2">
        <v>44387.864583333343</v>
      </c>
      <c r="R260">
        <v>37615.073259706493</v>
      </c>
      <c r="S260">
        <v>6.1991759629966134</v>
      </c>
      <c r="T260">
        <f t="shared" ref="T260:T323" si="77">1000*C260/$O260</f>
        <v>0.89702232167297413</v>
      </c>
      <c r="U260">
        <f t="shared" ref="U260:U323" si="78">1000*D260/$O260</f>
        <v>2261.9999999999995</v>
      </c>
      <c r="V260">
        <f t="shared" ref="V260:V323" si="79">1000*E260/$O260</f>
        <v>0</v>
      </c>
      <c r="W260">
        <f t="shared" ref="W260:W323" si="80">1000*F260/$O260</f>
        <v>0</v>
      </c>
      <c r="X260">
        <f t="shared" ref="X260:X323" si="81">1000*G260/$O260</f>
        <v>0</v>
      </c>
      <c r="Y260">
        <f t="shared" ref="Y260:Y323" si="82">1000*H260/$O260</f>
        <v>0</v>
      </c>
      <c r="Z260">
        <f t="shared" ref="Z260:Z323" si="83">1000*I260/$O260</f>
        <v>293.4424282548826</v>
      </c>
      <c r="AA260">
        <f t="shared" ref="AA260:AA323" si="84">1000*J260/$O260</f>
        <v>286.64049383668237</v>
      </c>
      <c r="AB260">
        <f t="shared" ref="AB260:AB323" si="85">1000*K260/$O260</f>
        <v>0</v>
      </c>
      <c r="AC260">
        <f t="shared" ref="AC260:AC323" si="86">1000*L260/$O260</f>
        <v>52.514349761468502</v>
      </c>
      <c r="AD260">
        <f t="shared" ref="AD260:AD323" si="87">1000*M260/$O260</f>
        <v>546.4820779584046</v>
      </c>
      <c r="AE260">
        <f t="shared" ref="AE260:AE323" si="88">1000*N260/$O260</f>
        <v>261.06610172406471</v>
      </c>
      <c r="AF260">
        <f t="shared" ref="AF260:AF323" si="89">1000*O260/$O260</f>
        <v>1000</v>
      </c>
      <c r="AG260">
        <f t="shared" ref="AG260:AG323" si="90">U260-AH260</f>
        <v>12.562643645271237</v>
      </c>
      <c r="AH260">
        <f t="shared" ref="AH260:AH323" si="91">1000*R260/O260</f>
        <v>2249.4373563547283</v>
      </c>
      <c r="AI260" s="5">
        <f t="shared" si="74"/>
        <v>0.44208664898320077</v>
      </c>
      <c r="AJ260" s="5">
        <f t="shared" si="75"/>
        <v>0</v>
      </c>
      <c r="AK260" s="5">
        <f t="shared" si="76"/>
        <v>0.44455561172884844</v>
      </c>
    </row>
    <row r="261" spans="1:37" hidden="1" x14ac:dyDescent="0.3">
      <c r="A261">
        <v>5206644</v>
      </c>
      <c r="B261" t="s">
        <v>32</v>
      </c>
      <c r="C261">
        <v>8.5833333333333339</v>
      </c>
      <c r="D261">
        <v>21645.159964844421</v>
      </c>
      <c r="I261">
        <v>2174.0880823521352</v>
      </c>
      <c r="J261">
        <v>2125.5736557832829</v>
      </c>
      <c r="K261">
        <v>153.63873156030459</v>
      </c>
      <c r="L261">
        <v>98.360203159984394</v>
      </c>
      <c r="M261">
        <v>5278.0530795854247</v>
      </c>
      <c r="N261">
        <v>2488.6899967954801</v>
      </c>
      <c r="O261">
        <v>9569.0362355634043</v>
      </c>
      <c r="P261" s="2">
        <v>44387.861111111109</v>
      </c>
      <c r="Q261" s="2">
        <v>44388.21875</v>
      </c>
      <c r="R261">
        <v>21645.031283692169</v>
      </c>
      <c r="S261">
        <v>6.033626563005102</v>
      </c>
      <c r="T261">
        <f t="shared" si="77"/>
        <v>0.8969903678944493</v>
      </c>
      <c r="U261">
        <f t="shared" si="78"/>
        <v>2262</v>
      </c>
      <c r="V261">
        <f t="shared" si="79"/>
        <v>0</v>
      </c>
      <c r="W261">
        <f t="shared" si="80"/>
        <v>0</v>
      </c>
      <c r="X261">
        <f t="shared" si="81"/>
        <v>0</v>
      </c>
      <c r="Y261">
        <f t="shared" si="82"/>
        <v>0</v>
      </c>
      <c r="Z261">
        <f t="shared" si="83"/>
        <v>227.20031869793937</v>
      </c>
      <c r="AA261">
        <f t="shared" si="84"/>
        <v>222.13038005683066</v>
      </c>
      <c r="AB261">
        <f t="shared" si="85"/>
        <v>16.055820855741452</v>
      </c>
      <c r="AC261">
        <f t="shared" si="86"/>
        <v>10.279008328386077</v>
      </c>
      <c r="AD261">
        <f t="shared" si="87"/>
        <v>551.57624547072942</v>
      </c>
      <c r="AE261">
        <f t="shared" si="88"/>
        <v>260.07739290883262</v>
      </c>
      <c r="AF261">
        <f t="shared" si="89"/>
        <v>1000.0000000000001</v>
      </c>
      <c r="AG261">
        <f t="shared" si="90"/>
        <v>1.344766067177261E-2</v>
      </c>
      <c r="AH261">
        <f t="shared" si="91"/>
        <v>2261.9865523393282</v>
      </c>
      <c r="AI261" s="5">
        <f t="shared" si="74"/>
        <v>0.44208664898320071</v>
      </c>
      <c r="AJ261" s="5">
        <f t="shared" si="75"/>
        <v>0</v>
      </c>
      <c r="AK261" s="5">
        <f t="shared" si="76"/>
        <v>0.44208927721776597</v>
      </c>
    </row>
    <row r="262" spans="1:37" hidden="1" x14ac:dyDescent="0.3">
      <c r="A262">
        <v>5206651</v>
      </c>
      <c r="B262" t="s">
        <v>42</v>
      </c>
      <c r="C262">
        <v>14.83333333333333</v>
      </c>
      <c r="D262">
        <v>37415.245976406914</v>
      </c>
      <c r="I262">
        <v>3984.0682654398588</v>
      </c>
      <c r="J262">
        <v>4676.1153387091908</v>
      </c>
      <c r="K262">
        <v>1423.229655151084</v>
      </c>
      <c r="L262">
        <v>583.34164763737567</v>
      </c>
      <c r="M262">
        <v>8785.7007121554398</v>
      </c>
      <c r="N262">
        <v>3981.5142922838181</v>
      </c>
      <c r="O262">
        <v>16540.780714591921</v>
      </c>
      <c r="P262" s="2">
        <v>44388.21875</v>
      </c>
      <c r="Q262" s="2">
        <v>44388.840277777781</v>
      </c>
      <c r="R262">
        <v>37625.541651846012</v>
      </c>
      <c r="S262">
        <v>5.9056230854316842</v>
      </c>
      <c r="T262">
        <f t="shared" si="77"/>
        <v>0.89677347093101123</v>
      </c>
      <c r="U262">
        <f t="shared" si="78"/>
        <v>2261.9999999999995</v>
      </c>
      <c r="V262">
        <f t="shared" si="79"/>
        <v>0</v>
      </c>
      <c r="W262">
        <f t="shared" si="80"/>
        <v>0</v>
      </c>
      <c r="X262">
        <f t="shared" si="81"/>
        <v>0</v>
      </c>
      <c r="Y262">
        <f t="shared" si="82"/>
        <v>0</v>
      </c>
      <c r="Z262">
        <f t="shared" si="83"/>
        <v>240.86337484210762</v>
      </c>
      <c r="AA262">
        <f t="shared" si="84"/>
        <v>282.70221456862805</v>
      </c>
      <c r="AB262">
        <f t="shared" si="85"/>
        <v>86.04368074933376</v>
      </c>
      <c r="AC262">
        <f t="shared" si="86"/>
        <v>35.266875107216926</v>
      </c>
      <c r="AD262">
        <f t="shared" si="87"/>
        <v>531.15393183375454</v>
      </c>
      <c r="AE262">
        <f t="shared" si="88"/>
        <v>240.70897021030041</v>
      </c>
      <c r="AF262">
        <f t="shared" si="89"/>
        <v>1000</v>
      </c>
      <c r="AG262">
        <f t="shared" si="90"/>
        <v>-12.713769625975146</v>
      </c>
      <c r="AH262">
        <f t="shared" si="91"/>
        <v>2274.7137696259747</v>
      </c>
      <c r="AI262" s="5">
        <f t="shared" si="74"/>
        <v>0.44208664898320088</v>
      </c>
      <c r="AJ262" s="5">
        <f t="shared" si="75"/>
        <v>0</v>
      </c>
      <c r="AK262" s="5">
        <f t="shared" si="76"/>
        <v>0.43961575005739184</v>
      </c>
    </row>
    <row r="263" spans="1:37" hidden="1" x14ac:dyDescent="0.3">
      <c r="A263">
        <v>5206694</v>
      </c>
      <c r="B263" t="s">
        <v>32</v>
      </c>
      <c r="C263">
        <v>4.25</v>
      </c>
      <c r="D263">
        <v>10718.608771386391</v>
      </c>
      <c r="I263">
        <v>1264.200892042147</v>
      </c>
      <c r="J263">
        <v>1189.580280842405</v>
      </c>
      <c r="K263">
        <v>0</v>
      </c>
      <c r="L263">
        <v>32.440287811702717</v>
      </c>
      <c r="M263">
        <v>2828.4056287829148</v>
      </c>
      <c r="N263">
        <v>1231.661949201324</v>
      </c>
      <c r="O263">
        <v>4738.5538335041501</v>
      </c>
      <c r="P263" s="2">
        <v>44388.833333333343</v>
      </c>
      <c r="Q263" s="2">
        <v>44389.010416666657</v>
      </c>
      <c r="R263">
        <v>10718.422373961679</v>
      </c>
      <c r="S263">
        <v>5.9245357854264382</v>
      </c>
      <c r="T263">
        <f t="shared" si="77"/>
        <v>0.89689811476872772</v>
      </c>
      <c r="U263">
        <f t="shared" si="78"/>
        <v>2262.0000000000005</v>
      </c>
      <c r="V263">
        <f t="shared" si="79"/>
        <v>0</v>
      </c>
      <c r="W263">
        <f t="shared" si="80"/>
        <v>0</v>
      </c>
      <c r="X263">
        <f t="shared" si="81"/>
        <v>0</v>
      </c>
      <c r="Y263">
        <f t="shared" si="82"/>
        <v>0</v>
      </c>
      <c r="Z263">
        <f t="shared" si="83"/>
        <v>266.79044629683426</v>
      </c>
      <c r="AA263">
        <f t="shared" si="84"/>
        <v>251.04289676555453</v>
      </c>
      <c r="AB263">
        <f t="shared" si="85"/>
        <v>0</v>
      </c>
      <c r="AC263">
        <f t="shared" si="86"/>
        <v>6.8460312896167306</v>
      </c>
      <c r="AD263">
        <f t="shared" si="87"/>
        <v>596.89215911921281</v>
      </c>
      <c r="AE263">
        <f t="shared" si="88"/>
        <v>259.92359535789274</v>
      </c>
      <c r="AF263">
        <f t="shared" si="89"/>
        <v>999.99999999999989</v>
      </c>
      <c r="AG263">
        <f t="shared" si="90"/>
        <v>3.933635266366764E-2</v>
      </c>
      <c r="AH263">
        <f t="shared" si="91"/>
        <v>2261.9606636473368</v>
      </c>
      <c r="AI263" s="5">
        <f t="shared" si="74"/>
        <v>0.4420866489832006</v>
      </c>
      <c r="AJ263" s="5">
        <f t="shared" si="75"/>
        <v>0</v>
      </c>
      <c r="AK263" s="5">
        <f t="shared" si="76"/>
        <v>0.44209433703746781</v>
      </c>
    </row>
    <row r="264" spans="1:37" hidden="1" x14ac:dyDescent="0.3">
      <c r="A264">
        <v>5206696</v>
      </c>
      <c r="B264" t="s">
        <v>38</v>
      </c>
      <c r="C264">
        <v>19.5</v>
      </c>
      <c r="D264">
        <v>43789.924611889073</v>
      </c>
      <c r="I264">
        <v>-22546.714349716571</v>
      </c>
      <c r="J264">
        <v>5122.9571396509382</v>
      </c>
      <c r="K264">
        <v>1.5137704918032791</v>
      </c>
      <c r="L264">
        <v>-5.7143542550974757</v>
      </c>
      <c r="M264">
        <v>11979.1924465226</v>
      </c>
      <c r="N264">
        <v>6418.7618779308496</v>
      </c>
      <c r="O264">
        <v>19063.963696947791</v>
      </c>
      <c r="P264" s="2">
        <v>44389.017361111109</v>
      </c>
      <c r="Q264" s="2">
        <v>44389.829861111109</v>
      </c>
      <c r="R264">
        <v>45489.601353005448</v>
      </c>
      <c r="S264">
        <v>6.9700480045255082</v>
      </c>
      <c r="T264">
        <f t="shared" si="77"/>
        <v>1.0228722793425178</v>
      </c>
      <c r="U264">
        <f t="shared" si="78"/>
        <v>2297</v>
      </c>
      <c r="V264">
        <f t="shared" si="79"/>
        <v>0</v>
      </c>
      <c r="W264">
        <f t="shared" si="80"/>
        <v>0</v>
      </c>
      <c r="X264">
        <f t="shared" si="81"/>
        <v>0</v>
      </c>
      <c r="Y264">
        <f t="shared" si="82"/>
        <v>0</v>
      </c>
      <c r="Z264">
        <f t="shared" si="83"/>
        <v>-1182.687646080987</v>
      </c>
      <c r="AA264">
        <f t="shared" si="84"/>
        <v>268.72465879019387</v>
      </c>
      <c r="AB264">
        <f t="shared" si="85"/>
        <v>7.9404814018064845E-2</v>
      </c>
      <c r="AC264">
        <f t="shared" si="86"/>
        <v>-0.29974638778882928</v>
      </c>
      <c r="AD264">
        <f t="shared" si="87"/>
        <v>628.36840422857676</v>
      </c>
      <c r="AE264">
        <f t="shared" si="88"/>
        <v>336.69608167364044</v>
      </c>
      <c r="AF264">
        <f t="shared" si="89"/>
        <v>1000</v>
      </c>
      <c r="AG264">
        <f t="shared" si="90"/>
        <v>-89.156524222110875</v>
      </c>
      <c r="AH264">
        <f t="shared" si="91"/>
        <v>2386.1565242221109</v>
      </c>
      <c r="AI264" s="5">
        <f t="shared" si="74"/>
        <v>0.43535045711797998</v>
      </c>
      <c r="AJ264" s="5">
        <f t="shared" si="75"/>
        <v>0</v>
      </c>
      <c r="AK264" s="5">
        <f t="shared" si="76"/>
        <v>0.41908399128426865</v>
      </c>
    </row>
    <row r="265" spans="1:37" hidden="1" x14ac:dyDescent="0.3">
      <c r="A265">
        <v>5206750</v>
      </c>
      <c r="B265" t="s">
        <v>32</v>
      </c>
      <c r="C265">
        <v>82.333333333333329</v>
      </c>
      <c r="D265">
        <v>213242.06110636951</v>
      </c>
      <c r="I265">
        <v>26900.511537722748</v>
      </c>
      <c r="J265">
        <v>26600.682440619021</v>
      </c>
      <c r="K265">
        <v>0.86906250000000007</v>
      </c>
      <c r="L265">
        <v>-28057.767840329368</v>
      </c>
      <c r="M265">
        <v>81127.584576239693</v>
      </c>
      <c r="N265">
        <v>46929.809467894564</v>
      </c>
      <c r="O265">
        <v>94271.468216785797</v>
      </c>
      <c r="P265" s="2">
        <v>44389.829861111109</v>
      </c>
      <c r="Q265" s="2">
        <v>44394.232638888891</v>
      </c>
      <c r="R265">
        <v>274547.71939397248</v>
      </c>
      <c r="S265">
        <v>6.6702176778738664</v>
      </c>
      <c r="T265">
        <f t="shared" si="77"/>
        <v>0.87336428392098819</v>
      </c>
      <c r="U265">
        <f t="shared" si="78"/>
        <v>2262.0000000000005</v>
      </c>
      <c r="V265">
        <f t="shared" si="79"/>
        <v>0</v>
      </c>
      <c r="W265">
        <f t="shared" si="80"/>
        <v>0</v>
      </c>
      <c r="X265">
        <f t="shared" si="81"/>
        <v>0</v>
      </c>
      <c r="Y265">
        <f t="shared" si="82"/>
        <v>0</v>
      </c>
      <c r="Z265">
        <f t="shared" si="83"/>
        <v>285.35157080467422</v>
      </c>
      <c r="AA265">
        <f t="shared" si="84"/>
        <v>282.17108467482802</v>
      </c>
      <c r="AB265">
        <f t="shared" si="85"/>
        <v>9.2187224452844208E-3</v>
      </c>
      <c r="AC265">
        <f t="shared" si="86"/>
        <v>-297.62735609259829</v>
      </c>
      <c r="AD265">
        <f t="shared" si="87"/>
        <v>860.57410700000389</v>
      </c>
      <c r="AE265">
        <f t="shared" si="88"/>
        <v>497.81562073452812</v>
      </c>
      <c r="AF265">
        <f t="shared" si="89"/>
        <v>1000.0000000000001</v>
      </c>
      <c r="AG265">
        <f t="shared" si="90"/>
        <v>-650.30978563551207</v>
      </c>
      <c r="AH265">
        <f t="shared" si="91"/>
        <v>2912.3097856355125</v>
      </c>
      <c r="AI265" s="5">
        <f t="shared" si="74"/>
        <v>0.4420866489832006</v>
      </c>
      <c r="AJ265" s="5">
        <f t="shared" si="75"/>
        <v>0</v>
      </c>
      <c r="AK265" s="5">
        <f t="shared" si="76"/>
        <v>0.34337006486478017</v>
      </c>
    </row>
    <row r="266" spans="1:37" hidden="1" x14ac:dyDescent="0.3">
      <c r="A266">
        <v>5206752</v>
      </c>
      <c r="B266" t="s">
        <v>42</v>
      </c>
      <c r="C266">
        <v>11</v>
      </c>
      <c r="D266">
        <v>29307.940837734739</v>
      </c>
      <c r="I266">
        <v>4008.727972719164</v>
      </c>
      <c r="J266">
        <v>4112.7704768429239</v>
      </c>
      <c r="K266">
        <v>0</v>
      </c>
      <c r="L266">
        <v>-1.38936726978045</v>
      </c>
      <c r="M266">
        <v>12496.16820316462</v>
      </c>
      <c r="N266">
        <v>7226.9576124567511</v>
      </c>
      <c r="O266">
        <v>12956.649353552049</v>
      </c>
      <c r="P266" s="2">
        <v>44391.458333333343</v>
      </c>
      <c r="Q266" s="2">
        <v>44391.916666666657</v>
      </c>
      <c r="R266">
        <v>29307.905044903451</v>
      </c>
      <c r="S266">
        <v>7.3584429590536091</v>
      </c>
      <c r="T266">
        <f t="shared" si="77"/>
        <v>0.8489849265685625</v>
      </c>
      <c r="U266">
        <f t="shared" si="78"/>
        <v>2262.0000000000005</v>
      </c>
      <c r="V266">
        <f t="shared" si="79"/>
        <v>0</v>
      </c>
      <c r="W266">
        <f t="shared" si="80"/>
        <v>0</v>
      </c>
      <c r="X266">
        <f t="shared" si="81"/>
        <v>0</v>
      </c>
      <c r="Y266">
        <f t="shared" si="82"/>
        <v>0</v>
      </c>
      <c r="Z266">
        <f t="shared" si="83"/>
        <v>309.39542032293838</v>
      </c>
      <c r="AA266">
        <f t="shared" si="84"/>
        <v>317.42546738871289</v>
      </c>
      <c r="AB266">
        <f t="shared" si="85"/>
        <v>0</v>
      </c>
      <c r="AC266">
        <f t="shared" si="86"/>
        <v>-0.10723198813739268</v>
      </c>
      <c r="AD266">
        <f t="shared" si="87"/>
        <v>964.45985857746552</v>
      </c>
      <c r="AE266">
        <f t="shared" si="88"/>
        <v>557.7798252659735</v>
      </c>
      <c r="AF266">
        <f t="shared" si="89"/>
        <v>1000</v>
      </c>
      <c r="AG266">
        <f t="shared" si="90"/>
        <v>2.762506749604654E-3</v>
      </c>
      <c r="AH266">
        <f t="shared" si="91"/>
        <v>2261.9972374932509</v>
      </c>
      <c r="AI266" s="5">
        <f t="shared" si="74"/>
        <v>0.44208664898320066</v>
      </c>
      <c r="AJ266" s="5">
        <f t="shared" si="75"/>
        <v>0</v>
      </c>
      <c r="AK266" s="5">
        <f t="shared" si="76"/>
        <v>0.44208718888985099</v>
      </c>
    </row>
    <row r="267" spans="1:37" hidden="1" x14ac:dyDescent="0.3">
      <c r="A267">
        <v>5208002</v>
      </c>
      <c r="B267" t="s">
        <v>42</v>
      </c>
      <c r="C267">
        <v>10.66666666666667</v>
      </c>
      <c r="D267">
        <v>28424.345495529709</v>
      </c>
      <c r="I267">
        <v>4583.5971301142354</v>
      </c>
      <c r="J267">
        <v>4572.6534029321047</v>
      </c>
      <c r="K267">
        <v>0</v>
      </c>
      <c r="L267">
        <v>43.428902556087223</v>
      </c>
      <c r="M267">
        <v>12395.29890692202</v>
      </c>
      <c r="N267">
        <v>8389.268798146999</v>
      </c>
      <c r="O267">
        <v>12566.023649659461</v>
      </c>
      <c r="P267" s="2">
        <v>44392.399305555547</v>
      </c>
      <c r="Q267" s="2">
        <v>44392.84375</v>
      </c>
      <c r="R267">
        <v>28424.069854071891</v>
      </c>
      <c r="S267">
        <v>6.745380575906375</v>
      </c>
      <c r="T267">
        <f t="shared" si="77"/>
        <v>0.84884980038659541</v>
      </c>
      <c r="U267">
        <f t="shared" si="78"/>
        <v>2262.0000000000005</v>
      </c>
      <c r="V267">
        <f t="shared" si="79"/>
        <v>0</v>
      </c>
      <c r="W267">
        <f t="shared" si="80"/>
        <v>0</v>
      </c>
      <c r="X267">
        <f t="shared" si="81"/>
        <v>0</v>
      </c>
      <c r="Y267">
        <f t="shared" si="82"/>
        <v>0</v>
      </c>
      <c r="Z267">
        <f t="shared" si="83"/>
        <v>364.7611414640661</v>
      </c>
      <c r="AA267">
        <f t="shared" si="84"/>
        <v>363.89024327962517</v>
      </c>
      <c r="AB267">
        <f t="shared" si="85"/>
        <v>0</v>
      </c>
      <c r="AC267">
        <f t="shared" si="86"/>
        <v>3.4560576811634562</v>
      </c>
      <c r="AD267">
        <f t="shared" si="87"/>
        <v>986.41378151933793</v>
      </c>
      <c r="AE267">
        <f t="shared" si="88"/>
        <v>667.6152323153035</v>
      </c>
      <c r="AF267">
        <f t="shared" si="89"/>
        <v>1000</v>
      </c>
      <c r="AG267">
        <f t="shared" si="90"/>
        <v>2.1935455916718638E-2</v>
      </c>
      <c r="AH267">
        <f t="shared" si="91"/>
        <v>2261.9780645440837</v>
      </c>
      <c r="AI267" s="5">
        <f t="shared" si="74"/>
        <v>0.44208664898320055</v>
      </c>
      <c r="AJ267" s="5">
        <f t="shared" si="75"/>
        <v>0</v>
      </c>
      <c r="AK267" s="5">
        <f t="shared" si="76"/>
        <v>0.44209093610355432</v>
      </c>
    </row>
    <row r="268" spans="1:37" hidden="1" x14ac:dyDescent="0.3">
      <c r="A268">
        <v>5209264</v>
      </c>
      <c r="B268" t="s">
        <v>42</v>
      </c>
      <c r="C268">
        <v>18.416666666666671</v>
      </c>
      <c r="D268">
        <v>46267.727050244554</v>
      </c>
      <c r="I268">
        <v>7436.0180681018537</v>
      </c>
      <c r="J268">
        <v>7418.1663162677332</v>
      </c>
      <c r="K268">
        <v>0</v>
      </c>
      <c r="L268">
        <v>29.655667297035389</v>
      </c>
      <c r="M268">
        <v>14755.615544318011</v>
      </c>
      <c r="N268">
        <v>6373.1167258938258</v>
      </c>
      <c r="O268">
        <v>20454.344407712</v>
      </c>
      <c r="P268" s="2">
        <v>44394.229166666657</v>
      </c>
      <c r="Q268" s="2">
        <v>44395</v>
      </c>
      <c r="R268">
        <v>46477.469755521823</v>
      </c>
      <c r="S268">
        <v>6.1746842479296369</v>
      </c>
      <c r="T268">
        <f t="shared" si="77"/>
        <v>0.90037922015838101</v>
      </c>
      <c r="U268">
        <f t="shared" si="78"/>
        <v>2262.0000000000005</v>
      </c>
      <c r="V268">
        <f t="shared" si="79"/>
        <v>0</v>
      </c>
      <c r="W268">
        <f t="shared" si="80"/>
        <v>0</v>
      </c>
      <c r="X268">
        <f t="shared" si="81"/>
        <v>0</v>
      </c>
      <c r="Y268">
        <f t="shared" si="82"/>
        <v>0</v>
      </c>
      <c r="Z268">
        <f t="shared" si="83"/>
        <v>363.54223434793715</v>
      </c>
      <c r="AA268">
        <f t="shared" si="84"/>
        <v>362.6694734577182</v>
      </c>
      <c r="AB268">
        <f t="shared" si="85"/>
        <v>0</v>
      </c>
      <c r="AC268">
        <f t="shared" si="86"/>
        <v>1.4498468738921875</v>
      </c>
      <c r="AD268">
        <f t="shared" si="87"/>
        <v>721.39273937103701</v>
      </c>
      <c r="AE268">
        <f t="shared" si="88"/>
        <v>311.57765797132754</v>
      </c>
      <c r="AF268">
        <f t="shared" si="89"/>
        <v>1000</v>
      </c>
      <c r="AG268">
        <f t="shared" si="90"/>
        <v>-10.254188601526948</v>
      </c>
      <c r="AH268">
        <f t="shared" si="91"/>
        <v>2272.2541886015274</v>
      </c>
      <c r="AI268" s="5">
        <f t="shared" si="74"/>
        <v>0.4420866489832006</v>
      </c>
      <c r="AJ268" s="5">
        <f t="shared" si="75"/>
        <v>0</v>
      </c>
      <c r="AK268" s="5">
        <f t="shared" si="76"/>
        <v>0.44009160815562454</v>
      </c>
    </row>
    <row r="269" spans="1:37" hidden="1" x14ac:dyDescent="0.3">
      <c r="A269">
        <v>5209266</v>
      </c>
      <c r="B269" t="s">
        <v>32</v>
      </c>
      <c r="C269">
        <v>8.25</v>
      </c>
      <c r="D269">
        <v>20742.226551299711</v>
      </c>
      <c r="I269">
        <v>6456.5094218642953</v>
      </c>
      <c r="J269">
        <v>3057.8795522926571</v>
      </c>
      <c r="K269">
        <v>649.1964873381396</v>
      </c>
      <c r="L269">
        <v>609.44329785506568</v>
      </c>
      <c r="M269">
        <v>5744.6657750887071</v>
      </c>
      <c r="N269">
        <v>2215.917586724629</v>
      </c>
      <c r="O269">
        <v>9169.8614285144631</v>
      </c>
      <c r="P269" s="2">
        <v>44395</v>
      </c>
      <c r="Q269" s="2">
        <v>44395.34375</v>
      </c>
      <c r="R269">
        <v>20742.448000125631</v>
      </c>
      <c r="S269">
        <v>6.2489059639185731</v>
      </c>
      <c r="T269">
        <f t="shared" si="77"/>
        <v>0.89968644175428036</v>
      </c>
      <c r="U269">
        <f t="shared" si="78"/>
        <v>2261.9999999999995</v>
      </c>
      <c r="V269">
        <f t="shared" si="79"/>
        <v>0</v>
      </c>
      <c r="W269">
        <f t="shared" si="80"/>
        <v>0</v>
      </c>
      <c r="X269">
        <f t="shared" si="81"/>
        <v>0</v>
      </c>
      <c r="Y269">
        <f t="shared" si="82"/>
        <v>0</v>
      </c>
      <c r="Z269">
        <f t="shared" si="83"/>
        <v>704.10108944364538</v>
      </c>
      <c r="AA269">
        <f t="shared" si="84"/>
        <v>333.47063923822458</v>
      </c>
      <c r="AB269">
        <f t="shared" si="85"/>
        <v>70.796760932439824</v>
      </c>
      <c r="AC269">
        <f t="shared" si="86"/>
        <v>66.46156025432947</v>
      </c>
      <c r="AD269">
        <f t="shared" si="87"/>
        <v>626.47247397056412</v>
      </c>
      <c r="AE269">
        <f t="shared" si="88"/>
        <v>241.65224349345621</v>
      </c>
      <c r="AF269">
        <f t="shared" si="89"/>
        <v>1000.0000000000001</v>
      </c>
      <c r="AG269">
        <f t="shared" si="90"/>
        <v>-2.4149637117716338E-2</v>
      </c>
      <c r="AH269">
        <f t="shared" si="91"/>
        <v>2262.0241496371173</v>
      </c>
      <c r="AI269" s="5">
        <f t="shared" si="74"/>
        <v>0.44208664898320083</v>
      </c>
      <c r="AJ269" s="5">
        <f t="shared" si="75"/>
        <v>0</v>
      </c>
      <c r="AK269" s="5">
        <f t="shared" si="76"/>
        <v>0.44208192921389627</v>
      </c>
    </row>
    <row r="270" spans="1:37" hidden="1" x14ac:dyDescent="0.3">
      <c r="A270">
        <v>5209270</v>
      </c>
      <c r="B270" t="s">
        <v>32</v>
      </c>
      <c r="C270">
        <v>8.5833333333333339</v>
      </c>
      <c r="D270">
        <v>21574.523812406082</v>
      </c>
      <c r="I270">
        <v>0</v>
      </c>
      <c r="J270">
        <v>3338.933047893222</v>
      </c>
      <c r="K270">
        <v>0</v>
      </c>
      <c r="L270">
        <v>0</v>
      </c>
      <c r="M270">
        <v>8105.141380347447</v>
      </c>
      <c r="N270">
        <v>2646.4206589838141</v>
      </c>
      <c r="O270">
        <v>9537.8089356348701</v>
      </c>
      <c r="P270" s="2">
        <v>44395.875</v>
      </c>
      <c r="Q270" s="2">
        <v>44396.232638888891</v>
      </c>
      <c r="R270">
        <v>21589.972425575641</v>
      </c>
      <c r="S270">
        <v>6.0474438231676633</v>
      </c>
      <c r="T270">
        <f t="shared" si="77"/>
        <v>0.89992716264891259</v>
      </c>
      <c r="U270">
        <f t="shared" si="78"/>
        <v>2262.0000000000005</v>
      </c>
      <c r="V270">
        <f t="shared" si="79"/>
        <v>0</v>
      </c>
      <c r="W270">
        <f t="shared" si="80"/>
        <v>0</v>
      </c>
      <c r="X270">
        <f t="shared" si="81"/>
        <v>0</v>
      </c>
      <c r="Y270">
        <f t="shared" si="82"/>
        <v>0</v>
      </c>
      <c r="Z270">
        <f t="shared" si="83"/>
        <v>0</v>
      </c>
      <c r="AA270">
        <f t="shared" si="84"/>
        <v>350.07338377459024</v>
      </c>
      <c r="AB270">
        <f t="shared" si="85"/>
        <v>0</v>
      </c>
      <c r="AC270">
        <f t="shared" si="86"/>
        <v>0</v>
      </c>
      <c r="AD270">
        <f t="shared" si="87"/>
        <v>849.7907050816741</v>
      </c>
      <c r="AE270">
        <f t="shared" si="88"/>
        <v>277.46631085220611</v>
      </c>
      <c r="AF270">
        <f t="shared" si="89"/>
        <v>1000</v>
      </c>
      <c r="AG270">
        <f t="shared" si="90"/>
        <v>-1.619723489306125</v>
      </c>
      <c r="AH270">
        <f t="shared" si="91"/>
        <v>2263.6197234893066</v>
      </c>
      <c r="AI270" s="5">
        <f t="shared" si="74"/>
        <v>0.4420866489832006</v>
      </c>
      <c r="AJ270" s="5">
        <f t="shared" si="75"/>
        <v>0</v>
      </c>
      <c r="AK270" s="5">
        <f t="shared" si="76"/>
        <v>0.44177031575715731</v>
      </c>
    </row>
    <row r="271" spans="1:37" hidden="1" x14ac:dyDescent="0.3">
      <c r="A271">
        <v>5209268</v>
      </c>
      <c r="B271" t="s">
        <v>42</v>
      </c>
      <c r="C271">
        <v>12.91666666666667</v>
      </c>
      <c r="D271">
        <v>32484.343999184919</v>
      </c>
      <c r="I271">
        <v>-22573.105109251959</v>
      </c>
      <c r="J271">
        <v>4787.2145075085919</v>
      </c>
      <c r="K271">
        <v>3.60444556451613</v>
      </c>
      <c r="L271">
        <v>78.139548793970448</v>
      </c>
      <c r="M271">
        <v>9651.9357976086812</v>
      </c>
      <c r="N271">
        <v>5324.2628355821116</v>
      </c>
      <c r="O271">
        <v>14360.894783017209</v>
      </c>
      <c r="P271" s="2">
        <v>44395.347222222219</v>
      </c>
      <c r="Q271" s="2">
        <v>44395.885416666657</v>
      </c>
      <c r="R271">
        <v>32484.598205229409</v>
      </c>
      <c r="S271">
        <v>6.8694745723483086</v>
      </c>
      <c r="T271">
        <f t="shared" si="77"/>
        <v>0.89943327778862059</v>
      </c>
      <c r="U271">
        <f t="shared" si="78"/>
        <v>2261.9999999999995</v>
      </c>
      <c r="V271">
        <f t="shared" si="79"/>
        <v>0</v>
      </c>
      <c r="W271">
        <f t="shared" si="80"/>
        <v>0</v>
      </c>
      <c r="X271">
        <f t="shared" si="81"/>
        <v>0</v>
      </c>
      <c r="Y271">
        <f t="shared" si="82"/>
        <v>0</v>
      </c>
      <c r="Z271">
        <f t="shared" si="83"/>
        <v>-1571.845309802442</v>
      </c>
      <c r="AA271">
        <f t="shared" si="84"/>
        <v>333.35071246185976</v>
      </c>
      <c r="AB271">
        <f t="shared" si="85"/>
        <v>0.2509903191254243</v>
      </c>
      <c r="AC271">
        <f t="shared" si="86"/>
        <v>5.4411337158723621</v>
      </c>
      <c r="AD271">
        <f t="shared" si="87"/>
        <v>672.09849688633528</v>
      </c>
      <c r="AE271">
        <f t="shared" si="88"/>
        <v>370.74729089154221</v>
      </c>
      <c r="AF271">
        <f t="shared" si="89"/>
        <v>1000</v>
      </c>
      <c r="AG271">
        <f t="shared" si="90"/>
        <v>-1.770126780593273E-2</v>
      </c>
      <c r="AH271">
        <f t="shared" si="91"/>
        <v>2262.0177012678055</v>
      </c>
      <c r="AI271" s="5">
        <f t="shared" si="74"/>
        <v>0.44208664898320083</v>
      </c>
      <c r="AJ271" s="5">
        <f t="shared" si="75"/>
        <v>0</v>
      </c>
      <c r="AK271" s="5">
        <f t="shared" si="76"/>
        <v>0.44208318946378028</v>
      </c>
    </row>
    <row r="272" spans="1:37" hidden="1" x14ac:dyDescent="0.3">
      <c r="A272">
        <v>5209274</v>
      </c>
      <c r="B272" t="s">
        <v>41</v>
      </c>
      <c r="C272">
        <v>13.91666666666667</v>
      </c>
      <c r="D272">
        <v>34660.056931954838</v>
      </c>
      <c r="I272">
        <v>4109.7931845337253</v>
      </c>
      <c r="J272">
        <v>4719.1559288708613</v>
      </c>
      <c r="K272">
        <v>0.77836010362694308</v>
      </c>
      <c r="L272">
        <v>117.6373429629365</v>
      </c>
      <c r="M272">
        <v>11326.947249969169</v>
      </c>
      <c r="N272">
        <v>6292.9371189170761</v>
      </c>
      <c r="O272">
        <v>15322.748422614881</v>
      </c>
      <c r="P272" s="2">
        <v>44396.239583333343</v>
      </c>
      <c r="Q272" s="2">
        <v>44396.819444444453</v>
      </c>
      <c r="R272">
        <v>34921.007257395089</v>
      </c>
      <c r="S272">
        <v>6.2529292320354388</v>
      </c>
      <c r="T272">
        <f t="shared" si="77"/>
        <v>0.90823566913929277</v>
      </c>
      <c r="U272">
        <f t="shared" si="78"/>
        <v>2261.9999999999986</v>
      </c>
      <c r="V272">
        <f t="shared" si="79"/>
        <v>0</v>
      </c>
      <c r="W272">
        <f t="shared" si="80"/>
        <v>0</v>
      </c>
      <c r="X272">
        <f t="shared" si="81"/>
        <v>0</v>
      </c>
      <c r="Y272">
        <f t="shared" si="82"/>
        <v>0</v>
      </c>
      <c r="Z272">
        <f t="shared" si="83"/>
        <v>268.21514464520419</v>
      </c>
      <c r="AA272">
        <f t="shared" si="84"/>
        <v>307.9836461914266</v>
      </c>
      <c r="AB272">
        <f t="shared" si="85"/>
        <v>5.0797682123277545E-2</v>
      </c>
      <c r="AC272">
        <f t="shared" si="86"/>
        <v>7.6773004240750478</v>
      </c>
      <c r="AD272">
        <f t="shared" si="87"/>
        <v>739.22425256631516</v>
      </c>
      <c r="AE272">
        <f t="shared" si="88"/>
        <v>410.69245185996232</v>
      </c>
      <c r="AF272">
        <f t="shared" si="89"/>
        <v>999.99999999999989</v>
      </c>
      <c r="AG272">
        <f t="shared" si="90"/>
        <v>-17.03025581592874</v>
      </c>
      <c r="AH272">
        <f t="shared" si="91"/>
        <v>2279.0302558159274</v>
      </c>
      <c r="AI272" s="5">
        <f t="shared" si="74"/>
        <v>0.44208664898320099</v>
      </c>
      <c r="AJ272" s="5">
        <f t="shared" si="75"/>
        <v>0</v>
      </c>
      <c r="AK272" s="5">
        <f t="shared" si="76"/>
        <v>0.43878311727019387</v>
      </c>
    </row>
    <row r="273" spans="1:37" hidden="1" x14ac:dyDescent="0.3">
      <c r="A273">
        <v>5209276</v>
      </c>
      <c r="B273" t="s">
        <v>32</v>
      </c>
      <c r="C273">
        <v>45.916666666666671</v>
      </c>
      <c r="D273">
        <v>103545.23406744959</v>
      </c>
      <c r="I273">
        <v>-15119.27630598543</v>
      </c>
      <c r="J273">
        <v>12256.03933465403</v>
      </c>
      <c r="K273">
        <v>1003.578380649398</v>
      </c>
      <c r="L273">
        <v>918.30596863957226</v>
      </c>
      <c r="M273">
        <v>38862.33147831275</v>
      </c>
      <c r="N273">
        <v>23057.050750020651</v>
      </c>
      <c r="O273">
        <v>45775.965547059946</v>
      </c>
      <c r="P273" s="2">
        <v>44396.822916666657</v>
      </c>
      <c r="Q273" s="2">
        <v>44399.395833333343</v>
      </c>
      <c r="R273">
        <v>146596.46196961409</v>
      </c>
      <c r="S273">
        <v>6.1723868784489886</v>
      </c>
      <c r="T273">
        <f t="shared" si="77"/>
        <v>1.0030736898266424</v>
      </c>
      <c r="U273">
        <f t="shared" si="78"/>
        <v>2262</v>
      </c>
      <c r="V273">
        <f t="shared" si="79"/>
        <v>0</v>
      </c>
      <c r="W273">
        <f t="shared" si="80"/>
        <v>0</v>
      </c>
      <c r="X273">
        <f t="shared" si="81"/>
        <v>0</v>
      </c>
      <c r="Y273">
        <f t="shared" si="82"/>
        <v>0</v>
      </c>
      <c r="Z273">
        <f t="shared" si="83"/>
        <v>-330.28852860442822</v>
      </c>
      <c r="AA273">
        <f t="shared" si="84"/>
        <v>267.73961375111179</v>
      </c>
      <c r="AB273">
        <f t="shared" si="85"/>
        <v>21.923696609253824</v>
      </c>
      <c r="AC273">
        <f t="shared" si="86"/>
        <v>20.060876000431023</v>
      </c>
      <c r="AD273">
        <f t="shared" si="87"/>
        <v>848.96803407369669</v>
      </c>
      <c r="AE273">
        <f t="shared" si="88"/>
        <v>503.69337870802241</v>
      </c>
      <c r="AF273">
        <f t="shared" si="89"/>
        <v>1000</v>
      </c>
      <c r="AG273">
        <f t="shared" si="90"/>
        <v>-940.47667564555695</v>
      </c>
      <c r="AH273">
        <f t="shared" si="91"/>
        <v>3202.476675645557</v>
      </c>
      <c r="AI273" s="5">
        <f t="shared" si="74"/>
        <v>0.44208664898320071</v>
      </c>
      <c r="AJ273" s="5">
        <f t="shared" si="75"/>
        <v>0</v>
      </c>
      <c r="AK273" s="5">
        <f t="shared" si="76"/>
        <v>0.31225832419167254</v>
      </c>
    </row>
    <row r="274" spans="1:37" hidden="1" x14ac:dyDescent="0.3">
      <c r="A274">
        <v>5209279</v>
      </c>
      <c r="B274" t="s">
        <v>42</v>
      </c>
      <c r="C274">
        <v>11.33333333333333</v>
      </c>
      <c r="D274">
        <v>28448.02390387101</v>
      </c>
      <c r="I274">
        <v>4074.148004108119</v>
      </c>
      <c r="J274">
        <v>4105.2744863932076</v>
      </c>
      <c r="K274">
        <v>0</v>
      </c>
      <c r="L274">
        <v>-9.3736338121459539</v>
      </c>
      <c r="M274">
        <v>11396.48095591548</v>
      </c>
      <c r="N274">
        <v>6172.3973294628549</v>
      </c>
      <c r="O274">
        <v>12576.49155785633</v>
      </c>
      <c r="P274" s="2">
        <v>44398.395833333343</v>
      </c>
      <c r="Q274" s="2">
        <v>44398.868055555547</v>
      </c>
      <c r="R274">
        <v>28222.36348391142</v>
      </c>
      <c r="S274">
        <v>5.8782254965457899</v>
      </c>
      <c r="T274">
        <f t="shared" si="77"/>
        <v>0.90115222367032721</v>
      </c>
      <c r="U274">
        <f t="shared" si="78"/>
        <v>2261.9999999999995</v>
      </c>
      <c r="V274">
        <f t="shared" si="79"/>
        <v>0</v>
      </c>
      <c r="W274">
        <f t="shared" si="80"/>
        <v>0</v>
      </c>
      <c r="X274">
        <f t="shared" si="81"/>
        <v>0</v>
      </c>
      <c r="Y274">
        <f t="shared" si="82"/>
        <v>0</v>
      </c>
      <c r="Z274">
        <f t="shared" si="83"/>
        <v>323.94948824682865</v>
      </c>
      <c r="AA274">
        <f t="shared" si="84"/>
        <v>326.42446166385008</v>
      </c>
      <c r="AB274">
        <f t="shared" si="85"/>
        <v>0</v>
      </c>
      <c r="AC274">
        <f t="shared" si="86"/>
        <v>-0.74532979003117894</v>
      </c>
      <c r="AD274">
        <f t="shared" si="87"/>
        <v>906.1733078329213</v>
      </c>
      <c r="AE274">
        <f t="shared" si="88"/>
        <v>490.78849224902143</v>
      </c>
      <c r="AF274">
        <f t="shared" si="89"/>
        <v>1000</v>
      </c>
      <c r="AG274">
        <f t="shared" si="90"/>
        <v>17.943034344791158</v>
      </c>
      <c r="AH274">
        <f t="shared" si="91"/>
        <v>2244.0569656552084</v>
      </c>
      <c r="AI274" s="5">
        <f t="shared" si="74"/>
        <v>0.44208664898320088</v>
      </c>
      <c r="AJ274" s="5">
        <f t="shared" si="75"/>
        <v>0</v>
      </c>
      <c r="AK274" s="5">
        <f t="shared" si="76"/>
        <v>0.44562148613193742</v>
      </c>
    </row>
    <row r="275" spans="1:37" hidden="1" x14ac:dyDescent="0.3">
      <c r="A275">
        <v>5209281</v>
      </c>
      <c r="B275" t="s">
        <v>38</v>
      </c>
      <c r="C275">
        <v>33.083333333333329</v>
      </c>
      <c r="D275">
        <v>78987.348513091943</v>
      </c>
      <c r="I275">
        <v>10431.641073119459</v>
      </c>
      <c r="J275">
        <v>10597.23035141999</v>
      </c>
      <c r="K275">
        <v>12426.799088895619</v>
      </c>
      <c r="L275">
        <v>12855.755902394751</v>
      </c>
      <c r="M275">
        <v>20261.463339941762</v>
      </c>
      <c r="N275">
        <v>21702.248550718468</v>
      </c>
      <c r="O275">
        <v>34387.178281711771</v>
      </c>
      <c r="P275" s="2">
        <v>44399.506944444453</v>
      </c>
      <c r="Q275" s="2">
        <v>44400.982638888891</v>
      </c>
      <c r="R275">
        <v>84069.3926271932</v>
      </c>
      <c r="S275">
        <v>6.5704202759090453</v>
      </c>
      <c r="T275">
        <f t="shared" si="77"/>
        <v>0.96208339812889299</v>
      </c>
      <c r="U275">
        <f t="shared" si="78"/>
        <v>2297</v>
      </c>
      <c r="V275">
        <f t="shared" si="79"/>
        <v>0</v>
      </c>
      <c r="W275">
        <f t="shared" si="80"/>
        <v>0</v>
      </c>
      <c r="X275">
        <f t="shared" si="81"/>
        <v>0</v>
      </c>
      <c r="Y275">
        <f t="shared" si="82"/>
        <v>0</v>
      </c>
      <c r="Z275">
        <f t="shared" si="83"/>
        <v>303.35844911902376</v>
      </c>
      <c r="AA275">
        <f t="shared" si="84"/>
        <v>308.17388576066867</v>
      </c>
      <c r="AB275">
        <f t="shared" si="85"/>
        <v>361.37885426628907</v>
      </c>
      <c r="AC275">
        <f t="shared" si="86"/>
        <v>373.85317856196019</v>
      </c>
      <c r="AD275">
        <f t="shared" si="87"/>
        <v>589.2156423522971</v>
      </c>
      <c r="AE275">
        <f t="shared" si="88"/>
        <v>631.11455010719601</v>
      </c>
      <c r="AF275">
        <f t="shared" si="89"/>
        <v>1000</v>
      </c>
      <c r="AG275">
        <f t="shared" si="90"/>
        <v>-147.78892506001466</v>
      </c>
      <c r="AH275">
        <f t="shared" si="91"/>
        <v>2444.7889250600147</v>
      </c>
      <c r="AI275" s="5">
        <f t="shared" si="74"/>
        <v>0.43535045711797993</v>
      </c>
      <c r="AJ275" s="5">
        <f t="shared" si="75"/>
        <v>0</v>
      </c>
      <c r="AK275" s="5">
        <f t="shared" si="76"/>
        <v>0.40903326653259114</v>
      </c>
    </row>
    <row r="276" spans="1:37" hidden="1" x14ac:dyDescent="0.3">
      <c r="A276">
        <v>5209283</v>
      </c>
      <c r="B276" t="s">
        <v>49</v>
      </c>
      <c r="C276">
        <v>17.333333333333339</v>
      </c>
      <c r="D276">
        <v>28050.33239637017</v>
      </c>
      <c r="I276">
        <v>-23823.204051191511</v>
      </c>
      <c r="J276">
        <v>3582.4680743408348</v>
      </c>
      <c r="K276">
        <v>16387.478301444109</v>
      </c>
      <c r="L276">
        <v>16355.5774401542</v>
      </c>
      <c r="M276">
        <v>0</v>
      </c>
      <c r="N276">
        <v>17214.140884340472</v>
      </c>
      <c r="O276">
        <v>12106.315233651339</v>
      </c>
      <c r="P276" s="2">
        <v>44401.166666666657</v>
      </c>
      <c r="Q276" s="2">
        <v>44401.888888888891</v>
      </c>
      <c r="R276">
        <v>29878.129154755188</v>
      </c>
      <c r="S276">
        <v>6.539643749908425</v>
      </c>
      <c r="T276">
        <f t="shared" si="77"/>
        <v>1.431759622874573</v>
      </c>
      <c r="U276">
        <f t="shared" si="78"/>
        <v>2317.0000000000014</v>
      </c>
      <c r="V276">
        <f t="shared" si="79"/>
        <v>0</v>
      </c>
      <c r="W276">
        <f t="shared" si="80"/>
        <v>0</v>
      </c>
      <c r="X276">
        <f t="shared" si="81"/>
        <v>0</v>
      </c>
      <c r="Y276">
        <f t="shared" si="82"/>
        <v>0</v>
      </c>
      <c r="Z276">
        <f t="shared" si="83"/>
        <v>-1967.8327873844969</v>
      </c>
      <c r="AA276">
        <f t="shared" si="84"/>
        <v>295.917296485294</v>
      </c>
      <c r="AB276">
        <f t="shared" si="85"/>
        <v>1353.6305626581263</v>
      </c>
      <c r="AC276">
        <f t="shared" si="86"/>
        <v>1350.9955031314064</v>
      </c>
      <c r="AD276">
        <f t="shared" si="87"/>
        <v>0</v>
      </c>
      <c r="AE276">
        <f t="shared" si="88"/>
        <v>1421.9141458080619</v>
      </c>
      <c r="AF276">
        <f t="shared" si="89"/>
        <v>1000</v>
      </c>
      <c r="AG276">
        <f t="shared" si="90"/>
        <v>-150.97878446980985</v>
      </c>
      <c r="AH276">
        <f t="shared" si="91"/>
        <v>2467.9787844698112</v>
      </c>
      <c r="AI276" s="5">
        <f t="shared" si="74"/>
        <v>0.43159257660768208</v>
      </c>
      <c r="AJ276" s="5">
        <f t="shared" si="75"/>
        <v>0</v>
      </c>
      <c r="AK276" s="5">
        <f t="shared" si="76"/>
        <v>0.40518986884841768</v>
      </c>
    </row>
    <row r="277" spans="1:37" hidden="1" x14ac:dyDescent="0.3">
      <c r="A277">
        <v>5209285</v>
      </c>
      <c r="B277" t="s">
        <v>46</v>
      </c>
      <c r="C277">
        <v>20.083333333333329</v>
      </c>
      <c r="D277">
        <v>24644.971527839101</v>
      </c>
      <c r="I277">
        <v>5243.2013964951166</v>
      </c>
      <c r="J277">
        <v>4182.3923236622468</v>
      </c>
      <c r="K277">
        <v>9089.3819036875211</v>
      </c>
      <c r="L277">
        <v>11113.983104883489</v>
      </c>
      <c r="M277">
        <v>0</v>
      </c>
      <c r="N277">
        <v>7096.4669140464148</v>
      </c>
      <c r="O277">
        <v>10636.58676212305</v>
      </c>
      <c r="P277" s="2">
        <v>44401.888888888891</v>
      </c>
      <c r="Q277" s="2">
        <v>44402.725694444453</v>
      </c>
      <c r="R277">
        <v>24732.64911496063</v>
      </c>
      <c r="S277">
        <v>6.8511668953422564</v>
      </c>
      <c r="T277">
        <f t="shared" si="77"/>
        <v>1.8881370295262574</v>
      </c>
      <c r="U277">
        <f t="shared" si="78"/>
        <v>2316.9999999999995</v>
      </c>
      <c r="V277">
        <f t="shared" si="79"/>
        <v>0</v>
      </c>
      <c r="W277">
        <f t="shared" si="80"/>
        <v>0</v>
      </c>
      <c r="X277">
        <f t="shared" si="81"/>
        <v>0</v>
      </c>
      <c r="Y277">
        <f t="shared" si="82"/>
        <v>0</v>
      </c>
      <c r="Z277">
        <f t="shared" si="83"/>
        <v>492.9402179246249</v>
      </c>
      <c r="AA277">
        <f t="shared" si="84"/>
        <v>393.20812373343028</v>
      </c>
      <c r="AB277">
        <f t="shared" si="85"/>
        <v>854.53934678132521</v>
      </c>
      <c r="AC277">
        <f t="shared" si="86"/>
        <v>1044.8824753125177</v>
      </c>
      <c r="AD277">
        <f t="shared" si="87"/>
        <v>0</v>
      </c>
      <c r="AE277">
        <f t="shared" si="88"/>
        <v>667.17520128891124</v>
      </c>
      <c r="AF277">
        <f t="shared" si="89"/>
        <v>1000</v>
      </c>
      <c r="AG277">
        <f t="shared" si="90"/>
        <v>-8.2430190325480908</v>
      </c>
      <c r="AH277">
        <f t="shared" si="91"/>
        <v>2325.2430190325476</v>
      </c>
      <c r="AI277" s="5">
        <f t="shared" si="74"/>
        <v>0.43159257660768247</v>
      </c>
      <c r="AJ277" s="5">
        <f t="shared" si="75"/>
        <v>0</v>
      </c>
      <c r="AK277" s="5">
        <f t="shared" si="76"/>
        <v>0.43006257488564148</v>
      </c>
    </row>
    <row r="278" spans="1:37" hidden="1" x14ac:dyDescent="0.3">
      <c r="A278">
        <v>5209292</v>
      </c>
      <c r="B278" t="s">
        <v>36</v>
      </c>
      <c r="C278">
        <v>9.0833333333333339</v>
      </c>
      <c r="D278">
        <v>16317.904065531229</v>
      </c>
      <c r="I278">
        <v>2501.7257390836889</v>
      </c>
      <c r="J278">
        <v>2323.6841486832009</v>
      </c>
      <c r="K278">
        <v>3301.9064996337279</v>
      </c>
      <c r="L278">
        <v>3257.77253288269</v>
      </c>
      <c r="M278">
        <v>0</v>
      </c>
      <c r="N278">
        <v>1120.2077536401339</v>
      </c>
      <c r="O278">
        <v>9443.2315194046496</v>
      </c>
      <c r="P278" s="2">
        <v>44402.729166666657</v>
      </c>
      <c r="Q278" s="2">
        <v>44403.107638888891</v>
      </c>
      <c r="R278">
        <v>16400.92863264784</v>
      </c>
      <c r="S278">
        <v>6.2968387408201121</v>
      </c>
      <c r="T278">
        <f t="shared" si="77"/>
        <v>0.96188823864672068</v>
      </c>
      <c r="U278">
        <f t="shared" si="78"/>
        <v>1727.9999999999995</v>
      </c>
      <c r="V278">
        <f t="shared" si="79"/>
        <v>0</v>
      </c>
      <c r="W278">
        <f t="shared" si="80"/>
        <v>0</v>
      </c>
      <c r="X278">
        <f t="shared" si="81"/>
        <v>0</v>
      </c>
      <c r="Y278">
        <f t="shared" si="82"/>
        <v>0</v>
      </c>
      <c r="Z278">
        <f t="shared" si="83"/>
        <v>264.92263098103211</v>
      </c>
      <c r="AA278">
        <f t="shared" si="84"/>
        <v>246.06874711356204</v>
      </c>
      <c r="AB278">
        <f t="shared" si="85"/>
        <v>349.65853509455178</v>
      </c>
      <c r="AC278">
        <f t="shared" si="86"/>
        <v>344.98492663114087</v>
      </c>
      <c r="AD278">
        <f t="shared" si="87"/>
        <v>0</v>
      </c>
      <c r="AE278">
        <f t="shared" si="88"/>
        <v>118.62546749364857</v>
      </c>
      <c r="AF278">
        <f t="shared" si="89"/>
        <v>1000</v>
      </c>
      <c r="AG278">
        <f t="shared" si="90"/>
        <v>-8.7919656471415237</v>
      </c>
      <c r="AH278">
        <f t="shared" si="91"/>
        <v>1736.7919656471411</v>
      </c>
      <c r="AI278" s="5">
        <f t="shared" si="74"/>
        <v>0.57870370370370394</v>
      </c>
      <c r="AJ278" s="5">
        <f t="shared" si="75"/>
        <v>0</v>
      </c>
      <c r="AK278" s="5">
        <f t="shared" si="76"/>
        <v>0.5757741973589755</v>
      </c>
    </row>
    <row r="279" spans="1:37" hidden="1" x14ac:dyDescent="0.3">
      <c r="A279">
        <v>5209294</v>
      </c>
      <c r="B279" t="s">
        <v>34</v>
      </c>
      <c r="C279">
        <v>21.916666666666671</v>
      </c>
      <c r="D279">
        <v>25341.553594864279</v>
      </c>
      <c r="I279">
        <v>3238.4089849836432</v>
      </c>
      <c r="J279">
        <v>4268.3244276387522</v>
      </c>
      <c r="K279">
        <v>8798.8434246086399</v>
      </c>
      <c r="L279">
        <v>-22201.472523303859</v>
      </c>
      <c r="M279">
        <v>0</v>
      </c>
      <c r="N279">
        <v>2531.0493603021068</v>
      </c>
      <c r="O279">
        <v>10937.22641124915</v>
      </c>
      <c r="P279" s="2">
        <v>44403.104166666657</v>
      </c>
      <c r="Q279" s="2">
        <v>44404.017361111109</v>
      </c>
      <c r="R279">
        <v>26845.88395554361</v>
      </c>
      <c r="S279">
        <v>6.3134466378078287</v>
      </c>
      <c r="T279">
        <f t="shared" si="77"/>
        <v>2.0038596480113964</v>
      </c>
      <c r="U279">
        <f t="shared" si="78"/>
        <v>2317</v>
      </c>
      <c r="V279">
        <f t="shared" si="79"/>
        <v>0</v>
      </c>
      <c r="W279">
        <f t="shared" si="80"/>
        <v>0</v>
      </c>
      <c r="X279">
        <f t="shared" si="81"/>
        <v>0</v>
      </c>
      <c r="Y279">
        <f t="shared" si="82"/>
        <v>0</v>
      </c>
      <c r="Z279">
        <f t="shared" si="83"/>
        <v>296.09051355587525</v>
      </c>
      <c r="AA279">
        <f t="shared" si="84"/>
        <v>390.25656662357267</v>
      </c>
      <c r="AB279">
        <f t="shared" si="85"/>
        <v>804.48580780579425</v>
      </c>
      <c r="AC279">
        <f t="shared" si="86"/>
        <v>-2029.8996919794229</v>
      </c>
      <c r="AD279">
        <f t="shared" si="87"/>
        <v>0</v>
      </c>
      <c r="AE279">
        <f t="shared" si="88"/>
        <v>231.4160158281878</v>
      </c>
      <c r="AF279">
        <f t="shared" si="89"/>
        <v>999.99999999999989</v>
      </c>
      <c r="AG279">
        <f t="shared" si="90"/>
        <v>-137.54221629096901</v>
      </c>
      <c r="AH279">
        <f t="shared" si="91"/>
        <v>2454.542216290969</v>
      </c>
      <c r="AI279" s="5">
        <f t="shared" si="74"/>
        <v>0.43159257660768235</v>
      </c>
      <c r="AJ279" s="5">
        <f t="shared" si="75"/>
        <v>0</v>
      </c>
      <c r="AK279" s="5">
        <f t="shared" si="76"/>
        <v>0.40740794489617244</v>
      </c>
    </row>
    <row r="280" spans="1:37" hidden="1" x14ac:dyDescent="0.3">
      <c r="A280">
        <v>5208645</v>
      </c>
      <c r="B280" t="s">
        <v>31</v>
      </c>
      <c r="C280">
        <v>178.4133333333333</v>
      </c>
      <c r="D280">
        <v>0</v>
      </c>
      <c r="E280">
        <v>324786.68826333352</v>
      </c>
      <c r="F280">
        <v>13823.635388000041</v>
      </c>
      <c r="G280">
        <v>310963.05287533329</v>
      </c>
      <c r="H280">
        <v>0</v>
      </c>
      <c r="I280">
        <v>-9241.6236278799661</v>
      </c>
      <c r="J280">
        <v>74360.631339274012</v>
      </c>
      <c r="K280">
        <v>185065.27004468121</v>
      </c>
      <c r="L280">
        <v>-26005.970305483399</v>
      </c>
      <c r="M280">
        <v>0</v>
      </c>
      <c r="N280">
        <v>149321.96362658721</v>
      </c>
      <c r="O280">
        <v>142951.88743984749</v>
      </c>
      <c r="P280" s="2">
        <v>44409.291666666657</v>
      </c>
      <c r="Q280" s="2">
        <v>44419.652777777781</v>
      </c>
      <c r="R280">
        <v>96.210180870207168</v>
      </c>
      <c r="S280">
        <v>4.9658873427005217</v>
      </c>
      <c r="T280">
        <f t="shared" si="77"/>
        <v>1.2480656011513493</v>
      </c>
      <c r="U280">
        <f t="shared" si="78"/>
        <v>0</v>
      </c>
      <c r="V280">
        <f t="shared" si="79"/>
        <v>2272</v>
      </c>
      <c r="W280">
        <f t="shared" si="80"/>
        <v>96.7013142363501</v>
      </c>
      <c r="X280">
        <f t="shared" si="81"/>
        <v>2175.2986857636488</v>
      </c>
      <c r="Y280">
        <f t="shared" si="82"/>
        <v>0</v>
      </c>
      <c r="Z280">
        <f t="shared" si="83"/>
        <v>-64.648489735882194</v>
      </c>
      <c r="AA280">
        <f t="shared" si="84"/>
        <v>520.17943009366786</v>
      </c>
      <c r="AB280">
        <f t="shared" si="85"/>
        <v>1294.5982970847765</v>
      </c>
      <c r="AC280">
        <f t="shared" si="86"/>
        <v>-181.92113984102809</v>
      </c>
      <c r="AD280">
        <f t="shared" si="87"/>
        <v>0</v>
      </c>
      <c r="AE280">
        <f t="shared" si="88"/>
        <v>1044.5609799270414</v>
      </c>
      <c r="AF280">
        <f t="shared" si="89"/>
        <v>1000.0000000000001</v>
      </c>
      <c r="AG280">
        <f t="shared" si="90"/>
        <v>-0.67302490784314628</v>
      </c>
      <c r="AH280">
        <f t="shared" si="91"/>
        <v>0.67302490784314628</v>
      </c>
      <c r="AI280" s="5">
        <f t="shared" si="74"/>
        <v>0</v>
      </c>
      <c r="AJ280" s="5">
        <f t="shared" si="75"/>
        <v>0.4401408450704225</v>
      </c>
      <c r="AK280" s="5">
        <f t="shared" si="76"/>
        <v>1485.8291102549474</v>
      </c>
    </row>
    <row r="281" spans="1:37" hidden="1" x14ac:dyDescent="0.3">
      <c r="A281">
        <v>5209168</v>
      </c>
      <c r="B281" t="s">
        <v>54</v>
      </c>
      <c r="C281">
        <v>216.5</v>
      </c>
      <c r="D281">
        <v>0</v>
      </c>
      <c r="E281">
        <v>319907.45725000021</v>
      </c>
      <c r="F281">
        <v>77579.555802500021</v>
      </c>
      <c r="G281">
        <v>242327.9014475001</v>
      </c>
      <c r="H281">
        <v>35264.161916666679</v>
      </c>
      <c r="I281">
        <v>-13108.766294794101</v>
      </c>
      <c r="J281">
        <v>85679.303378989556</v>
      </c>
      <c r="K281">
        <v>220811.1226211407</v>
      </c>
      <c r="L281">
        <v>5361.1495164492153</v>
      </c>
      <c r="M281">
        <v>0</v>
      </c>
      <c r="N281">
        <v>191372.56683479849</v>
      </c>
      <c r="O281">
        <v>155640.49919661129</v>
      </c>
      <c r="P281" s="2">
        <v>44419.659722222219</v>
      </c>
      <c r="Q281" s="2">
        <v>44429.486111111109</v>
      </c>
      <c r="R281">
        <v>78.799069501324993</v>
      </c>
      <c r="S281">
        <v>5.0041666030883789</v>
      </c>
      <c r="T281">
        <f t="shared" si="77"/>
        <v>1.391026121848328</v>
      </c>
      <c r="U281">
        <f t="shared" si="78"/>
        <v>0</v>
      </c>
      <c r="V281">
        <f t="shared" si="79"/>
        <v>2055.4255409183725</v>
      </c>
      <c r="W281">
        <f t="shared" si="80"/>
        <v>498.45352721786401</v>
      </c>
      <c r="X281">
        <f t="shared" si="81"/>
        <v>1556.9720137005077</v>
      </c>
      <c r="Y281">
        <f t="shared" si="82"/>
        <v>226.57445908162748</v>
      </c>
      <c r="Z281">
        <f t="shared" si="83"/>
        <v>-84.224648227545103</v>
      </c>
      <c r="AA281">
        <f t="shared" si="84"/>
        <v>550.49491502051819</v>
      </c>
      <c r="AB281">
        <f t="shared" si="85"/>
        <v>1418.7253559383878</v>
      </c>
      <c r="AC281">
        <f t="shared" si="86"/>
        <v>34.445722958500646</v>
      </c>
      <c r="AD281">
        <f t="shared" si="87"/>
        <v>0</v>
      </c>
      <c r="AE281">
        <f t="shared" si="88"/>
        <v>1229.580782782308</v>
      </c>
      <c r="AF281">
        <f t="shared" si="89"/>
        <v>1000</v>
      </c>
      <c r="AG281">
        <f t="shared" si="90"/>
        <v>-0.50628897946274809</v>
      </c>
      <c r="AH281">
        <f t="shared" si="91"/>
        <v>0.50628897946274809</v>
      </c>
      <c r="AI281" s="5">
        <f t="shared" si="74"/>
        <v>0</v>
      </c>
      <c r="AJ281" s="5">
        <f t="shared" si="75"/>
        <v>0.43821209465381256</v>
      </c>
      <c r="AK281" s="5">
        <f t="shared" si="76"/>
        <v>1975.1565618930845</v>
      </c>
    </row>
    <row r="282" spans="1:37" hidden="1" x14ac:dyDescent="0.3">
      <c r="A282">
        <v>5243554</v>
      </c>
      <c r="B282" t="s">
        <v>55</v>
      </c>
      <c r="C282">
        <v>38.083333333333329</v>
      </c>
      <c r="D282">
        <v>0</v>
      </c>
      <c r="E282">
        <v>67298</v>
      </c>
      <c r="F282">
        <v>18612.198</v>
      </c>
      <c r="G282">
        <v>48685.802000000003</v>
      </c>
      <c r="I282">
        <v>10520.66073153809</v>
      </c>
      <c r="J282">
        <v>19837.0277732576</v>
      </c>
      <c r="K282">
        <v>39801.630861708531</v>
      </c>
      <c r="L282">
        <v>-8664.3952397892645</v>
      </c>
      <c r="M282">
        <v>0</v>
      </c>
      <c r="N282">
        <v>33753.268837157579</v>
      </c>
      <c r="O282">
        <v>29620.5985915493</v>
      </c>
      <c r="P282" s="2">
        <v>44429.291666666657</v>
      </c>
      <c r="Q282" s="2">
        <v>44431.072916666657</v>
      </c>
      <c r="R282">
        <v>16.089445213985481</v>
      </c>
      <c r="S282">
        <v>5.0031249523162842</v>
      </c>
      <c r="T282">
        <f t="shared" si="77"/>
        <v>1.2857043795258896</v>
      </c>
      <c r="U282">
        <f t="shared" si="78"/>
        <v>0</v>
      </c>
      <c r="V282">
        <f t="shared" si="79"/>
        <v>2271.9999999999995</v>
      </c>
      <c r="W282">
        <f t="shared" si="80"/>
        <v>628.35320300751869</v>
      </c>
      <c r="X282">
        <f t="shared" si="81"/>
        <v>1643.6467969924809</v>
      </c>
      <c r="Y282">
        <f t="shared" si="82"/>
        <v>0</v>
      </c>
      <c r="Z282">
        <f t="shared" si="83"/>
        <v>355.18055784799748</v>
      </c>
      <c r="AA282">
        <f t="shared" si="84"/>
        <v>669.70381141848577</v>
      </c>
      <c r="AB282">
        <f t="shared" si="85"/>
        <v>1343.7146024815265</v>
      </c>
      <c r="AC282">
        <f t="shared" si="86"/>
        <v>-292.51249643081826</v>
      </c>
      <c r="AD282">
        <f t="shared" si="87"/>
        <v>0</v>
      </c>
      <c r="AE282">
        <f t="shared" si="88"/>
        <v>1139.5201461859492</v>
      </c>
      <c r="AF282">
        <f t="shared" si="89"/>
        <v>1000</v>
      </c>
      <c r="AG282">
        <f t="shared" si="90"/>
        <v>-0.54318433721915971</v>
      </c>
      <c r="AH282">
        <f t="shared" si="91"/>
        <v>0.54318433721915971</v>
      </c>
      <c r="AI282" s="5">
        <f t="shared" si="74"/>
        <v>0</v>
      </c>
      <c r="AJ282" s="5">
        <f t="shared" si="75"/>
        <v>0.44014084507042261</v>
      </c>
      <c r="AK282" s="5">
        <f t="shared" si="76"/>
        <v>1840.9956463758049</v>
      </c>
    </row>
    <row r="283" spans="1:37" hidden="1" x14ac:dyDescent="0.3">
      <c r="A283">
        <v>5261497</v>
      </c>
      <c r="B283" t="s">
        <v>31</v>
      </c>
      <c r="C283">
        <v>203.66666666666671</v>
      </c>
      <c r="D283">
        <v>0</v>
      </c>
      <c r="E283">
        <v>364978.38105666672</v>
      </c>
      <c r="F283">
        <v>149521.79519882001</v>
      </c>
      <c r="G283">
        <v>215456.58585784669</v>
      </c>
      <c r="H283">
        <v>0</v>
      </c>
      <c r="I283">
        <v>6737.6248134552216</v>
      </c>
      <c r="J283">
        <v>88649.90628355011</v>
      </c>
      <c r="K283">
        <v>233640.07301757389</v>
      </c>
      <c r="L283">
        <v>5293.9095095921457</v>
      </c>
      <c r="M283">
        <v>0</v>
      </c>
      <c r="N283">
        <v>199967.37695248841</v>
      </c>
      <c r="O283">
        <v>160641.893070716</v>
      </c>
      <c r="P283" s="2">
        <v>44470.291666666657</v>
      </c>
      <c r="Q283" s="2">
        <v>44480.131944444453</v>
      </c>
      <c r="R283">
        <v>0</v>
      </c>
      <c r="S283">
        <v>5.0041666030883789</v>
      </c>
      <c r="T283">
        <f t="shared" si="77"/>
        <v>1.267830344709713</v>
      </c>
      <c r="U283">
        <f t="shared" si="78"/>
        <v>0</v>
      </c>
      <c r="V283">
        <f t="shared" si="79"/>
        <v>2272</v>
      </c>
      <c r="W283">
        <f t="shared" si="80"/>
        <v>930.77709892897713</v>
      </c>
      <c r="X283">
        <f t="shared" si="81"/>
        <v>1341.2229010710223</v>
      </c>
      <c r="Y283">
        <f t="shared" si="82"/>
        <v>0</v>
      </c>
      <c r="Z283">
        <f t="shared" si="83"/>
        <v>41.941891275454893</v>
      </c>
      <c r="AA283">
        <f t="shared" si="84"/>
        <v>551.84799300469911</v>
      </c>
      <c r="AB283">
        <f t="shared" si="85"/>
        <v>1454.4155858193444</v>
      </c>
      <c r="AC283">
        <f t="shared" si="86"/>
        <v>32.95472562229903</v>
      </c>
      <c r="AD283">
        <f t="shared" si="87"/>
        <v>0</v>
      </c>
      <c r="AE283">
        <f t="shared" si="88"/>
        <v>1244.802169160575</v>
      </c>
      <c r="AF283">
        <f t="shared" si="89"/>
        <v>999.99999999999989</v>
      </c>
      <c r="AG283">
        <f t="shared" si="90"/>
        <v>0</v>
      </c>
      <c r="AH283">
        <f t="shared" si="91"/>
        <v>0</v>
      </c>
      <c r="AI283" s="5">
        <f t="shared" si="74"/>
        <v>0</v>
      </c>
      <c r="AJ283" s="5">
        <f t="shared" si="75"/>
        <v>0.44014084507042256</v>
      </c>
      <c r="AK283" s="5">
        <f t="shared" si="76"/>
        <v>0</v>
      </c>
    </row>
    <row r="284" spans="1:37" hidden="1" x14ac:dyDescent="0.3">
      <c r="A284">
        <v>5269563</v>
      </c>
      <c r="B284" t="s">
        <v>31</v>
      </c>
      <c r="C284">
        <v>104.9166666666667</v>
      </c>
      <c r="D284">
        <v>0</v>
      </c>
      <c r="E284">
        <v>102637.64577600719</v>
      </c>
      <c r="F284">
        <v>42217.530059714947</v>
      </c>
      <c r="G284">
        <v>60420.11571629221</v>
      </c>
      <c r="H284">
        <v>33875.21525866905</v>
      </c>
      <c r="I284">
        <v>-14621.799042168859</v>
      </c>
      <c r="J284">
        <v>40881.4522418259</v>
      </c>
      <c r="K284">
        <v>88200.376450324329</v>
      </c>
      <c r="L284">
        <v>1854.110671443317</v>
      </c>
      <c r="M284">
        <v>0</v>
      </c>
      <c r="N284">
        <v>53436.399603316408</v>
      </c>
      <c r="O284">
        <v>61603.276640196847</v>
      </c>
      <c r="P284" s="2">
        <v>44480.743055555547</v>
      </c>
      <c r="Q284" s="2">
        <v>44486.315972222219</v>
      </c>
      <c r="R284">
        <v>0</v>
      </c>
      <c r="S284">
        <v>5.0041953382820923</v>
      </c>
      <c r="T284">
        <f t="shared" si="77"/>
        <v>1.7031020489291209</v>
      </c>
      <c r="U284">
        <f t="shared" si="78"/>
        <v>0</v>
      </c>
      <c r="V284">
        <f t="shared" si="79"/>
        <v>1666.106924400754</v>
      </c>
      <c r="W284">
        <f t="shared" si="80"/>
        <v>685.31306063949728</v>
      </c>
      <c r="X284">
        <f t="shared" si="81"/>
        <v>980.79386376125626</v>
      </c>
      <c r="Y284">
        <f t="shared" si="82"/>
        <v>549.89307559924634</v>
      </c>
      <c r="Z284">
        <f t="shared" si="83"/>
        <v>-237.35424217074791</v>
      </c>
      <c r="AA284">
        <f t="shared" si="84"/>
        <v>663.62463932884839</v>
      </c>
      <c r="AB284">
        <f t="shared" si="85"/>
        <v>1431.7481351758579</v>
      </c>
      <c r="AC284">
        <f t="shared" si="86"/>
        <v>30.097598253945609</v>
      </c>
      <c r="AD284">
        <f t="shared" si="87"/>
        <v>0</v>
      </c>
      <c r="AE284">
        <f t="shared" si="88"/>
        <v>867.427879127594</v>
      </c>
      <c r="AF284">
        <f t="shared" si="89"/>
        <v>1000</v>
      </c>
      <c r="AG284">
        <f t="shared" si="90"/>
        <v>0</v>
      </c>
      <c r="AH284">
        <f t="shared" si="91"/>
        <v>0</v>
      </c>
      <c r="AI284" s="5">
        <f t="shared" si="74"/>
        <v>0</v>
      </c>
      <c r="AJ284" s="5">
        <f t="shared" si="75"/>
        <v>0.45126353790613705</v>
      </c>
      <c r="AK284" s="5">
        <f t="shared" si="76"/>
        <v>0</v>
      </c>
    </row>
    <row r="285" spans="1:37" hidden="1" x14ac:dyDescent="0.3">
      <c r="A285">
        <v>5269578</v>
      </c>
      <c r="B285" t="s">
        <v>55</v>
      </c>
      <c r="C285">
        <v>68.083333333333343</v>
      </c>
      <c r="D285">
        <v>0</v>
      </c>
      <c r="E285">
        <v>128689.67705</v>
      </c>
      <c r="F285">
        <v>60046.229754499982</v>
      </c>
      <c r="G285">
        <v>68643.44729549998</v>
      </c>
      <c r="H285">
        <v>0</v>
      </c>
      <c r="I285">
        <v>3072.8450302378642</v>
      </c>
      <c r="J285">
        <v>31782.847676218869</v>
      </c>
      <c r="K285">
        <v>69534.627138227181</v>
      </c>
      <c r="L285">
        <v>-14777.049151841569</v>
      </c>
      <c r="M285">
        <v>0</v>
      </c>
      <c r="N285">
        <v>61242.996163736578</v>
      </c>
      <c r="O285">
        <v>56641.583208626747</v>
      </c>
      <c r="P285" s="2">
        <v>44486.541666666657</v>
      </c>
      <c r="Q285" s="2">
        <v>44489.4375</v>
      </c>
      <c r="R285">
        <v>0</v>
      </c>
      <c r="S285">
        <v>5.0040947651040968</v>
      </c>
      <c r="T285">
        <f t="shared" si="77"/>
        <v>1.2020026538199584</v>
      </c>
      <c r="U285">
        <f t="shared" si="78"/>
        <v>0</v>
      </c>
      <c r="V285">
        <f t="shared" si="79"/>
        <v>2272.0000000000005</v>
      </c>
      <c r="W285">
        <f t="shared" si="80"/>
        <v>1060.1086048978004</v>
      </c>
      <c r="X285">
        <f t="shared" si="81"/>
        <v>1211.8913951021993</v>
      </c>
      <c r="Y285">
        <f t="shared" si="82"/>
        <v>0</v>
      </c>
      <c r="Z285">
        <f t="shared" si="83"/>
        <v>54.250691032411986</v>
      </c>
      <c r="AA285">
        <f t="shared" si="84"/>
        <v>561.12216283139151</v>
      </c>
      <c r="AB285">
        <f t="shared" si="85"/>
        <v>1227.6250627054642</v>
      </c>
      <c r="AC285">
        <f t="shared" si="86"/>
        <v>-260.88693703023051</v>
      </c>
      <c r="AD285">
        <f t="shared" si="87"/>
        <v>0</v>
      </c>
      <c r="AE285">
        <f t="shared" si="88"/>
        <v>1081.2373647495258</v>
      </c>
      <c r="AF285">
        <f t="shared" si="89"/>
        <v>1000</v>
      </c>
      <c r="AG285">
        <f t="shared" si="90"/>
        <v>0</v>
      </c>
      <c r="AH285">
        <f t="shared" si="91"/>
        <v>0</v>
      </c>
      <c r="AI285" s="5">
        <f t="shared" si="74"/>
        <v>0</v>
      </c>
      <c r="AJ285" s="5">
        <f t="shared" si="75"/>
        <v>0.44014084507042245</v>
      </c>
      <c r="AK285" s="5">
        <f t="shared" si="76"/>
        <v>0</v>
      </c>
    </row>
    <row r="286" spans="1:37" hidden="1" x14ac:dyDescent="0.3">
      <c r="A286">
        <v>5269580</v>
      </c>
      <c r="B286" t="s">
        <v>56</v>
      </c>
      <c r="C286">
        <v>76.5</v>
      </c>
      <c r="D286">
        <v>0</v>
      </c>
      <c r="E286">
        <v>118923.93575</v>
      </c>
      <c r="F286">
        <v>59601.605104000002</v>
      </c>
      <c r="G286">
        <v>59322.330646000017</v>
      </c>
      <c r="H286">
        <v>13157.54841666667</v>
      </c>
      <c r="I286">
        <v>-521.14584693607685</v>
      </c>
      <c r="J286">
        <v>41297.452014970622</v>
      </c>
      <c r="K286">
        <v>90068.133534935128</v>
      </c>
      <c r="L286">
        <v>-3886.0044775810088</v>
      </c>
      <c r="M286">
        <v>0</v>
      </c>
      <c r="N286">
        <v>68405.382990172206</v>
      </c>
      <c r="O286">
        <v>57879.703841659357</v>
      </c>
      <c r="P286" s="2">
        <v>44489.4375</v>
      </c>
      <c r="Q286" s="2">
        <v>44493.375</v>
      </c>
      <c r="R286">
        <v>0</v>
      </c>
      <c r="S286">
        <v>5.0041966868651899</v>
      </c>
      <c r="T286">
        <f t="shared" si="77"/>
        <v>1.3217068319713576</v>
      </c>
      <c r="U286">
        <f t="shared" si="78"/>
        <v>0</v>
      </c>
      <c r="V286">
        <f t="shared" si="79"/>
        <v>2054.6742270025852</v>
      </c>
      <c r="W286">
        <f t="shared" si="80"/>
        <v>1029.7496557178526</v>
      </c>
      <c r="X286">
        <f t="shared" si="81"/>
        <v>1024.9245712847328</v>
      </c>
      <c r="Y286">
        <f t="shared" si="82"/>
        <v>227.3257729974151</v>
      </c>
      <c r="Z286">
        <f t="shared" si="83"/>
        <v>-9.0039480568485253</v>
      </c>
      <c r="AA286">
        <f t="shared" si="84"/>
        <v>713.50489504831341</v>
      </c>
      <c r="AB286">
        <f t="shared" si="85"/>
        <v>1556.1263717128404</v>
      </c>
      <c r="AC286">
        <f t="shared" si="86"/>
        <v>-67.139328981570003</v>
      </c>
      <c r="AD286">
        <f t="shared" si="87"/>
        <v>0</v>
      </c>
      <c r="AE286">
        <f t="shared" si="88"/>
        <v>1181.8544057742208</v>
      </c>
      <c r="AF286">
        <f t="shared" si="89"/>
        <v>1000</v>
      </c>
      <c r="AG286">
        <f t="shared" si="90"/>
        <v>0</v>
      </c>
      <c r="AH286">
        <f t="shared" si="91"/>
        <v>0</v>
      </c>
      <c r="AI286" s="5">
        <f t="shared" si="74"/>
        <v>0</v>
      </c>
      <c r="AJ286" s="5">
        <f t="shared" si="75"/>
        <v>0.43821209465381239</v>
      </c>
      <c r="AK286" s="5">
        <f t="shared" si="76"/>
        <v>0</v>
      </c>
    </row>
    <row r="287" spans="1:37" hidden="1" x14ac:dyDescent="0.3">
      <c r="A287">
        <v>5278027</v>
      </c>
      <c r="B287" t="s">
        <v>48</v>
      </c>
      <c r="C287">
        <v>76.166666666666671</v>
      </c>
      <c r="D287">
        <v>0</v>
      </c>
      <c r="E287">
        <v>139268.9716592535</v>
      </c>
      <c r="F287">
        <v>54239.374527387612</v>
      </c>
      <c r="G287">
        <v>85029.597131865841</v>
      </c>
      <c r="I287">
        <v>0</v>
      </c>
      <c r="J287">
        <v>38612.495715147168</v>
      </c>
      <c r="K287">
        <v>84425.374281374185</v>
      </c>
      <c r="L287">
        <v>0</v>
      </c>
      <c r="M287">
        <v>0</v>
      </c>
      <c r="N287">
        <v>69384.274505583729</v>
      </c>
      <c r="O287">
        <v>61297.962878192542</v>
      </c>
      <c r="P287" s="2">
        <v>44493.375</v>
      </c>
      <c r="Q287" s="2">
        <v>44496.888888888891</v>
      </c>
      <c r="R287">
        <v>28.531473808663169</v>
      </c>
      <c r="S287">
        <v>5.0042044812982729</v>
      </c>
      <c r="T287">
        <f t="shared" si="77"/>
        <v>1.2425644032905347</v>
      </c>
      <c r="U287">
        <f t="shared" si="78"/>
        <v>0</v>
      </c>
      <c r="V287">
        <f t="shared" si="79"/>
        <v>2272.0000000000009</v>
      </c>
      <c r="W287">
        <f t="shared" si="80"/>
        <v>884.84791305656745</v>
      </c>
      <c r="X287">
        <f t="shared" si="81"/>
        <v>1387.1520869434326</v>
      </c>
      <c r="Y287">
        <f t="shared" si="82"/>
        <v>0</v>
      </c>
      <c r="Z287">
        <f t="shared" si="83"/>
        <v>0</v>
      </c>
      <c r="AA287">
        <f t="shared" si="84"/>
        <v>629.91482754289063</v>
      </c>
      <c r="AB287">
        <f t="shared" si="85"/>
        <v>1377.2949428864215</v>
      </c>
      <c r="AC287">
        <f t="shared" si="86"/>
        <v>0</v>
      </c>
      <c r="AD287">
        <f t="shared" si="87"/>
        <v>0</v>
      </c>
      <c r="AE287">
        <f t="shared" si="88"/>
        <v>1131.9181135506869</v>
      </c>
      <c r="AF287">
        <f t="shared" si="89"/>
        <v>1000</v>
      </c>
      <c r="AG287">
        <f t="shared" si="90"/>
        <v>-0.46545549752377774</v>
      </c>
      <c r="AH287">
        <f t="shared" si="91"/>
        <v>0.46545549752377774</v>
      </c>
      <c r="AI287" s="5">
        <f t="shared" si="74"/>
        <v>0</v>
      </c>
      <c r="AJ287" s="5">
        <f t="shared" si="75"/>
        <v>0.44014084507042239</v>
      </c>
      <c r="AK287" s="5">
        <f t="shared" si="76"/>
        <v>2148.4331054633535</v>
      </c>
    </row>
    <row r="288" spans="1:37" hidden="1" x14ac:dyDescent="0.3">
      <c r="A288">
        <v>5281268</v>
      </c>
      <c r="B288" t="s">
        <v>32</v>
      </c>
      <c r="C288">
        <v>10.5</v>
      </c>
      <c r="D288">
        <v>16378.198907529601</v>
      </c>
      <c r="I288">
        <v>2106.981182242208</v>
      </c>
      <c r="J288">
        <v>2138.133057836189</v>
      </c>
      <c r="K288">
        <v>2937.8939851126711</v>
      </c>
      <c r="L288">
        <v>2885.1732791453628</v>
      </c>
      <c r="M288">
        <v>0</v>
      </c>
      <c r="N288">
        <v>607.92488882061764</v>
      </c>
      <c r="O288">
        <v>7596.5672112845996</v>
      </c>
      <c r="P288" s="2">
        <v>44497.291666666657</v>
      </c>
      <c r="Q288" s="2">
        <v>44498.680555555547</v>
      </c>
      <c r="R288">
        <v>61068.951813076463</v>
      </c>
      <c r="S288">
        <v>5.8111467425296031</v>
      </c>
      <c r="T288">
        <f t="shared" si="77"/>
        <v>1.3822032647065097</v>
      </c>
      <c r="U288">
        <f t="shared" si="78"/>
        <v>2156.0000000000005</v>
      </c>
      <c r="V288">
        <f t="shared" si="79"/>
        <v>0</v>
      </c>
      <c r="W288">
        <f t="shared" si="80"/>
        <v>0</v>
      </c>
      <c r="X288">
        <f t="shared" si="81"/>
        <v>0</v>
      </c>
      <c r="Y288">
        <f t="shared" si="82"/>
        <v>0</v>
      </c>
      <c r="Z288">
        <f t="shared" si="83"/>
        <v>277.35964464479633</v>
      </c>
      <c r="AA288">
        <f t="shared" si="84"/>
        <v>281.46042789696122</v>
      </c>
      <c r="AB288">
        <f t="shared" si="85"/>
        <v>386.73968167470025</v>
      </c>
      <c r="AC288">
        <f t="shared" si="86"/>
        <v>379.79961196940064</v>
      </c>
      <c r="AD288">
        <f t="shared" si="87"/>
        <v>0</v>
      </c>
      <c r="AE288">
        <f t="shared" si="88"/>
        <v>80.02626343087617</v>
      </c>
      <c r="AF288">
        <f t="shared" si="89"/>
        <v>1000</v>
      </c>
      <c r="AG288">
        <f t="shared" si="90"/>
        <v>-5883.0194826894112</v>
      </c>
      <c r="AH288">
        <f t="shared" si="91"/>
        <v>8039.0194826894112</v>
      </c>
      <c r="AI288" s="5">
        <f t="shared" si="74"/>
        <v>0.46382189239332083</v>
      </c>
      <c r="AJ288" s="5">
        <f t="shared" si="75"/>
        <v>0</v>
      </c>
      <c r="AK288" s="5">
        <f t="shared" si="76"/>
        <v>0.12439327982141615</v>
      </c>
    </row>
    <row r="289" spans="1:37" hidden="1" x14ac:dyDescent="0.3">
      <c r="A289">
        <v>5281273</v>
      </c>
      <c r="B289" t="s">
        <v>36</v>
      </c>
      <c r="C289">
        <v>16.666666666666661</v>
      </c>
      <c r="D289">
        <v>22622.108277291842</v>
      </c>
      <c r="I289">
        <v>2440.2054307819371</v>
      </c>
      <c r="J289">
        <v>2593.8308402426042</v>
      </c>
      <c r="K289">
        <v>3483.802491046572</v>
      </c>
      <c r="L289">
        <v>3389.5304759993651</v>
      </c>
      <c r="M289">
        <v>0</v>
      </c>
      <c r="N289">
        <v>1666.7548613688371</v>
      </c>
      <c r="O289">
        <v>13091.497845655</v>
      </c>
      <c r="P289" s="2">
        <v>44499.138888888891</v>
      </c>
      <c r="Q289" s="2">
        <v>44499.829861111109</v>
      </c>
      <c r="R289">
        <v>22520.167730092009</v>
      </c>
      <c r="S289">
        <v>7.2811204284852664</v>
      </c>
      <c r="T289">
        <f t="shared" si="77"/>
        <v>1.273090891749888</v>
      </c>
      <c r="U289">
        <f t="shared" si="78"/>
        <v>1728.0000000000002</v>
      </c>
      <c r="V289">
        <f t="shared" si="79"/>
        <v>0</v>
      </c>
      <c r="W289">
        <f t="shared" si="80"/>
        <v>0</v>
      </c>
      <c r="X289">
        <f t="shared" si="81"/>
        <v>0</v>
      </c>
      <c r="Y289">
        <f t="shared" si="82"/>
        <v>0</v>
      </c>
      <c r="Z289">
        <f t="shared" si="83"/>
        <v>186.39619847562582</v>
      </c>
      <c r="AA289">
        <f t="shared" si="84"/>
        <v>198.13094504716918</v>
      </c>
      <c r="AB289">
        <f t="shared" si="85"/>
        <v>266.11183320041778</v>
      </c>
      <c r="AC289">
        <f t="shared" si="86"/>
        <v>258.91082257820733</v>
      </c>
      <c r="AD289">
        <f t="shared" si="87"/>
        <v>0</v>
      </c>
      <c r="AE289">
        <f t="shared" si="88"/>
        <v>127.31582596731087</v>
      </c>
      <c r="AF289">
        <f t="shared" si="89"/>
        <v>1000</v>
      </c>
      <c r="AG289">
        <f t="shared" si="90"/>
        <v>7.7867749284066576</v>
      </c>
      <c r="AH289">
        <f t="shared" si="91"/>
        <v>1720.2132250715936</v>
      </c>
      <c r="AI289" s="5">
        <f t="shared" si="74"/>
        <v>0.57870370370370361</v>
      </c>
      <c r="AJ289" s="5">
        <f t="shared" si="75"/>
        <v>0</v>
      </c>
      <c r="AK289" s="5">
        <f t="shared" si="76"/>
        <v>0.58132328331470706</v>
      </c>
    </row>
    <row r="290" spans="1:37" hidden="1" x14ac:dyDescent="0.3">
      <c r="A290">
        <v>5281271</v>
      </c>
      <c r="B290" t="s">
        <v>34</v>
      </c>
      <c r="C290">
        <v>20.25</v>
      </c>
      <c r="D290">
        <v>27355.37658863973</v>
      </c>
      <c r="I290">
        <v>3721.536053464426</v>
      </c>
      <c r="J290">
        <v>3803.183986272335</v>
      </c>
      <c r="K290">
        <v>5203.2960473011353</v>
      </c>
      <c r="L290">
        <v>5202.2716223739781</v>
      </c>
      <c r="M290">
        <v>0</v>
      </c>
      <c r="N290">
        <v>2322.509352763921</v>
      </c>
      <c r="O290">
        <v>11806.37746596449</v>
      </c>
      <c r="P290" s="2">
        <v>44501.291666666657</v>
      </c>
      <c r="Q290" s="2">
        <v>44502.135416666657</v>
      </c>
      <c r="R290">
        <v>27526.101937330699</v>
      </c>
      <c r="S290">
        <v>6.8720524378906838</v>
      </c>
      <c r="T290">
        <f t="shared" si="77"/>
        <v>1.7151747060753264</v>
      </c>
      <c r="U290">
        <f t="shared" si="78"/>
        <v>2317.0000000000005</v>
      </c>
      <c r="V290">
        <f t="shared" si="79"/>
        <v>0</v>
      </c>
      <c r="W290">
        <f t="shared" si="80"/>
        <v>0</v>
      </c>
      <c r="X290">
        <f t="shared" si="81"/>
        <v>0</v>
      </c>
      <c r="Y290">
        <f t="shared" si="82"/>
        <v>0</v>
      </c>
      <c r="Z290">
        <f t="shared" si="83"/>
        <v>315.21404971109024</v>
      </c>
      <c r="AA290">
        <f t="shared" si="84"/>
        <v>322.12962843481682</v>
      </c>
      <c r="AB290">
        <f t="shared" si="85"/>
        <v>440.71909968161145</v>
      </c>
      <c r="AC290">
        <f t="shared" si="86"/>
        <v>440.63233090515052</v>
      </c>
      <c r="AD290">
        <f t="shared" si="87"/>
        <v>0</v>
      </c>
      <c r="AE290">
        <f t="shared" si="88"/>
        <v>196.71650846834839</v>
      </c>
      <c r="AF290">
        <f t="shared" si="89"/>
        <v>999.99999999999989</v>
      </c>
      <c r="AG290">
        <f t="shared" si="90"/>
        <v>-14.460434556081509</v>
      </c>
      <c r="AH290">
        <f t="shared" si="91"/>
        <v>2331.460434556082</v>
      </c>
      <c r="AI290" s="5">
        <f t="shared" si="74"/>
        <v>0.43159257660768224</v>
      </c>
      <c r="AJ290" s="5">
        <f t="shared" si="75"/>
        <v>0</v>
      </c>
      <c r="AK290" s="5">
        <f t="shared" si="76"/>
        <v>0.42891570672971918</v>
      </c>
    </row>
    <row r="291" spans="1:37" hidden="1" x14ac:dyDescent="0.3">
      <c r="A291">
        <v>5281275</v>
      </c>
      <c r="B291" t="s">
        <v>38</v>
      </c>
      <c r="C291">
        <v>52.666666666666671</v>
      </c>
      <c r="D291">
        <v>103093.7920103209</v>
      </c>
      <c r="I291">
        <v>-13503.253229948899</v>
      </c>
      <c r="J291">
        <v>14434.914954063701</v>
      </c>
      <c r="K291">
        <v>0</v>
      </c>
      <c r="L291">
        <v>8.2409513281973545</v>
      </c>
      <c r="M291">
        <v>46106.231826343021</v>
      </c>
      <c r="N291">
        <v>29343.473062335321</v>
      </c>
      <c r="O291">
        <v>45576.389040813847</v>
      </c>
      <c r="P291" s="2">
        <v>44501.291666666657</v>
      </c>
      <c r="Q291" s="2">
        <v>44524.711805555547</v>
      </c>
      <c r="R291">
        <v>1251865.635312262</v>
      </c>
      <c r="S291">
        <v>7.5254304444735194</v>
      </c>
      <c r="T291">
        <f t="shared" si="77"/>
        <v>1.1555690956451914</v>
      </c>
      <c r="U291">
        <f t="shared" si="78"/>
        <v>2261.9999999999995</v>
      </c>
      <c r="V291">
        <f t="shared" si="79"/>
        <v>0</v>
      </c>
      <c r="W291">
        <f t="shared" si="80"/>
        <v>0</v>
      </c>
      <c r="X291">
        <f t="shared" si="81"/>
        <v>0</v>
      </c>
      <c r="Y291">
        <f t="shared" si="82"/>
        <v>0</v>
      </c>
      <c r="Z291">
        <f t="shared" si="83"/>
        <v>-296.27738208607707</v>
      </c>
      <c r="AA291">
        <f t="shared" si="84"/>
        <v>316.7191446680248</v>
      </c>
      <c r="AB291">
        <f t="shared" si="85"/>
        <v>0</v>
      </c>
      <c r="AC291">
        <f t="shared" si="86"/>
        <v>0.18081624063761498</v>
      </c>
      <c r="AD291">
        <f t="shared" si="87"/>
        <v>1011.6253787691408</v>
      </c>
      <c r="AE291">
        <f t="shared" si="88"/>
        <v>643.83058157718722</v>
      </c>
      <c r="AF291">
        <f t="shared" si="89"/>
        <v>1000</v>
      </c>
      <c r="AG291">
        <f t="shared" si="90"/>
        <v>-25205.415950640829</v>
      </c>
      <c r="AH291">
        <f t="shared" si="91"/>
        <v>27467.415950640829</v>
      </c>
      <c r="AI291" s="5">
        <f t="shared" si="74"/>
        <v>0.44208664898320077</v>
      </c>
      <c r="AJ291" s="5">
        <f t="shared" si="75"/>
        <v>0</v>
      </c>
      <c r="AK291" s="5">
        <f t="shared" si="76"/>
        <v>3.6406773822372236E-2</v>
      </c>
    </row>
    <row r="292" spans="1:37" hidden="1" x14ac:dyDescent="0.3">
      <c r="A292">
        <v>5281277</v>
      </c>
      <c r="B292" t="s">
        <v>40</v>
      </c>
      <c r="C292">
        <v>19.416666666666671</v>
      </c>
      <c r="D292">
        <v>36919.670274730743</v>
      </c>
      <c r="I292">
        <v>3970.044918402763</v>
      </c>
      <c r="J292">
        <v>3825.9239061112889</v>
      </c>
      <c r="K292">
        <v>1556.5484974932299</v>
      </c>
      <c r="L292">
        <v>1635.791874755163</v>
      </c>
      <c r="M292">
        <v>15240.280434016569</v>
      </c>
      <c r="N292">
        <v>10079.97804002482</v>
      </c>
      <c r="O292">
        <v>23942.71742848945</v>
      </c>
      <c r="P292" s="2">
        <v>44503.013888888891</v>
      </c>
      <c r="Q292" s="2">
        <v>44503.822916666657</v>
      </c>
      <c r="R292">
        <v>37237.576507838239</v>
      </c>
      <c r="S292">
        <v>8.5886051323556334</v>
      </c>
      <c r="T292">
        <f t="shared" si="77"/>
        <v>0.81096336389798307</v>
      </c>
      <c r="U292">
        <f t="shared" si="78"/>
        <v>1542.0000000000005</v>
      </c>
      <c r="V292">
        <f t="shared" si="79"/>
        <v>0</v>
      </c>
      <c r="W292">
        <f t="shared" si="80"/>
        <v>0</v>
      </c>
      <c r="X292">
        <f t="shared" si="81"/>
        <v>0</v>
      </c>
      <c r="Y292">
        <f t="shared" si="82"/>
        <v>0</v>
      </c>
      <c r="Z292">
        <f t="shared" si="83"/>
        <v>165.81429949462648</v>
      </c>
      <c r="AA292">
        <f t="shared" si="84"/>
        <v>159.79489034769381</v>
      </c>
      <c r="AB292">
        <f t="shared" si="85"/>
        <v>65.011354794718997</v>
      </c>
      <c r="AC292">
        <f t="shared" si="86"/>
        <v>68.321061702408656</v>
      </c>
      <c r="AD292">
        <f t="shared" si="87"/>
        <v>636.53094012971781</v>
      </c>
      <c r="AE292">
        <f t="shared" si="88"/>
        <v>421.00392614710688</v>
      </c>
      <c r="AF292">
        <f t="shared" si="89"/>
        <v>1000</v>
      </c>
      <c r="AG292">
        <f t="shared" si="90"/>
        <v>-13.277784113561893</v>
      </c>
      <c r="AH292">
        <f t="shared" si="91"/>
        <v>1555.2777841135623</v>
      </c>
      <c r="AI292" s="5">
        <f t="shared" si="74"/>
        <v>0.64850843060959773</v>
      </c>
      <c r="AJ292" s="5">
        <f t="shared" si="75"/>
        <v>0</v>
      </c>
      <c r="AK292" s="5">
        <f t="shared" si="76"/>
        <v>0.6429719566591473</v>
      </c>
    </row>
    <row r="293" spans="1:37" hidden="1" x14ac:dyDescent="0.3">
      <c r="A293">
        <v>5281281</v>
      </c>
      <c r="B293" t="s">
        <v>32</v>
      </c>
      <c r="C293">
        <v>43.166666666666657</v>
      </c>
      <c r="D293">
        <v>81327.139282255244</v>
      </c>
      <c r="I293">
        <v>-19180.14117678512</v>
      </c>
      <c r="J293">
        <v>8611.610266862459</v>
      </c>
      <c r="K293">
        <v>0</v>
      </c>
      <c r="L293">
        <v>47.147117547702067</v>
      </c>
      <c r="M293">
        <v>38838.193619286692</v>
      </c>
      <c r="N293">
        <v>25546.055237422399</v>
      </c>
      <c r="O293">
        <v>37721.30764483082</v>
      </c>
      <c r="P293" s="2">
        <v>44503.291666666657</v>
      </c>
      <c r="Q293" s="2">
        <v>44506.451388888891</v>
      </c>
      <c r="R293">
        <v>143768.58708219579</v>
      </c>
      <c r="S293">
        <v>7.9250646694115039</v>
      </c>
      <c r="T293">
        <f t="shared" si="77"/>
        <v>1.1443576419223644</v>
      </c>
      <c r="U293">
        <f t="shared" si="78"/>
        <v>2156</v>
      </c>
      <c r="V293">
        <f t="shared" si="79"/>
        <v>0</v>
      </c>
      <c r="W293">
        <f t="shared" si="80"/>
        <v>0</v>
      </c>
      <c r="X293">
        <f t="shared" si="81"/>
        <v>0</v>
      </c>
      <c r="Y293">
        <f t="shared" si="82"/>
        <v>0</v>
      </c>
      <c r="Z293">
        <f t="shared" si="83"/>
        <v>-508.46967865954906</v>
      </c>
      <c r="AA293">
        <f t="shared" si="84"/>
        <v>228.29564520790308</v>
      </c>
      <c r="AB293">
        <f t="shared" si="85"/>
        <v>0</v>
      </c>
      <c r="AC293">
        <f t="shared" si="86"/>
        <v>1.2498802531349393</v>
      </c>
      <c r="AD293">
        <f t="shared" si="87"/>
        <v>1029.6088880314553</v>
      </c>
      <c r="AE293">
        <f t="shared" si="88"/>
        <v>677.23143317178005</v>
      </c>
      <c r="AF293">
        <f t="shared" si="89"/>
        <v>1000.0000000000001</v>
      </c>
      <c r="AG293">
        <f t="shared" si="90"/>
        <v>-1655.3362462368736</v>
      </c>
      <c r="AH293">
        <f t="shared" si="91"/>
        <v>3811.3362462368736</v>
      </c>
      <c r="AI293" s="5">
        <f t="shared" si="74"/>
        <v>0.463821892393321</v>
      </c>
      <c r="AJ293" s="5">
        <f t="shared" si="75"/>
        <v>0</v>
      </c>
      <c r="AK293" s="5">
        <f t="shared" si="76"/>
        <v>0.26237517117188253</v>
      </c>
    </row>
    <row r="294" spans="1:37" hidden="1" x14ac:dyDescent="0.3">
      <c r="A294">
        <v>5281279</v>
      </c>
      <c r="B294" t="s">
        <v>33</v>
      </c>
      <c r="C294">
        <v>94.000000000000014</v>
      </c>
      <c r="D294">
        <v>199464.6191833108</v>
      </c>
      <c r="I294">
        <v>7235.9496164128141</v>
      </c>
      <c r="J294">
        <v>30380.303184248201</v>
      </c>
      <c r="K294">
        <v>655.74787051026237</v>
      </c>
      <c r="L294">
        <v>568.13612314896739</v>
      </c>
      <c r="M294">
        <v>77073.532093574642</v>
      </c>
      <c r="N294">
        <v>62484.486186184127</v>
      </c>
      <c r="O294">
        <v>92420.986837810458</v>
      </c>
      <c r="P294" s="2">
        <v>44503.291666666657</v>
      </c>
      <c r="Q294" s="2">
        <v>44527.760416666657</v>
      </c>
      <c r="R294">
        <v>1344932.307403594</v>
      </c>
      <c r="S294">
        <v>7.5570958612721926</v>
      </c>
      <c r="T294">
        <f t="shared" si="77"/>
        <v>1.0170850065143815</v>
      </c>
      <c r="U294">
        <f t="shared" si="78"/>
        <v>2158.217803206875</v>
      </c>
      <c r="V294">
        <f t="shared" si="79"/>
        <v>0</v>
      </c>
      <c r="W294">
        <f t="shared" si="80"/>
        <v>0</v>
      </c>
      <c r="X294">
        <f t="shared" si="81"/>
        <v>0</v>
      </c>
      <c r="Y294">
        <f t="shared" si="82"/>
        <v>0</v>
      </c>
      <c r="Z294">
        <f t="shared" si="83"/>
        <v>78.29336024198895</v>
      </c>
      <c r="AA294">
        <f t="shared" si="84"/>
        <v>328.71649853255281</v>
      </c>
      <c r="AB294">
        <f t="shared" si="85"/>
        <v>7.0952268845715087</v>
      </c>
      <c r="AC294">
        <f t="shared" si="86"/>
        <v>6.1472631118513066</v>
      </c>
      <c r="AD294">
        <f t="shared" si="87"/>
        <v>833.9397222497845</v>
      </c>
      <c r="AE294">
        <f t="shared" si="88"/>
        <v>676.08546850768994</v>
      </c>
      <c r="AF294">
        <f t="shared" si="89"/>
        <v>1000</v>
      </c>
      <c r="AG294">
        <f t="shared" si="90"/>
        <v>-12394.021395058937</v>
      </c>
      <c r="AH294">
        <f t="shared" si="91"/>
        <v>14552.239198265812</v>
      </c>
      <c r="AI294" s="5">
        <f t="shared" si="74"/>
        <v>0.46334526502103246</v>
      </c>
      <c r="AJ294" s="5">
        <f t="shared" si="75"/>
        <v>0</v>
      </c>
      <c r="AK294" s="5">
        <f t="shared" si="76"/>
        <v>6.8717946865467269E-2</v>
      </c>
    </row>
    <row r="295" spans="1:37" hidden="1" x14ac:dyDescent="0.3">
      <c r="A295">
        <v>5286827</v>
      </c>
      <c r="B295" t="s">
        <v>41</v>
      </c>
      <c r="C295">
        <v>76.25</v>
      </c>
      <c r="D295">
        <v>168144.57817613531</v>
      </c>
      <c r="I295">
        <v>28228.092688129971</v>
      </c>
      <c r="J295">
        <v>28915.284852047938</v>
      </c>
      <c r="K295">
        <v>1.8682311858608891</v>
      </c>
      <c r="L295">
        <v>58.728978903182849</v>
      </c>
      <c r="M295">
        <v>78259.24038045315</v>
      </c>
      <c r="N295">
        <v>49492.909198562527</v>
      </c>
      <c r="O295">
        <v>77989.136445331766</v>
      </c>
      <c r="P295" s="2">
        <v>44507.291666666657</v>
      </c>
      <c r="Q295" s="2">
        <v>44526.777777777781</v>
      </c>
      <c r="R295">
        <v>1086645.8382567191</v>
      </c>
      <c r="S295">
        <v>7.5066507250254482</v>
      </c>
      <c r="T295">
        <f t="shared" si="77"/>
        <v>0.97770027308161245</v>
      </c>
      <c r="U295">
        <f t="shared" si="78"/>
        <v>2156</v>
      </c>
      <c r="V295">
        <f t="shared" si="79"/>
        <v>0</v>
      </c>
      <c r="W295">
        <f t="shared" si="80"/>
        <v>0</v>
      </c>
      <c r="X295">
        <f t="shared" si="81"/>
        <v>0</v>
      </c>
      <c r="Y295">
        <f t="shared" si="82"/>
        <v>0</v>
      </c>
      <c r="Z295">
        <f t="shared" si="83"/>
        <v>361.94903514436385</v>
      </c>
      <c r="AA295">
        <f t="shared" si="84"/>
        <v>370.76041830924436</v>
      </c>
      <c r="AB295">
        <f t="shared" si="85"/>
        <v>2.395501823732165E-2</v>
      </c>
      <c r="AC295">
        <f t="shared" si="86"/>
        <v>0.75304050769109676</v>
      </c>
      <c r="AD295">
        <f t="shared" si="87"/>
        <v>1003.4633533262768</v>
      </c>
      <c r="AE295">
        <f t="shared" si="88"/>
        <v>634.61286346279383</v>
      </c>
      <c r="AF295">
        <f t="shared" si="89"/>
        <v>1000</v>
      </c>
      <c r="AG295">
        <f t="shared" si="90"/>
        <v>-11777.297479430714</v>
      </c>
      <c r="AH295">
        <f t="shared" si="91"/>
        <v>13933.297479430714</v>
      </c>
      <c r="AI295" s="5">
        <f t="shared" si="74"/>
        <v>0.46382189239332089</v>
      </c>
      <c r="AJ295" s="5">
        <f t="shared" si="75"/>
        <v>0</v>
      </c>
      <c r="AK295" s="5">
        <f t="shared" si="76"/>
        <v>7.1770519611475209E-2</v>
      </c>
    </row>
    <row r="296" spans="1:37" hidden="1" x14ac:dyDescent="0.3">
      <c r="A296">
        <v>5286822</v>
      </c>
      <c r="B296" t="s">
        <v>46</v>
      </c>
      <c r="C296">
        <v>42.416666666666671</v>
      </c>
      <c r="D296">
        <v>77832.948807442794</v>
      </c>
      <c r="I296">
        <v>14296.91384606646</v>
      </c>
      <c r="J296">
        <v>15384.326326906579</v>
      </c>
      <c r="K296">
        <v>0</v>
      </c>
      <c r="L296">
        <v>-70.524692573833647</v>
      </c>
      <c r="M296">
        <v>48142.223917515148</v>
      </c>
      <c r="N296">
        <v>35327.955636260711</v>
      </c>
      <c r="O296">
        <v>33592.122920778071</v>
      </c>
      <c r="P296" s="2">
        <v>44509.291666666657</v>
      </c>
      <c r="Q296" s="2">
        <v>44511.166666666657</v>
      </c>
      <c r="R296">
        <v>84480.919726088556</v>
      </c>
      <c r="S296">
        <v>7.7147903817049706</v>
      </c>
      <c r="T296">
        <f t="shared" si="77"/>
        <v>1.2626968163548327</v>
      </c>
      <c r="U296">
        <f t="shared" si="78"/>
        <v>2317.0000000000005</v>
      </c>
      <c r="V296">
        <f t="shared" si="79"/>
        <v>0</v>
      </c>
      <c r="W296">
        <f t="shared" si="80"/>
        <v>0</v>
      </c>
      <c r="X296">
        <f t="shared" si="81"/>
        <v>0</v>
      </c>
      <c r="Y296">
        <f t="shared" si="82"/>
        <v>0</v>
      </c>
      <c r="Z296">
        <f t="shared" si="83"/>
        <v>425.6031653546745</v>
      </c>
      <c r="AA296">
        <f t="shared" si="84"/>
        <v>457.9742210156881</v>
      </c>
      <c r="AB296">
        <f t="shared" si="85"/>
        <v>0</v>
      </c>
      <c r="AC296">
        <f t="shared" si="86"/>
        <v>-2.099441370232999</v>
      </c>
      <c r="AD296">
        <f t="shared" si="87"/>
        <v>1433.1402641938198</v>
      </c>
      <c r="AE296">
        <f t="shared" si="88"/>
        <v>1051.6738022058428</v>
      </c>
      <c r="AF296">
        <f t="shared" si="89"/>
        <v>1000.0000000000001</v>
      </c>
      <c r="AG296">
        <f t="shared" si="90"/>
        <v>-197.90267302617303</v>
      </c>
      <c r="AH296">
        <f t="shared" si="91"/>
        <v>2514.9026730261735</v>
      </c>
      <c r="AI296" s="5">
        <f t="shared" si="74"/>
        <v>0.4315925766076823</v>
      </c>
      <c r="AJ296" s="5">
        <f t="shared" si="75"/>
        <v>0</v>
      </c>
      <c r="AK296" s="5">
        <f t="shared" si="76"/>
        <v>0.39762970182726937</v>
      </c>
    </row>
    <row r="297" spans="1:37" hidden="1" x14ac:dyDescent="0.3">
      <c r="A297">
        <v>5288868</v>
      </c>
      <c r="B297" t="s">
        <v>32</v>
      </c>
      <c r="C297">
        <v>255.33333333333329</v>
      </c>
      <c r="D297">
        <v>554416.89650578087</v>
      </c>
      <c r="I297">
        <v>20076.558454312009</v>
      </c>
      <c r="J297">
        <v>81714.6001480251</v>
      </c>
      <c r="K297">
        <v>6160.6902006892233</v>
      </c>
      <c r="L297">
        <v>6730.8666537818544</v>
      </c>
      <c r="M297">
        <v>225058.3959425033</v>
      </c>
      <c r="N297">
        <v>145181.50266790029</v>
      </c>
      <c r="O297">
        <v>257150.69411214319</v>
      </c>
      <c r="P297" s="2">
        <v>44510.291666666657</v>
      </c>
      <c r="Q297" s="2">
        <v>44529.284722222219</v>
      </c>
      <c r="R297">
        <v>1075419.5183815169</v>
      </c>
      <c r="S297">
        <v>7.4837883731121844</v>
      </c>
      <c r="T297">
        <f t="shared" si="77"/>
        <v>0.9929327012509741</v>
      </c>
      <c r="U297">
        <f t="shared" si="78"/>
        <v>2156.0000000000005</v>
      </c>
      <c r="V297">
        <f t="shared" si="79"/>
        <v>0</v>
      </c>
      <c r="W297">
        <f t="shared" si="80"/>
        <v>0</v>
      </c>
      <c r="X297">
        <f t="shared" si="81"/>
        <v>0</v>
      </c>
      <c r="Y297">
        <f t="shared" si="82"/>
        <v>0</v>
      </c>
      <c r="Z297">
        <f t="shared" si="83"/>
        <v>78.073125657427312</v>
      </c>
      <c r="AA297">
        <f t="shared" si="84"/>
        <v>317.76931588755281</v>
      </c>
      <c r="AB297">
        <f t="shared" si="85"/>
        <v>23.957509513867198</v>
      </c>
      <c r="AC297">
        <f t="shared" si="86"/>
        <v>26.174794810573328</v>
      </c>
      <c r="AD297">
        <f t="shared" si="87"/>
        <v>875.20042175875108</v>
      </c>
      <c r="AE297">
        <f t="shared" si="88"/>
        <v>564.57752591010615</v>
      </c>
      <c r="AF297">
        <f t="shared" si="89"/>
        <v>1000</v>
      </c>
      <c r="AG297">
        <f t="shared" si="90"/>
        <v>-2026.0595588691172</v>
      </c>
      <c r="AH297">
        <f t="shared" si="91"/>
        <v>4182.0595588691176</v>
      </c>
      <c r="AI297" s="5">
        <f t="shared" si="74"/>
        <v>0.46382189239332083</v>
      </c>
      <c r="AJ297" s="5">
        <f t="shared" si="75"/>
        <v>0</v>
      </c>
      <c r="AK297" s="5">
        <f t="shared" si="76"/>
        <v>0.23911663282729834</v>
      </c>
    </row>
    <row r="298" spans="1:37" hidden="1" x14ac:dyDescent="0.3">
      <c r="A298">
        <v>5299115</v>
      </c>
      <c r="B298" t="s">
        <v>32</v>
      </c>
      <c r="C298">
        <v>33.166666666666657</v>
      </c>
      <c r="D298">
        <v>71986.957262097611</v>
      </c>
      <c r="I298">
        <v>-18042.02086937031</v>
      </c>
      <c r="J298">
        <v>10626.35517291398</v>
      </c>
      <c r="K298">
        <v>0</v>
      </c>
      <c r="L298">
        <v>70.698731942542281</v>
      </c>
      <c r="M298">
        <v>29927.778241251279</v>
      </c>
      <c r="N298">
        <v>13748.92189531503</v>
      </c>
      <c r="O298">
        <v>33389.126744943227</v>
      </c>
      <c r="P298" s="2">
        <v>44529.291666666657</v>
      </c>
      <c r="Q298" s="2">
        <v>44530.673611111109</v>
      </c>
      <c r="R298">
        <v>79949.945699575605</v>
      </c>
      <c r="S298">
        <v>7.4963200907056189</v>
      </c>
      <c r="T298">
        <f t="shared" si="77"/>
        <v>0.99333734961156894</v>
      </c>
      <c r="U298">
        <f t="shared" si="78"/>
        <v>2156.0000000000005</v>
      </c>
      <c r="V298">
        <f t="shared" si="79"/>
        <v>0</v>
      </c>
      <c r="W298">
        <f t="shared" si="80"/>
        <v>0</v>
      </c>
      <c r="X298">
        <f t="shared" si="81"/>
        <v>0</v>
      </c>
      <c r="Y298">
        <f t="shared" si="82"/>
        <v>0</v>
      </c>
      <c r="Z298">
        <f t="shared" si="83"/>
        <v>-540.35617664372637</v>
      </c>
      <c r="AA298">
        <f t="shared" si="84"/>
        <v>318.25795427618777</v>
      </c>
      <c r="AB298">
        <f t="shared" si="85"/>
        <v>0</v>
      </c>
      <c r="AC298">
        <f t="shared" si="86"/>
        <v>2.1174178193579016</v>
      </c>
      <c r="AD298">
        <f t="shared" si="87"/>
        <v>896.3330628520805</v>
      </c>
      <c r="AE298">
        <f t="shared" si="88"/>
        <v>411.77842117111675</v>
      </c>
      <c r="AF298">
        <f t="shared" si="89"/>
        <v>1000</v>
      </c>
      <c r="AG298">
        <f t="shared" si="90"/>
        <v>-238.49046722026014</v>
      </c>
      <c r="AH298">
        <f t="shared" si="91"/>
        <v>2394.4904672202606</v>
      </c>
      <c r="AI298" s="5">
        <f t="shared" si="74"/>
        <v>0.46382189239332089</v>
      </c>
      <c r="AJ298" s="5">
        <f t="shared" si="75"/>
        <v>0</v>
      </c>
      <c r="AK298" s="5">
        <f t="shared" si="76"/>
        <v>0.41762538364201124</v>
      </c>
    </row>
    <row r="299" spans="1:37" hidden="1" x14ac:dyDescent="0.3">
      <c r="A299">
        <v>5298998</v>
      </c>
      <c r="B299" t="s">
        <v>42</v>
      </c>
      <c r="C299">
        <v>6.666666666666667</v>
      </c>
      <c r="D299">
        <v>15965.770260925819</v>
      </c>
      <c r="I299">
        <v>2912.6524745974011</v>
      </c>
      <c r="J299">
        <v>3029.5135689513309</v>
      </c>
      <c r="K299">
        <v>0</v>
      </c>
      <c r="L299">
        <v>13.050888215339279</v>
      </c>
      <c r="M299">
        <v>8400.513360065137</v>
      </c>
      <c r="N299">
        <v>1423.356704706805</v>
      </c>
      <c r="O299">
        <v>7405.2737759396196</v>
      </c>
      <c r="P299" s="2">
        <v>44530.291666666657</v>
      </c>
      <c r="Q299" s="2">
        <v>44530.569444444453</v>
      </c>
      <c r="R299">
        <v>15963.44246320608</v>
      </c>
      <c r="S299">
        <v>7.2343182952863936</v>
      </c>
      <c r="T299">
        <f t="shared" si="77"/>
        <v>0.90025931091531664</v>
      </c>
      <c r="U299">
        <f t="shared" si="78"/>
        <v>2156</v>
      </c>
      <c r="V299">
        <f t="shared" si="79"/>
        <v>0</v>
      </c>
      <c r="W299">
        <f t="shared" si="80"/>
        <v>0</v>
      </c>
      <c r="X299">
        <f t="shared" si="81"/>
        <v>0</v>
      </c>
      <c r="Y299">
        <f t="shared" si="82"/>
        <v>0</v>
      </c>
      <c r="Z299">
        <f t="shared" si="83"/>
        <v>393.32137645752721</v>
      </c>
      <c r="AA299">
        <f t="shared" si="84"/>
        <v>409.10216969890905</v>
      </c>
      <c r="AB299">
        <f t="shared" si="85"/>
        <v>0</v>
      </c>
      <c r="AC299">
        <f t="shared" si="86"/>
        <v>1.7623775447361247</v>
      </c>
      <c r="AD299">
        <f t="shared" si="87"/>
        <v>1134.3960553300726</v>
      </c>
      <c r="AE299">
        <f t="shared" si="88"/>
        <v>192.20851892490663</v>
      </c>
      <c r="AF299">
        <f t="shared" si="89"/>
        <v>1000</v>
      </c>
      <c r="AG299">
        <f t="shared" si="90"/>
        <v>0.31434323566827516</v>
      </c>
      <c r="AH299">
        <f t="shared" si="91"/>
        <v>2155.6856567643317</v>
      </c>
      <c r="AI299" s="5">
        <f t="shared" si="74"/>
        <v>0.463821892393321</v>
      </c>
      <c r="AJ299" s="5">
        <f t="shared" si="75"/>
        <v>0</v>
      </c>
      <c r="AK299" s="5">
        <f t="shared" si="76"/>
        <v>0.46388952714979453</v>
      </c>
    </row>
    <row r="300" spans="1:37" hidden="1" x14ac:dyDescent="0.3">
      <c r="A300">
        <v>5300336</v>
      </c>
      <c r="B300" t="s">
        <v>41</v>
      </c>
      <c r="C300">
        <v>8.1666666666666661</v>
      </c>
      <c r="D300">
        <v>21034.250157744369</v>
      </c>
      <c r="I300">
        <v>3677.155767930969</v>
      </c>
      <c r="J300">
        <v>3752.7572062180311</v>
      </c>
      <c r="K300">
        <v>0</v>
      </c>
      <c r="L300">
        <v>-6.7129644436860758</v>
      </c>
      <c r="M300">
        <v>1.059552760978292</v>
      </c>
      <c r="N300">
        <v>2140.3373236070802</v>
      </c>
      <c r="O300">
        <v>9756.1457132395026</v>
      </c>
      <c r="P300" s="2">
        <v>44530.291666666657</v>
      </c>
      <c r="Q300" s="2">
        <v>44530.631944444453</v>
      </c>
      <c r="R300">
        <v>19556.657488452471</v>
      </c>
      <c r="S300">
        <v>7.2644809406849138</v>
      </c>
      <c r="T300">
        <f t="shared" si="77"/>
        <v>0.83707920183932405</v>
      </c>
      <c r="U300">
        <f t="shared" si="78"/>
        <v>2156.0000000000005</v>
      </c>
      <c r="V300">
        <f t="shared" si="79"/>
        <v>0</v>
      </c>
      <c r="W300">
        <f t="shared" si="80"/>
        <v>0</v>
      </c>
      <c r="X300">
        <f t="shared" si="81"/>
        <v>0</v>
      </c>
      <c r="Y300">
        <f t="shared" si="82"/>
        <v>0</v>
      </c>
      <c r="Z300">
        <f t="shared" si="83"/>
        <v>376.90660595002316</v>
      </c>
      <c r="AA300">
        <f t="shared" si="84"/>
        <v>384.65571512788915</v>
      </c>
      <c r="AB300">
        <f t="shared" si="85"/>
        <v>0</v>
      </c>
      <c r="AC300">
        <f t="shared" si="86"/>
        <v>-0.68807545940773507</v>
      </c>
      <c r="AD300">
        <f t="shared" si="87"/>
        <v>0.10860362197547277</v>
      </c>
      <c r="AE300">
        <f t="shared" si="88"/>
        <v>219.38349287901181</v>
      </c>
      <c r="AF300">
        <f t="shared" si="89"/>
        <v>1000</v>
      </c>
      <c r="AG300">
        <f t="shared" si="90"/>
        <v>151.45250109238782</v>
      </c>
      <c r="AH300">
        <f t="shared" si="91"/>
        <v>2004.5474989076126</v>
      </c>
      <c r="AI300" s="5">
        <f t="shared" si="74"/>
        <v>0.46382189239332094</v>
      </c>
      <c r="AJ300" s="5">
        <f t="shared" si="75"/>
        <v>0</v>
      </c>
      <c r="AK300" s="5">
        <f t="shared" si="76"/>
        <v>0.49886570437714978</v>
      </c>
    </row>
    <row r="301" spans="1:37" hidden="1" x14ac:dyDescent="0.3">
      <c r="A301">
        <v>5319204</v>
      </c>
      <c r="B301" t="s">
        <v>32</v>
      </c>
      <c r="C301">
        <v>3.666666666666667</v>
      </c>
      <c r="D301">
        <v>6529.4086634151399</v>
      </c>
      <c r="I301">
        <v>643.67440563201944</v>
      </c>
      <c r="J301">
        <v>623.77805817680132</v>
      </c>
      <c r="K301">
        <v>3572.7463166499679</v>
      </c>
      <c r="L301">
        <v>3679.7419964506298</v>
      </c>
      <c r="M301">
        <v>0</v>
      </c>
      <c r="N301">
        <v>4123.5715366189252</v>
      </c>
      <c r="O301">
        <v>3028.4826824745551</v>
      </c>
      <c r="P301" s="2">
        <v>44563.041666666657</v>
      </c>
      <c r="Q301" s="2">
        <v>44563.194444444453</v>
      </c>
      <c r="R301">
        <v>6219.2357982001949</v>
      </c>
      <c r="S301">
        <v>8.2992780330550939</v>
      </c>
      <c r="T301">
        <f t="shared" si="77"/>
        <v>1.2107273017888469</v>
      </c>
      <c r="U301">
        <f t="shared" si="78"/>
        <v>2155.9999999999995</v>
      </c>
      <c r="V301">
        <f t="shared" si="79"/>
        <v>0</v>
      </c>
      <c r="W301">
        <f t="shared" si="80"/>
        <v>0</v>
      </c>
      <c r="X301">
        <f t="shared" si="81"/>
        <v>0</v>
      </c>
      <c r="Y301">
        <f t="shared" si="82"/>
        <v>0</v>
      </c>
      <c r="Z301">
        <f t="shared" si="83"/>
        <v>212.54022991674395</v>
      </c>
      <c r="AA301">
        <f t="shared" si="84"/>
        <v>205.97048871585952</v>
      </c>
      <c r="AB301">
        <f t="shared" si="85"/>
        <v>1179.714956709179</v>
      </c>
      <c r="AC301">
        <f t="shared" si="86"/>
        <v>1215.0447541750295</v>
      </c>
      <c r="AD301">
        <f t="shared" si="87"/>
        <v>0</v>
      </c>
      <c r="AE301">
        <f t="shared" si="88"/>
        <v>1361.5965382537963</v>
      </c>
      <c r="AF301">
        <f t="shared" si="89"/>
        <v>1000</v>
      </c>
      <c r="AG301">
        <f t="shared" si="90"/>
        <v>102.41856986994708</v>
      </c>
      <c r="AH301">
        <f t="shared" si="91"/>
        <v>2053.5814301300525</v>
      </c>
      <c r="AI301" s="5">
        <f t="shared" si="74"/>
        <v>0.463821892393321</v>
      </c>
      <c r="AJ301" s="5">
        <f t="shared" si="75"/>
        <v>0</v>
      </c>
      <c r="AK301" s="5">
        <f t="shared" si="76"/>
        <v>0.48695415011454907</v>
      </c>
    </row>
    <row r="302" spans="1:37" hidden="1" x14ac:dyDescent="0.3">
      <c r="A302">
        <v>5316928</v>
      </c>
      <c r="B302" t="s">
        <v>42</v>
      </c>
      <c r="C302">
        <v>18.083333333333329</v>
      </c>
      <c r="D302">
        <v>32197.931116079839</v>
      </c>
      <c r="I302">
        <v>4139.1978308486869</v>
      </c>
      <c r="J302">
        <v>4159.0879358939164</v>
      </c>
      <c r="K302">
        <v>7098.0860226836239</v>
      </c>
      <c r="L302">
        <v>6850.0564407950578</v>
      </c>
      <c r="M302">
        <v>4188.0631068860121</v>
      </c>
      <c r="N302">
        <v>16211.9627602447</v>
      </c>
      <c r="O302">
        <v>14934.105341409941</v>
      </c>
      <c r="P302" s="2">
        <v>44562.291666666657</v>
      </c>
      <c r="Q302" s="2">
        <v>44563.045138888891</v>
      </c>
      <c r="R302">
        <v>30667.381041177749</v>
      </c>
      <c r="S302">
        <v>7.8267277694713364</v>
      </c>
      <c r="T302">
        <f t="shared" si="77"/>
        <v>1.210874901437254</v>
      </c>
      <c r="U302">
        <f t="shared" si="78"/>
        <v>2156.0000000000005</v>
      </c>
      <c r="V302">
        <f t="shared" si="79"/>
        <v>0</v>
      </c>
      <c r="W302">
        <f t="shared" si="80"/>
        <v>0</v>
      </c>
      <c r="X302">
        <f t="shared" si="81"/>
        <v>0</v>
      </c>
      <c r="Y302">
        <f t="shared" si="82"/>
        <v>0</v>
      </c>
      <c r="Z302">
        <f t="shared" si="83"/>
        <v>277.16409762902487</v>
      </c>
      <c r="AA302">
        <f t="shared" si="84"/>
        <v>278.49595545314759</v>
      </c>
      <c r="AB302">
        <f t="shared" si="85"/>
        <v>475.29368920424986</v>
      </c>
      <c r="AC302">
        <f t="shared" si="86"/>
        <v>458.68542401404665</v>
      </c>
      <c r="AD302">
        <f t="shared" si="87"/>
        <v>280.43615677955393</v>
      </c>
      <c r="AE302">
        <f t="shared" si="88"/>
        <v>1085.566385774142</v>
      </c>
      <c r="AF302">
        <f t="shared" si="89"/>
        <v>1000</v>
      </c>
      <c r="AG302">
        <f t="shared" si="90"/>
        <v>102.48689425392695</v>
      </c>
      <c r="AH302">
        <f t="shared" si="91"/>
        <v>2053.5131057460735</v>
      </c>
      <c r="AI302" s="5">
        <f t="shared" si="74"/>
        <v>0.46382189239332089</v>
      </c>
      <c r="AJ302" s="5">
        <f t="shared" si="75"/>
        <v>0</v>
      </c>
      <c r="AK302" s="5">
        <f t="shared" si="76"/>
        <v>0.48697035202835215</v>
      </c>
    </row>
    <row r="303" spans="1:37" hidden="1" x14ac:dyDescent="0.3">
      <c r="A303">
        <v>5319207</v>
      </c>
      <c r="B303" t="s">
        <v>39</v>
      </c>
      <c r="C303">
        <v>8.25</v>
      </c>
      <c r="D303">
        <v>14916.139834473741</v>
      </c>
      <c r="I303">
        <v>1389.1620938344861</v>
      </c>
      <c r="J303">
        <v>1421.734130634911</v>
      </c>
      <c r="K303">
        <v>8276.9473187466938</v>
      </c>
      <c r="L303">
        <v>8318.4154254877649</v>
      </c>
      <c r="M303">
        <v>0</v>
      </c>
      <c r="N303">
        <v>9409.1221875884712</v>
      </c>
      <c r="O303">
        <v>6594.2262751873304</v>
      </c>
      <c r="P303" s="2">
        <v>44563.25</v>
      </c>
      <c r="Q303" s="2">
        <v>44563.59375</v>
      </c>
      <c r="R303">
        <v>14206.54821982246</v>
      </c>
      <c r="S303">
        <v>8.0970980551554543</v>
      </c>
      <c r="T303">
        <f t="shared" si="77"/>
        <v>1.2510944659334777</v>
      </c>
      <c r="U303">
        <f t="shared" si="78"/>
        <v>2262</v>
      </c>
      <c r="V303">
        <f t="shared" si="79"/>
        <v>0</v>
      </c>
      <c r="W303">
        <f t="shared" si="80"/>
        <v>0</v>
      </c>
      <c r="X303">
        <f t="shared" si="81"/>
        <v>0</v>
      </c>
      <c r="Y303">
        <f t="shared" si="82"/>
        <v>0</v>
      </c>
      <c r="Z303">
        <f t="shared" si="83"/>
        <v>210.66339489465312</v>
      </c>
      <c r="AA303">
        <f t="shared" si="84"/>
        <v>215.60287307467655</v>
      </c>
      <c r="AB303">
        <f t="shared" si="85"/>
        <v>1255.180967915991</v>
      </c>
      <c r="AC303">
        <f t="shared" si="86"/>
        <v>1261.469515656172</v>
      </c>
      <c r="AD303">
        <f t="shared" si="87"/>
        <v>0</v>
      </c>
      <c r="AE303">
        <f t="shared" si="88"/>
        <v>1426.8728119010709</v>
      </c>
      <c r="AF303">
        <f t="shared" si="89"/>
        <v>1000</v>
      </c>
      <c r="AG303">
        <f t="shared" si="90"/>
        <v>107.60801723188115</v>
      </c>
      <c r="AH303">
        <f t="shared" si="91"/>
        <v>2154.3919827681189</v>
      </c>
      <c r="AI303" s="5">
        <f t="shared" si="74"/>
        <v>0.44208664898320071</v>
      </c>
      <c r="AJ303" s="5">
        <f t="shared" si="75"/>
        <v>0</v>
      </c>
      <c r="AK303" s="5">
        <f t="shared" si="76"/>
        <v>0.46416808454472969</v>
      </c>
    </row>
    <row r="304" spans="1:37" hidden="1" x14ac:dyDescent="0.3">
      <c r="A304">
        <v>5319208</v>
      </c>
      <c r="B304" t="s">
        <v>43</v>
      </c>
      <c r="C304">
        <v>21.5</v>
      </c>
      <c r="D304">
        <v>43601.998459764109</v>
      </c>
      <c r="I304">
        <v>-21596.40569650511</v>
      </c>
      <c r="J304">
        <v>4929.1250740568476</v>
      </c>
      <c r="K304">
        <v>11920.346978751521</v>
      </c>
      <c r="L304">
        <v>11892.62622453961</v>
      </c>
      <c r="M304">
        <v>0</v>
      </c>
      <c r="N304">
        <v>5403.0893108461496</v>
      </c>
      <c r="O304">
        <v>18818.298860493789</v>
      </c>
      <c r="P304" s="2">
        <v>44563.59375</v>
      </c>
      <c r="Q304" s="2">
        <v>44565.329861111109</v>
      </c>
      <c r="R304">
        <v>74298.90956104103</v>
      </c>
      <c r="S304">
        <v>7.1454322810462747</v>
      </c>
      <c r="T304">
        <f t="shared" si="77"/>
        <v>1.1425049713253328</v>
      </c>
      <c r="U304">
        <f t="shared" si="78"/>
        <v>2317</v>
      </c>
      <c r="V304">
        <f t="shared" si="79"/>
        <v>0</v>
      </c>
      <c r="W304">
        <f t="shared" si="80"/>
        <v>0</v>
      </c>
      <c r="X304">
        <f t="shared" si="81"/>
        <v>0</v>
      </c>
      <c r="Y304">
        <f t="shared" si="82"/>
        <v>0</v>
      </c>
      <c r="Z304">
        <f t="shared" si="83"/>
        <v>-1147.6279474891082</v>
      </c>
      <c r="AA304">
        <f t="shared" si="84"/>
        <v>261.93255355322316</v>
      </c>
      <c r="AB304">
        <f t="shared" si="85"/>
        <v>633.44445037890807</v>
      </c>
      <c r="AC304">
        <f t="shared" si="86"/>
        <v>631.97137598374547</v>
      </c>
      <c r="AD304">
        <f t="shared" si="87"/>
        <v>0</v>
      </c>
      <c r="AE304">
        <f t="shared" si="88"/>
        <v>287.11890223983687</v>
      </c>
      <c r="AF304">
        <f t="shared" si="89"/>
        <v>1000.0000000000001</v>
      </c>
      <c r="AG304">
        <f t="shared" si="90"/>
        <v>-1631.2266761646824</v>
      </c>
      <c r="AH304">
        <f t="shared" si="91"/>
        <v>3948.2266761646824</v>
      </c>
      <c r="AI304" s="5">
        <f t="shared" si="74"/>
        <v>0.43159257660768235</v>
      </c>
      <c r="AJ304" s="5">
        <f t="shared" si="75"/>
        <v>0</v>
      </c>
      <c r="AK304" s="5">
        <f t="shared" si="76"/>
        <v>0.25327826440081769</v>
      </c>
    </row>
    <row r="305" spans="1:37" hidden="1" x14ac:dyDescent="0.3">
      <c r="A305">
        <v>5319904</v>
      </c>
      <c r="B305" t="s">
        <v>34</v>
      </c>
      <c r="C305">
        <v>33.583333333333329</v>
      </c>
      <c r="D305">
        <v>70040.677713397279</v>
      </c>
      <c r="I305">
        <v>10110.52413918232</v>
      </c>
      <c r="J305">
        <v>11675.28721811904</v>
      </c>
      <c r="K305">
        <v>13608.63301805972</v>
      </c>
      <c r="L305">
        <v>12288.52010729772</v>
      </c>
      <c r="M305">
        <v>0</v>
      </c>
      <c r="N305">
        <v>5005.083813498939</v>
      </c>
      <c r="O305">
        <v>30229.036561673409</v>
      </c>
      <c r="P305" s="2">
        <v>44565.493055555547</v>
      </c>
      <c r="Q305" s="2">
        <v>44567.013888888891</v>
      </c>
      <c r="R305">
        <v>67365.405117807633</v>
      </c>
      <c r="S305">
        <v>7.9244839505902824</v>
      </c>
      <c r="T305">
        <f t="shared" si="77"/>
        <v>1.1109627415619572</v>
      </c>
      <c r="U305">
        <f t="shared" si="78"/>
        <v>2316.9999999999995</v>
      </c>
      <c r="V305">
        <f t="shared" si="79"/>
        <v>0</v>
      </c>
      <c r="W305">
        <f t="shared" si="80"/>
        <v>0</v>
      </c>
      <c r="X305">
        <f t="shared" si="81"/>
        <v>0</v>
      </c>
      <c r="Y305">
        <f t="shared" si="82"/>
        <v>0</v>
      </c>
      <c r="Z305">
        <f t="shared" si="83"/>
        <v>334.46398857452124</v>
      </c>
      <c r="AA305">
        <f t="shared" si="84"/>
        <v>386.22756614485775</v>
      </c>
      <c r="AB305">
        <f t="shared" si="85"/>
        <v>450.18414630235827</v>
      </c>
      <c r="AC305">
        <f t="shared" si="86"/>
        <v>406.51378624742568</v>
      </c>
      <c r="AD305">
        <f t="shared" si="87"/>
        <v>0</v>
      </c>
      <c r="AE305">
        <f t="shared" si="88"/>
        <v>165.57205861614366</v>
      </c>
      <c r="AF305">
        <f t="shared" si="89"/>
        <v>1000</v>
      </c>
      <c r="AG305">
        <f t="shared" si="90"/>
        <v>88.500094607102255</v>
      </c>
      <c r="AH305">
        <f t="shared" si="91"/>
        <v>2228.4999053928973</v>
      </c>
      <c r="AI305" s="5">
        <f t="shared" si="74"/>
        <v>0.43159257660768241</v>
      </c>
      <c r="AJ305" s="5">
        <f t="shared" si="75"/>
        <v>0</v>
      </c>
      <c r="AK305" s="5">
        <f t="shared" si="76"/>
        <v>0.44873235021461405</v>
      </c>
    </row>
    <row r="306" spans="1:37" hidden="1" x14ac:dyDescent="0.3">
      <c r="A306">
        <v>5320597</v>
      </c>
      <c r="B306" t="s">
        <v>43</v>
      </c>
      <c r="C306">
        <v>18.666666666666671</v>
      </c>
      <c r="D306">
        <v>23782.7109435571</v>
      </c>
      <c r="I306">
        <v>3356.6846582054809</v>
      </c>
      <c r="J306">
        <v>3360.5662456209811</v>
      </c>
      <c r="K306">
        <v>6159.6507598136614</v>
      </c>
      <c r="L306">
        <v>6105.1216161636712</v>
      </c>
      <c r="M306">
        <v>0</v>
      </c>
      <c r="N306">
        <v>1325.724987329733</v>
      </c>
      <c r="O306">
        <v>10264.441494845531</v>
      </c>
      <c r="P306" s="2">
        <v>44571.291666666657</v>
      </c>
      <c r="Q306" s="2">
        <v>44572.482638888891</v>
      </c>
      <c r="R306">
        <v>35908.617973700893</v>
      </c>
      <c r="S306">
        <v>8.2452302433444995</v>
      </c>
      <c r="T306">
        <f t="shared" si="77"/>
        <v>1.8185759718188725</v>
      </c>
      <c r="U306">
        <f t="shared" si="78"/>
        <v>2317.0000000000005</v>
      </c>
      <c r="V306">
        <f t="shared" si="79"/>
        <v>0</v>
      </c>
      <c r="W306">
        <f t="shared" si="80"/>
        <v>0</v>
      </c>
      <c r="X306">
        <f t="shared" si="81"/>
        <v>0</v>
      </c>
      <c r="Y306">
        <f t="shared" si="82"/>
        <v>0</v>
      </c>
      <c r="Z306">
        <f t="shared" si="83"/>
        <v>327.02068202065345</v>
      </c>
      <c r="AA306">
        <f t="shared" si="84"/>
        <v>327.39884067813614</v>
      </c>
      <c r="AB306">
        <f t="shared" si="85"/>
        <v>600.09604642462409</v>
      </c>
      <c r="AC306">
        <f t="shared" si="86"/>
        <v>594.78361479574562</v>
      </c>
      <c r="AD306">
        <f t="shared" si="87"/>
        <v>0</v>
      </c>
      <c r="AE306">
        <f t="shared" si="88"/>
        <v>129.15705038559275</v>
      </c>
      <c r="AF306">
        <f t="shared" si="89"/>
        <v>1000</v>
      </c>
      <c r="AG306">
        <f t="shared" si="90"/>
        <v>-1181.350883653342</v>
      </c>
      <c r="AH306">
        <f t="shared" si="91"/>
        <v>3498.3508836533424</v>
      </c>
      <c r="AI306" s="5">
        <f t="shared" si="74"/>
        <v>0.43159257660768224</v>
      </c>
      <c r="AJ306" s="5">
        <f t="shared" si="75"/>
        <v>0</v>
      </c>
      <c r="AK306" s="5">
        <f t="shared" si="76"/>
        <v>0.28584897091731859</v>
      </c>
    </row>
    <row r="307" spans="1:37" hidden="1" x14ac:dyDescent="0.3">
      <c r="A307">
        <v>5320599</v>
      </c>
      <c r="B307" t="s">
        <v>34</v>
      </c>
      <c r="C307">
        <v>36.75</v>
      </c>
      <c r="D307">
        <v>47836.86536817639</v>
      </c>
      <c r="I307">
        <v>7255.4534306160504</v>
      </c>
      <c r="J307">
        <v>7985.9572108935481</v>
      </c>
      <c r="K307">
        <v>12068.86077919216</v>
      </c>
      <c r="L307">
        <v>11210.912323434801</v>
      </c>
      <c r="M307">
        <v>0</v>
      </c>
      <c r="N307">
        <v>5017.5112091668607</v>
      </c>
      <c r="O307">
        <v>20646.03598108605</v>
      </c>
      <c r="P307" s="2">
        <v>44572.291666666657</v>
      </c>
      <c r="Q307" s="2">
        <v>44574.013888888891</v>
      </c>
      <c r="R307">
        <v>51256.343698831661</v>
      </c>
      <c r="S307">
        <v>9.0451587334766437</v>
      </c>
      <c r="T307">
        <f t="shared" si="77"/>
        <v>1.7800027101409144</v>
      </c>
      <c r="U307">
        <f t="shared" si="78"/>
        <v>2317.0000000000009</v>
      </c>
      <c r="V307">
        <f t="shared" si="79"/>
        <v>0</v>
      </c>
      <c r="W307">
        <f t="shared" si="80"/>
        <v>0</v>
      </c>
      <c r="X307">
        <f t="shared" si="81"/>
        <v>0</v>
      </c>
      <c r="Y307">
        <f t="shared" si="82"/>
        <v>0</v>
      </c>
      <c r="Z307">
        <f t="shared" si="83"/>
        <v>351.4211365931364</v>
      </c>
      <c r="AA307">
        <f t="shared" si="84"/>
        <v>386.80341437986101</v>
      </c>
      <c r="AB307">
        <f t="shared" si="85"/>
        <v>584.5606774224608</v>
      </c>
      <c r="AC307">
        <f t="shared" si="86"/>
        <v>543.00555969703726</v>
      </c>
      <c r="AD307">
        <f t="shared" si="87"/>
        <v>0</v>
      </c>
      <c r="AE307">
        <f t="shared" si="88"/>
        <v>243.02540273413413</v>
      </c>
      <c r="AF307">
        <f t="shared" si="89"/>
        <v>1000</v>
      </c>
      <c r="AG307">
        <f t="shared" si="90"/>
        <v>-165.62396451250333</v>
      </c>
      <c r="AH307">
        <f t="shared" si="91"/>
        <v>2482.6239645125042</v>
      </c>
      <c r="AI307" s="5">
        <f t="shared" si="74"/>
        <v>0.43159257660768224</v>
      </c>
      <c r="AJ307" s="5">
        <f t="shared" si="75"/>
        <v>0</v>
      </c>
      <c r="AK307" s="5">
        <f t="shared" si="76"/>
        <v>0.40279962422596011</v>
      </c>
    </row>
    <row r="308" spans="1:37" hidden="1" x14ac:dyDescent="0.3">
      <c r="A308">
        <v>5323330</v>
      </c>
      <c r="B308" t="s">
        <v>48</v>
      </c>
      <c r="C308">
        <v>292.75</v>
      </c>
      <c r="D308">
        <v>0</v>
      </c>
      <c r="E308">
        <v>507699.58912666672</v>
      </c>
      <c r="F308">
        <v>53474.015406359991</v>
      </c>
      <c r="G308">
        <v>454225.57372030691</v>
      </c>
      <c r="I308">
        <v>0</v>
      </c>
      <c r="J308">
        <v>128829.0044222321</v>
      </c>
      <c r="K308">
        <v>329382.70944171562</v>
      </c>
      <c r="L308">
        <v>0</v>
      </c>
      <c r="M308">
        <v>0</v>
      </c>
      <c r="N308">
        <v>272120.69007624529</v>
      </c>
      <c r="O308">
        <v>223459.32620011739</v>
      </c>
      <c r="P308" s="2">
        <v>44574.291666666657</v>
      </c>
      <c r="Q308" s="2">
        <v>44589.493055555547</v>
      </c>
      <c r="R308">
        <v>100.72823544698539</v>
      </c>
      <c r="S308">
        <v>5.0037370563782364</v>
      </c>
      <c r="T308">
        <f t="shared" si="77"/>
        <v>1.3100818165800332</v>
      </c>
      <c r="U308">
        <f t="shared" si="78"/>
        <v>0</v>
      </c>
      <c r="V308">
        <f t="shared" si="79"/>
        <v>2272</v>
      </c>
      <c r="W308">
        <f t="shared" si="80"/>
        <v>239.30088896120506</v>
      </c>
      <c r="X308">
        <f t="shared" si="81"/>
        <v>2032.699111038796</v>
      </c>
      <c r="Y308">
        <f t="shared" si="82"/>
        <v>0</v>
      </c>
      <c r="Z308">
        <f t="shared" si="83"/>
        <v>0</v>
      </c>
      <c r="AA308">
        <f t="shared" si="84"/>
        <v>576.52104574440636</v>
      </c>
      <c r="AB308">
        <f t="shared" si="85"/>
        <v>1474.016390556639</v>
      </c>
      <c r="AC308">
        <f t="shared" si="86"/>
        <v>0</v>
      </c>
      <c r="AD308">
        <f t="shared" si="87"/>
        <v>0</v>
      </c>
      <c r="AE308">
        <f t="shared" si="88"/>
        <v>1217.7638530626803</v>
      </c>
      <c r="AF308">
        <f t="shared" si="89"/>
        <v>1000</v>
      </c>
      <c r="AG308">
        <f t="shared" si="90"/>
        <v>-0.45076765047066752</v>
      </c>
      <c r="AH308">
        <f t="shared" si="91"/>
        <v>0.45076765047066752</v>
      </c>
      <c r="AI308" s="5">
        <f t="shared" si="74"/>
        <v>0</v>
      </c>
      <c r="AJ308" s="5">
        <f t="shared" si="75"/>
        <v>0.4401408450704225</v>
      </c>
      <c r="AK308" s="5">
        <f t="shared" si="76"/>
        <v>2218.4378114885872</v>
      </c>
    </row>
    <row r="309" spans="1:37" hidden="1" x14ac:dyDescent="0.3">
      <c r="A309">
        <v>5325218</v>
      </c>
      <c r="B309" t="s">
        <v>56</v>
      </c>
      <c r="C309">
        <v>77.5</v>
      </c>
      <c r="D309">
        <v>0</v>
      </c>
      <c r="E309">
        <v>118987.9559413628</v>
      </c>
      <c r="F309">
        <v>49488.433227131492</v>
      </c>
      <c r="G309">
        <v>69499.522714231294</v>
      </c>
      <c r="H309">
        <v>13164.66177126253</v>
      </c>
      <c r="I309">
        <v>7219.1789584210537</v>
      </c>
      <c r="J309">
        <v>29846.472648462928</v>
      </c>
      <c r="K309">
        <v>91002.85341898218</v>
      </c>
      <c r="L309">
        <v>28280.132831661551</v>
      </c>
      <c r="M309">
        <v>0</v>
      </c>
      <c r="N309">
        <v>74305.312916417373</v>
      </c>
      <c r="O309">
        <v>57910.875421834047</v>
      </c>
      <c r="P309" s="2">
        <v>44593.291666666657</v>
      </c>
      <c r="Q309" s="2">
        <v>44597.78125</v>
      </c>
      <c r="R309">
        <v>29.708788646055439</v>
      </c>
      <c r="S309">
        <v>5.0041666030883789</v>
      </c>
      <c r="T309">
        <f t="shared" si="77"/>
        <v>1.3382633129869816</v>
      </c>
      <c r="U309">
        <f t="shared" si="78"/>
        <v>0</v>
      </c>
      <c r="V309">
        <f t="shared" si="79"/>
        <v>2054.6737564340283</v>
      </c>
      <c r="W309">
        <f t="shared" si="80"/>
        <v>854.5619949042067</v>
      </c>
      <c r="X309">
        <f t="shared" si="81"/>
        <v>1200.1117615298215</v>
      </c>
      <c r="Y309">
        <f t="shared" si="82"/>
        <v>227.32624356597239</v>
      </c>
      <c r="Z309">
        <f t="shared" si="83"/>
        <v>124.66015935409634</v>
      </c>
      <c r="AA309">
        <f t="shared" si="84"/>
        <v>515.38631441944949</v>
      </c>
      <c r="AB309">
        <f t="shared" si="85"/>
        <v>1571.4294207452356</v>
      </c>
      <c r="AC309">
        <f t="shared" si="86"/>
        <v>488.33889361304904</v>
      </c>
      <c r="AD309">
        <f t="shared" si="87"/>
        <v>0</v>
      </c>
      <c r="AE309">
        <f t="shared" si="88"/>
        <v>1283.0977320781817</v>
      </c>
      <c r="AF309">
        <f t="shared" si="89"/>
        <v>1000</v>
      </c>
      <c r="AG309">
        <f t="shared" si="90"/>
        <v>-0.51300879894580875</v>
      </c>
      <c r="AH309">
        <f t="shared" si="91"/>
        <v>0.51300879894580875</v>
      </c>
      <c r="AI309" s="5">
        <f t="shared" si="74"/>
        <v>0</v>
      </c>
      <c r="AJ309" s="5">
        <f t="shared" si="75"/>
        <v>0.43821209465381233</v>
      </c>
      <c r="AK309" s="5">
        <f t="shared" si="76"/>
        <v>1949.2843047817473</v>
      </c>
    </row>
    <row r="310" spans="1:37" hidden="1" x14ac:dyDescent="0.3">
      <c r="A310">
        <v>5325986</v>
      </c>
      <c r="B310" t="s">
        <v>48</v>
      </c>
      <c r="C310">
        <v>26.583333333333339</v>
      </c>
      <c r="D310">
        <v>0</v>
      </c>
      <c r="E310">
        <v>43983.944583333403</v>
      </c>
      <c r="F310">
        <v>18513.02916833336</v>
      </c>
      <c r="G310">
        <v>25470.91541500004</v>
      </c>
      <c r="I310">
        <v>0</v>
      </c>
      <c r="J310">
        <v>11952.24048321223</v>
      </c>
      <c r="K310">
        <v>29447.702865921379</v>
      </c>
      <c r="L310">
        <v>0</v>
      </c>
      <c r="M310">
        <v>0</v>
      </c>
      <c r="N310">
        <v>25360.699762275552</v>
      </c>
      <c r="O310">
        <v>19359.130538439</v>
      </c>
      <c r="P310" s="2">
        <v>44597.78125</v>
      </c>
      <c r="Q310" s="2">
        <v>44598.888888888891</v>
      </c>
      <c r="R310">
        <v>7.4279421019509124</v>
      </c>
      <c r="S310">
        <v>5.0041666030883789</v>
      </c>
      <c r="T310">
        <f t="shared" si="77"/>
        <v>1.3731677298497547</v>
      </c>
      <c r="U310">
        <f t="shared" si="78"/>
        <v>0</v>
      </c>
      <c r="V310">
        <f t="shared" si="79"/>
        <v>2271.9999999999995</v>
      </c>
      <c r="W310">
        <f t="shared" si="80"/>
        <v>956.2944540083738</v>
      </c>
      <c r="X310">
        <f t="shared" si="81"/>
        <v>1315.7055459916257</v>
      </c>
      <c r="Y310">
        <f t="shared" si="82"/>
        <v>0</v>
      </c>
      <c r="Z310">
        <f t="shared" si="83"/>
        <v>0</v>
      </c>
      <c r="AA310">
        <f t="shared" si="84"/>
        <v>617.39552091351231</v>
      </c>
      <c r="AB310">
        <f t="shared" si="85"/>
        <v>1521.127346470998</v>
      </c>
      <c r="AC310">
        <f t="shared" si="86"/>
        <v>0</v>
      </c>
      <c r="AD310">
        <f t="shared" si="87"/>
        <v>0</v>
      </c>
      <c r="AE310">
        <f t="shared" si="88"/>
        <v>1310.0123330394404</v>
      </c>
      <c r="AF310">
        <f t="shared" si="89"/>
        <v>999.99999999999989</v>
      </c>
      <c r="AG310">
        <f t="shared" si="90"/>
        <v>-0.38369192703164945</v>
      </c>
      <c r="AH310">
        <f t="shared" si="91"/>
        <v>0.38369192703164945</v>
      </c>
      <c r="AI310" s="5">
        <f t="shared" si="74"/>
        <v>0</v>
      </c>
      <c r="AJ310" s="5">
        <f t="shared" si="75"/>
        <v>0.44014084507042256</v>
      </c>
      <c r="AK310" s="5">
        <f t="shared" si="76"/>
        <v>2606.2575976937701</v>
      </c>
    </row>
    <row r="311" spans="1:37" hidden="1" x14ac:dyDescent="0.3">
      <c r="A311">
        <v>5326142</v>
      </c>
      <c r="B311" t="s">
        <v>32</v>
      </c>
      <c r="C311">
        <v>7.75</v>
      </c>
      <c r="D311">
        <v>16798.947013584981</v>
      </c>
      <c r="I311">
        <v>-17867.409034131972</v>
      </c>
      <c r="J311">
        <v>1629.7715787016409</v>
      </c>
      <c r="K311">
        <v>1733.058184568147</v>
      </c>
      <c r="L311">
        <v>-27810.61105946458</v>
      </c>
      <c r="M311">
        <v>0</v>
      </c>
      <c r="N311">
        <v>353.97018942025051</v>
      </c>
      <c r="O311">
        <v>7791.7193940561147</v>
      </c>
      <c r="P311" s="2">
        <v>44599.291666666657</v>
      </c>
      <c r="Q311" s="2">
        <v>44599.614583333343</v>
      </c>
      <c r="R311">
        <v>1064.621871135331</v>
      </c>
      <c r="S311">
        <v>5.0041666030883789</v>
      </c>
      <c r="T311">
        <f t="shared" si="77"/>
        <v>0.99464567549905092</v>
      </c>
      <c r="U311">
        <f t="shared" si="78"/>
        <v>2155.9999999999995</v>
      </c>
      <c r="V311">
        <f t="shared" si="79"/>
        <v>0</v>
      </c>
      <c r="W311">
        <f t="shared" si="80"/>
        <v>0</v>
      </c>
      <c r="X311">
        <f t="shared" si="81"/>
        <v>0</v>
      </c>
      <c r="Y311">
        <f t="shared" si="82"/>
        <v>0</v>
      </c>
      <c r="Z311">
        <f t="shared" si="83"/>
        <v>-2293.1278875060693</v>
      </c>
      <c r="AA311">
        <f t="shared" si="84"/>
        <v>209.16712939443204</v>
      </c>
      <c r="AB311">
        <f t="shared" si="85"/>
        <v>222.42307466696045</v>
      </c>
      <c r="AC311">
        <f t="shared" si="86"/>
        <v>-3569.2521320364549</v>
      </c>
      <c r="AD311">
        <f t="shared" si="87"/>
        <v>0</v>
      </c>
      <c r="AE311">
        <f t="shared" si="88"/>
        <v>45.429021698378328</v>
      </c>
      <c r="AF311">
        <f t="shared" si="89"/>
        <v>1000</v>
      </c>
      <c r="AG311">
        <f t="shared" si="90"/>
        <v>2019.3649625591654</v>
      </c>
      <c r="AH311">
        <f t="shared" si="91"/>
        <v>136.63503744083417</v>
      </c>
      <c r="AI311" s="5">
        <f t="shared" si="74"/>
        <v>0.46382189239332106</v>
      </c>
      <c r="AJ311" s="5">
        <f t="shared" si="75"/>
        <v>0</v>
      </c>
      <c r="AK311" s="5">
        <f t="shared" si="76"/>
        <v>7.318766977562551</v>
      </c>
    </row>
    <row r="312" spans="1:37" hidden="1" x14ac:dyDescent="0.3">
      <c r="A312">
        <v>5326143</v>
      </c>
      <c r="B312" t="s">
        <v>43</v>
      </c>
      <c r="C312">
        <v>87.916666666666671</v>
      </c>
      <c r="D312">
        <v>164960.67555680699</v>
      </c>
      <c r="I312">
        <v>22547.475406330821</v>
      </c>
      <c r="J312">
        <v>22451.87492231109</v>
      </c>
      <c r="K312">
        <v>33677.145962955241</v>
      </c>
      <c r="L312">
        <v>13061.404985690249</v>
      </c>
      <c r="M312">
        <v>0</v>
      </c>
      <c r="N312">
        <v>15004.66071694598</v>
      </c>
      <c r="O312">
        <v>71195.803002506247</v>
      </c>
      <c r="P312" s="2">
        <v>44599.291666666657</v>
      </c>
      <c r="Q312" s="2">
        <v>44604.083333333343</v>
      </c>
      <c r="R312">
        <v>198354.97706301001</v>
      </c>
      <c r="S312">
        <v>8.2503956714681106</v>
      </c>
      <c r="T312">
        <f t="shared" si="77"/>
        <v>1.2348574348346322</v>
      </c>
      <c r="U312">
        <f t="shared" si="78"/>
        <v>2317</v>
      </c>
      <c r="V312">
        <f t="shared" si="79"/>
        <v>0</v>
      </c>
      <c r="W312">
        <f t="shared" si="80"/>
        <v>0</v>
      </c>
      <c r="X312">
        <f t="shared" si="81"/>
        <v>0</v>
      </c>
      <c r="Y312">
        <f t="shared" si="82"/>
        <v>0</v>
      </c>
      <c r="Z312">
        <f t="shared" si="83"/>
        <v>316.69669356123563</v>
      </c>
      <c r="AA312">
        <f t="shared" si="84"/>
        <v>315.35391098153264</v>
      </c>
      <c r="AB312">
        <f t="shared" si="85"/>
        <v>473.02150608189271</v>
      </c>
      <c r="AC312">
        <f t="shared" si="86"/>
        <v>183.45751343278562</v>
      </c>
      <c r="AD312">
        <f t="shared" si="87"/>
        <v>0</v>
      </c>
      <c r="AE312">
        <f t="shared" si="88"/>
        <v>210.75203992597406</v>
      </c>
      <c r="AF312">
        <f t="shared" si="89"/>
        <v>999.99999999999989</v>
      </c>
      <c r="AG312">
        <f t="shared" si="90"/>
        <v>-469.04873739576306</v>
      </c>
      <c r="AH312">
        <f t="shared" si="91"/>
        <v>2786.0487373957631</v>
      </c>
      <c r="AI312" s="5">
        <f t="shared" si="74"/>
        <v>0.4315925766076823</v>
      </c>
      <c r="AJ312" s="5">
        <f t="shared" si="75"/>
        <v>0</v>
      </c>
      <c r="AK312" s="5">
        <f t="shared" si="76"/>
        <v>0.35893126583806356</v>
      </c>
    </row>
    <row r="313" spans="1:37" hidden="1" x14ac:dyDescent="0.3">
      <c r="A313">
        <v>5326479</v>
      </c>
      <c r="B313" t="s">
        <v>34</v>
      </c>
      <c r="C313">
        <v>56.916666666666657</v>
      </c>
      <c r="D313">
        <v>106633.8360354086</v>
      </c>
      <c r="I313">
        <v>-13013.338997291859</v>
      </c>
      <c r="J313">
        <v>14272.20193444287</v>
      </c>
      <c r="K313">
        <v>21444.247907703961</v>
      </c>
      <c r="L313">
        <v>21374.44086583396</v>
      </c>
      <c r="M313">
        <v>14.45352213870642</v>
      </c>
      <c r="N313">
        <v>9782.5547074618953</v>
      </c>
      <c r="O313">
        <v>46022.372048083103</v>
      </c>
      <c r="P313" s="2">
        <v>44604.083333333343</v>
      </c>
      <c r="Q313" s="2">
        <v>44606.454861111109</v>
      </c>
      <c r="R313">
        <v>93986.435745188151</v>
      </c>
      <c r="S313">
        <v>7.5680598017838117</v>
      </c>
      <c r="T313">
        <f t="shared" si="77"/>
        <v>1.2367173644852867</v>
      </c>
      <c r="U313">
        <f t="shared" si="78"/>
        <v>2317.0000000000009</v>
      </c>
      <c r="V313">
        <f t="shared" si="79"/>
        <v>0</v>
      </c>
      <c r="W313">
        <f t="shared" si="80"/>
        <v>0</v>
      </c>
      <c r="X313">
        <f t="shared" si="81"/>
        <v>0</v>
      </c>
      <c r="Y313">
        <f t="shared" si="82"/>
        <v>0</v>
      </c>
      <c r="Z313">
        <f t="shared" si="83"/>
        <v>-282.76115328640219</v>
      </c>
      <c r="AA313">
        <f t="shared" si="84"/>
        <v>310.11443563864128</v>
      </c>
      <c r="AB313">
        <f t="shared" si="85"/>
        <v>465.95268677806331</v>
      </c>
      <c r="AC313">
        <f t="shared" si="86"/>
        <v>464.4358800868074</v>
      </c>
      <c r="AD313">
        <f t="shared" si="87"/>
        <v>0.31405426307895901</v>
      </c>
      <c r="AE313">
        <f t="shared" si="88"/>
        <v>212.56085403945085</v>
      </c>
      <c r="AF313">
        <f t="shared" si="89"/>
        <v>1000</v>
      </c>
      <c r="AG313">
        <f t="shared" si="90"/>
        <v>274.80983111880323</v>
      </c>
      <c r="AH313">
        <f t="shared" si="91"/>
        <v>2042.1901688811977</v>
      </c>
      <c r="AI313" s="5">
        <f t="shared" si="74"/>
        <v>0.43159257660768213</v>
      </c>
      <c r="AJ313" s="5">
        <f t="shared" si="75"/>
        <v>0</v>
      </c>
      <c r="AK313" s="5">
        <f t="shared" si="76"/>
        <v>0.48967036235799932</v>
      </c>
    </row>
    <row r="314" spans="1:37" hidden="1" x14ac:dyDescent="0.3">
      <c r="A314" t="s">
        <v>24</v>
      </c>
      <c r="B314" t="s">
        <v>38</v>
      </c>
      <c r="C314">
        <v>11.25</v>
      </c>
      <c r="D314">
        <v>23640.782286823109</v>
      </c>
      <c r="I314">
        <v>2926.5657069969179</v>
      </c>
      <c r="J314">
        <v>3053.0149515998319</v>
      </c>
      <c r="K314">
        <v>0</v>
      </c>
      <c r="L314">
        <v>55.73892744051534</v>
      </c>
      <c r="M314">
        <v>5230.476082422605</v>
      </c>
      <c r="N314">
        <v>0.68047258976620673</v>
      </c>
      <c r="O314">
        <v>10451.274220523041</v>
      </c>
      <c r="P314" s="2">
        <v>44606.291666666657</v>
      </c>
      <c r="Q314" s="2">
        <v>44606.760416666657</v>
      </c>
      <c r="R314">
        <v>20246.184130386071</v>
      </c>
      <c r="S314">
        <v>7.5099146929141201</v>
      </c>
      <c r="T314">
        <f t="shared" si="77"/>
        <v>1.0764237702144024</v>
      </c>
      <c r="U314">
        <f t="shared" si="78"/>
        <v>2261.9999999999991</v>
      </c>
      <c r="V314">
        <f t="shared" si="79"/>
        <v>0</v>
      </c>
      <c r="W314">
        <f t="shared" si="80"/>
        <v>0</v>
      </c>
      <c r="X314">
        <f t="shared" si="81"/>
        <v>0</v>
      </c>
      <c r="Y314">
        <f t="shared" si="82"/>
        <v>0</v>
      </c>
      <c r="Z314">
        <f t="shared" si="83"/>
        <v>280.01999040940444</v>
      </c>
      <c r="AA314">
        <f t="shared" si="84"/>
        <v>292.11892130862503</v>
      </c>
      <c r="AB314">
        <f t="shared" si="85"/>
        <v>0</v>
      </c>
      <c r="AC314">
        <f t="shared" si="86"/>
        <v>5.333218348731247</v>
      </c>
      <c r="AD314">
        <f t="shared" si="87"/>
        <v>500.46300308067532</v>
      </c>
      <c r="AE314">
        <f t="shared" si="88"/>
        <v>6.5109055164773208E-2</v>
      </c>
      <c r="AF314">
        <f t="shared" si="89"/>
        <v>1000</v>
      </c>
      <c r="AG314">
        <f t="shared" si="90"/>
        <v>324.80232408131701</v>
      </c>
      <c r="AH314">
        <f t="shared" si="91"/>
        <v>1937.1976759186821</v>
      </c>
      <c r="AI314" s="5">
        <f t="shared" si="74"/>
        <v>0.44208664898320088</v>
      </c>
      <c r="AJ314" s="5">
        <f t="shared" si="75"/>
        <v>0</v>
      </c>
      <c r="AK314" s="5">
        <f t="shared" si="76"/>
        <v>0.5162095806901934</v>
      </c>
    </row>
    <row r="315" spans="1:37" hidden="1" x14ac:dyDescent="0.3">
      <c r="A315">
        <v>5326588</v>
      </c>
      <c r="B315" t="s">
        <v>49</v>
      </c>
      <c r="C315">
        <v>4.333333333333333</v>
      </c>
      <c r="D315">
        <v>8167.8500833207563</v>
      </c>
      <c r="I315">
        <v>1079.88420459747</v>
      </c>
      <c r="J315">
        <v>1103.2125151732321</v>
      </c>
      <c r="K315">
        <v>0</v>
      </c>
      <c r="L315">
        <v>26.220979397088229</v>
      </c>
      <c r="M315">
        <v>2810.9334678328032</v>
      </c>
      <c r="N315">
        <v>0.16100890009427191</v>
      </c>
      <c r="O315">
        <v>3525.1834628056781</v>
      </c>
      <c r="P315" s="2">
        <v>44606.291666666657</v>
      </c>
      <c r="Q315" s="2">
        <v>44606.472222222219</v>
      </c>
      <c r="R315">
        <v>7146.6721964952758</v>
      </c>
      <c r="S315">
        <v>7.5595197386694828</v>
      </c>
      <c r="T315">
        <f t="shared" si="77"/>
        <v>1.2292504430065754</v>
      </c>
      <c r="U315">
        <f t="shared" si="78"/>
        <v>2317</v>
      </c>
      <c r="V315">
        <f t="shared" si="79"/>
        <v>0</v>
      </c>
      <c r="W315">
        <f t="shared" si="80"/>
        <v>0</v>
      </c>
      <c r="X315">
        <f t="shared" si="81"/>
        <v>0</v>
      </c>
      <c r="Y315">
        <f t="shared" si="82"/>
        <v>0</v>
      </c>
      <c r="Z315">
        <f t="shared" si="83"/>
        <v>306.33418543782534</v>
      </c>
      <c r="AA315">
        <f t="shared" si="84"/>
        <v>312.95180146317551</v>
      </c>
      <c r="AB315">
        <f t="shared" si="85"/>
        <v>0</v>
      </c>
      <c r="AC315">
        <f t="shared" si="86"/>
        <v>7.4381885861393053</v>
      </c>
      <c r="AD315">
        <f t="shared" si="87"/>
        <v>797.38643321434211</v>
      </c>
      <c r="AE315">
        <f t="shared" si="88"/>
        <v>4.567390656205042E-2</v>
      </c>
      <c r="AF315">
        <f t="shared" si="89"/>
        <v>1000</v>
      </c>
      <c r="AG315">
        <f t="shared" si="90"/>
        <v>289.68077763894007</v>
      </c>
      <c r="AH315">
        <f t="shared" si="91"/>
        <v>2027.3192223610599</v>
      </c>
      <c r="AI315" s="5">
        <f t="shared" si="74"/>
        <v>0.43159257660768235</v>
      </c>
      <c r="AJ315" s="5">
        <f t="shared" si="75"/>
        <v>0</v>
      </c>
      <c r="AK315" s="5">
        <f t="shared" si="76"/>
        <v>0.49326222973182204</v>
      </c>
    </row>
    <row r="316" spans="1:37" hidden="1" x14ac:dyDescent="0.3">
      <c r="A316">
        <v>5326592</v>
      </c>
      <c r="B316" t="s">
        <v>32</v>
      </c>
      <c r="C316">
        <v>6.416666666666667</v>
      </c>
      <c r="D316">
        <v>17856.63788582003</v>
      </c>
      <c r="I316">
        <v>1774.8448817407409</v>
      </c>
      <c r="J316">
        <v>1880.517954656787</v>
      </c>
      <c r="K316">
        <v>0</v>
      </c>
      <c r="L316">
        <v>31.572301305331511</v>
      </c>
      <c r="M316">
        <v>4413.4940871835461</v>
      </c>
      <c r="N316">
        <v>3311.5762090817011</v>
      </c>
      <c r="O316">
        <v>8282.2995759833157</v>
      </c>
      <c r="P316" s="2">
        <v>44607.916666666657</v>
      </c>
      <c r="Q316" s="2">
        <v>44608.184027777781</v>
      </c>
      <c r="R316">
        <v>15755.63002285286</v>
      </c>
      <c r="S316">
        <v>7.7423936602474637</v>
      </c>
      <c r="T316">
        <f t="shared" si="77"/>
        <v>0.77474457519907425</v>
      </c>
      <c r="U316">
        <f t="shared" si="78"/>
        <v>2156.0000000000005</v>
      </c>
      <c r="V316">
        <f t="shared" si="79"/>
        <v>0</v>
      </c>
      <c r="W316">
        <f t="shared" si="80"/>
        <v>0</v>
      </c>
      <c r="X316">
        <f t="shared" si="81"/>
        <v>0</v>
      </c>
      <c r="Y316">
        <f t="shared" si="82"/>
        <v>0</v>
      </c>
      <c r="Z316">
        <f t="shared" si="83"/>
        <v>214.29373152443867</v>
      </c>
      <c r="AA316">
        <f t="shared" si="84"/>
        <v>227.0526364573721</v>
      </c>
      <c r="AB316">
        <f t="shared" si="85"/>
        <v>0</v>
      </c>
      <c r="AC316">
        <f t="shared" si="86"/>
        <v>3.8120211682373362</v>
      </c>
      <c r="AD316">
        <f t="shared" si="87"/>
        <v>532.8826911769313</v>
      </c>
      <c r="AE316">
        <f t="shared" si="88"/>
        <v>399.83777194977085</v>
      </c>
      <c r="AF316">
        <f t="shared" si="89"/>
        <v>1000</v>
      </c>
      <c r="AG316">
        <f t="shared" si="90"/>
        <v>253.6744588495194</v>
      </c>
      <c r="AH316">
        <f t="shared" si="91"/>
        <v>1902.3255411504811</v>
      </c>
      <c r="AI316" s="5">
        <f t="shared" si="74"/>
        <v>0.46382189239332094</v>
      </c>
      <c r="AJ316" s="5">
        <f t="shared" si="75"/>
        <v>0</v>
      </c>
      <c r="AK316" s="5">
        <f t="shared" si="76"/>
        <v>0.52567238275906447</v>
      </c>
    </row>
    <row r="317" spans="1:37" hidden="1" x14ac:dyDescent="0.3">
      <c r="A317">
        <v>5326594</v>
      </c>
      <c r="B317" t="s">
        <v>42</v>
      </c>
      <c r="C317">
        <v>8.3333333333333339</v>
      </c>
      <c r="D317">
        <v>23147.238856180069</v>
      </c>
      <c r="I317">
        <v>4486.1893954466796</v>
      </c>
      <c r="J317">
        <v>3150.7908632393351</v>
      </c>
      <c r="K317">
        <v>0</v>
      </c>
      <c r="L317">
        <v>-27.465274025168181</v>
      </c>
      <c r="M317">
        <v>2326.098679304424</v>
      </c>
      <c r="N317">
        <v>2255.5617223373511</v>
      </c>
      <c r="O317">
        <v>10736.196129953651</v>
      </c>
      <c r="P317" s="2">
        <v>44607.534722222219</v>
      </c>
      <c r="Q317" s="2">
        <v>44607.881944444453</v>
      </c>
      <c r="R317">
        <v>20408.601739420919</v>
      </c>
      <c r="S317">
        <v>7.9531902906446694</v>
      </c>
      <c r="T317">
        <f t="shared" si="77"/>
        <v>0.77619048985921513</v>
      </c>
      <c r="U317">
        <f t="shared" si="78"/>
        <v>2155.9999999999995</v>
      </c>
      <c r="V317">
        <f t="shared" si="79"/>
        <v>0</v>
      </c>
      <c r="W317">
        <f t="shared" si="80"/>
        <v>0</v>
      </c>
      <c r="X317">
        <f t="shared" si="81"/>
        <v>0</v>
      </c>
      <c r="Y317">
        <f t="shared" si="82"/>
        <v>0</v>
      </c>
      <c r="Z317">
        <f t="shared" si="83"/>
        <v>417.85650533435688</v>
      </c>
      <c r="AA317">
        <f t="shared" si="84"/>
        <v>293.47366842980142</v>
      </c>
      <c r="AB317">
        <f t="shared" si="85"/>
        <v>0</v>
      </c>
      <c r="AC317">
        <f t="shared" si="86"/>
        <v>-2.5581941399655443</v>
      </c>
      <c r="AD317">
        <f t="shared" si="87"/>
        <v>216.65948080202088</v>
      </c>
      <c r="AE317">
        <f t="shared" si="88"/>
        <v>210.08946698024681</v>
      </c>
      <c r="AF317">
        <f t="shared" si="89"/>
        <v>1000</v>
      </c>
      <c r="AG317">
        <f t="shared" si="90"/>
        <v>255.08449022446916</v>
      </c>
      <c r="AH317">
        <f t="shared" si="91"/>
        <v>1900.9155097755304</v>
      </c>
      <c r="AI317" s="5">
        <f t="shared" si="74"/>
        <v>0.463821892393321</v>
      </c>
      <c r="AJ317" s="5">
        <f t="shared" si="75"/>
        <v>0</v>
      </c>
      <c r="AK317" s="5">
        <f t="shared" si="76"/>
        <v>0.52606230779719665</v>
      </c>
    </row>
    <row r="318" spans="1:37" hidden="1" x14ac:dyDescent="0.3">
      <c r="A318">
        <v>5326596</v>
      </c>
      <c r="B318" t="s">
        <v>41</v>
      </c>
      <c r="C318">
        <v>24.333333333333329</v>
      </c>
      <c r="D318">
        <v>67774.135250311316</v>
      </c>
      <c r="I318">
        <v>7779.8213054033986</v>
      </c>
      <c r="J318">
        <v>8991.4269276940722</v>
      </c>
      <c r="K318">
        <v>0</v>
      </c>
      <c r="L318">
        <v>-0.32043481210308761</v>
      </c>
      <c r="M318">
        <v>27837.348846290541</v>
      </c>
      <c r="N318">
        <v>15970.58292732408</v>
      </c>
      <c r="O318">
        <v>31435.12766712028</v>
      </c>
      <c r="P318" s="2">
        <v>44608.15625</v>
      </c>
      <c r="Q318" s="2">
        <v>44609.166666666657</v>
      </c>
      <c r="R318">
        <v>59138.753976330947</v>
      </c>
      <c r="S318">
        <v>8.9065547432851719</v>
      </c>
      <c r="T318">
        <f t="shared" si="77"/>
        <v>0.77408094508185799</v>
      </c>
      <c r="U318">
        <f t="shared" si="78"/>
        <v>2155.9999999999995</v>
      </c>
      <c r="V318">
        <f t="shared" si="79"/>
        <v>0</v>
      </c>
      <c r="W318">
        <f t="shared" si="80"/>
        <v>0</v>
      </c>
      <c r="X318">
        <f t="shared" si="81"/>
        <v>0</v>
      </c>
      <c r="Y318">
        <f t="shared" si="82"/>
        <v>0</v>
      </c>
      <c r="Z318">
        <f t="shared" si="83"/>
        <v>247.48814090361526</v>
      </c>
      <c r="AA318">
        <f t="shared" si="84"/>
        <v>286.03118851331084</v>
      </c>
      <c r="AB318">
        <f t="shared" si="85"/>
        <v>0</v>
      </c>
      <c r="AC318">
        <f t="shared" si="86"/>
        <v>-1.0193526665337769E-2</v>
      </c>
      <c r="AD318">
        <f t="shared" si="87"/>
        <v>885.54909466479273</v>
      </c>
      <c r="AE318">
        <f t="shared" si="88"/>
        <v>508.04892846128269</v>
      </c>
      <c r="AF318">
        <f t="shared" si="89"/>
        <v>1000</v>
      </c>
      <c r="AG318">
        <f t="shared" si="90"/>
        <v>274.70482593307815</v>
      </c>
      <c r="AH318">
        <f t="shared" si="91"/>
        <v>1881.2951740669214</v>
      </c>
      <c r="AI318" s="5">
        <f t="shared" si="74"/>
        <v>0.463821892393321</v>
      </c>
      <c r="AJ318" s="5">
        <f t="shared" si="75"/>
        <v>0</v>
      </c>
      <c r="AK318" s="5">
        <f t="shared" si="76"/>
        <v>0.53154869782514413</v>
      </c>
    </row>
    <row r="319" spans="1:37" hidden="1" x14ac:dyDescent="0.3">
      <c r="A319">
        <v>5326590</v>
      </c>
      <c r="B319" t="s">
        <v>38</v>
      </c>
      <c r="C319">
        <v>5.916666666666667</v>
      </c>
      <c r="D319">
        <v>12817.076800442739</v>
      </c>
      <c r="I319">
        <v>1481.3166916025079</v>
      </c>
      <c r="J319">
        <v>1516.168443684837</v>
      </c>
      <c r="K319">
        <v>0</v>
      </c>
      <c r="L319">
        <v>48.027204320334249</v>
      </c>
      <c r="M319">
        <v>2017.0549760926281</v>
      </c>
      <c r="N319">
        <v>0.25931838141171071</v>
      </c>
      <c r="O319">
        <v>5666.2585324680567</v>
      </c>
      <c r="P319" s="2">
        <v>44607.291666666657</v>
      </c>
      <c r="Q319" s="2">
        <v>44607.538194444453</v>
      </c>
      <c r="R319">
        <v>12633.357645237331</v>
      </c>
      <c r="S319">
        <v>7.9015048499293066</v>
      </c>
      <c r="T319">
        <f t="shared" si="77"/>
        <v>1.0441928536729757</v>
      </c>
      <c r="U319">
        <f t="shared" si="78"/>
        <v>2261.9999999999991</v>
      </c>
      <c r="V319">
        <f t="shared" si="79"/>
        <v>0</v>
      </c>
      <c r="W319">
        <f t="shared" si="80"/>
        <v>0</v>
      </c>
      <c r="X319">
        <f t="shared" si="81"/>
        <v>0</v>
      </c>
      <c r="Y319">
        <f t="shared" si="82"/>
        <v>0</v>
      </c>
      <c r="Z319">
        <f t="shared" si="83"/>
        <v>261.42765691230994</v>
      </c>
      <c r="AA319">
        <f t="shared" si="84"/>
        <v>267.57840910312973</v>
      </c>
      <c r="AB319">
        <f t="shared" si="85"/>
        <v>0</v>
      </c>
      <c r="AC319">
        <f t="shared" si="86"/>
        <v>8.4759994703974435</v>
      </c>
      <c r="AD319">
        <f t="shared" si="87"/>
        <v>355.97651687348224</v>
      </c>
      <c r="AE319">
        <f t="shared" si="88"/>
        <v>4.5765363497941067E-2</v>
      </c>
      <c r="AF319">
        <f t="shared" si="89"/>
        <v>999.99999999999989</v>
      </c>
      <c r="AG319">
        <f t="shared" si="90"/>
        <v>32.423362639153311</v>
      </c>
      <c r="AH319">
        <f t="shared" si="91"/>
        <v>2229.5766373608458</v>
      </c>
      <c r="AI319" s="5">
        <f t="shared" si="74"/>
        <v>0.44208664898320088</v>
      </c>
      <c r="AJ319" s="5">
        <f t="shared" si="75"/>
        <v>0</v>
      </c>
      <c r="AK319" s="5">
        <f t="shared" si="76"/>
        <v>0.44851564339304434</v>
      </c>
    </row>
    <row r="320" spans="1:37" hidden="1" x14ac:dyDescent="0.3">
      <c r="A320">
        <v>5327047</v>
      </c>
      <c r="B320" t="s">
        <v>39</v>
      </c>
      <c r="C320">
        <v>1</v>
      </c>
      <c r="D320">
        <v>2530.121795506645</v>
      </c>
      <c r="I320">
        <v>290.72180099935707</v>
      </c>
      <c r="J320">
        <v>308.08131111283069</v>
      </c>
      <c r="K320">
        <v>0</v>
      </c>
      <c r="L320">
        <v>-17.906109320506399</v>
      </c>
      <c r="M320">
        <v>1007.372898924207</v>
      </c>
      <c r="N320">
        <v>519.93374420039277</v>
      </c>
      <c r="O320">
        <v>1118.5330660948921</v>
      </c>
      <c r="P320" s="2">
        <v>44609.25</v>
      </c>
      <c r="Q320" s="2">
        <v>44609.291666666657</v>
      </c>
      <c r="R320">
        <v>2229.3610769634838</v>
      </c>
      <c r="S320">
        <v>8.3587073541647143</v>
      </c>
      <c r="T320">
        <f t="shared" si="77"/>
        <v>0.89402810727024484</v>
      </c>
      <c r="U320">
        <f t="shared" si="78"/>
        <v>2261.9999999999991</v>
      </c>
      <c r="V320">
        <f t="shared" si="79"/>
        <v>0</v>
      </c>
      <c r="W320">
        <f t="shared" si="80"/>
        <v>0</v>
      </c>
      <c r="X320">
        <f t="shared" si="81"/>
        <v>0</v>
      </c>
      <c r="Y320">
        <f t="shared" si="82"/>
        <v>0</v>
      </c>
      <c r="Z320">
        <f t="shared" si="83"/>
        <v>259.91346148965198</v>
      </c>
      <c r="AA320">
        <f t="shared" si="84"/>
        <v>275.43335145953949</v>
      </c>
      <c r="AB320">
        <f t="shared" si="85"/>
        <v>0</v>
      </c>
      <c r="AC320">
        <f t="shared" si="86"/>
        <v>-16.008565024386424</v>
      </c>
      <c r="AD320">
        <f t="shared" si="87"/>
        <v>900.61968614054842</v>
      </c>
      <c r="AE320">
        <f t="shared" si="88"/>
        <v>464.83538123340873</v>
      </c>
      <c r="AF320">
        <f t="shared" si="89"/>
        <v>1000</v>
      </c>
      <c r="AG320">
        <f t="shared" si="90"/>
        <v>268.88853594038119</v>
      </c>
      <c r="AH320">
        <f t="shared" si="91"/>
        <v>1993.1114640596179</v>
      </c>
      <c r="AI320" s="5">
        <f t="shared" si="74"/>
        <v>0.44208664898320088</v>
      </c>
      <c r="AJ320" s="5">
        <f t="shared" si="75"/>
        <v>0</v>
      </c>
      <c r="AK320" s="5">
        <f t="shared" si="76"/>
        <v>0.50172808597627327</v>
      </c>
    </row>
    <row r="321" spans="1:37" hidden="1" x14ac:dyDescent="0.3">
      <c r="A321">
        <v>5326975</v>
      </c>
      <c r="B321" t="s">
        <v>57</v>
      </c>
      <c r="C321">
        <v>36.583333333333343</v>
      </c>
      <c r="D321">
        <v>92733.962502290888</v>
      </c>
      <c r="I321">
        <v>6666.176204249673</v>
      </c>
      <c r="J321">
        <v>10900.25101763981</v>
      </c>
      <c r="K321">
        <v>0</v>
      </c>
      <c r="L321">
        <v>36.561310744851028</v>
      </c>
      <c r="M321">
        <v>30779.130073172091</v>
      </c>
      <c r="N321">
        <v>18422.85863874705</v>
      </c>
      <c r="O321">
        <v>36901.696180776322</v>
      </c>
      <c r="P321" s="2">
        <v>44609.291666666657</v>
      </c>
      <c r="Q321" s="2">
        <v>44610.815972222219</v>
      </c>
      <c r="R321">
        <v>81700.665039084546</v>
      </c>
      <c r="S321">
        <v>8.4021452076338896</v>
      </c>
      <c r="T321">
        <f t="shared" si="77"/>
        <v>0.99137267712889499</v>
      </c>
      <c r="U321">
        <f t="shared" si="78"/>
        <v>2513</v>
      </c>
      <c r="V321">
        <f t="shared" si="79"/>
        <v>0</v>
      </c>
      <c r="W321">
        <f t="shared" si="80"/>
        <v>0</v>
      </c>
      <c r="X321">
        <f t="shared" si="81"/>
        <v>0</v>
      </c>
      <c r="Y321">
        <f t="shared" si="82"/>
        <v>0</v>
      </c>
      <c r="Z321">
        <f t="shared" si="83"/>
        <v>180.64687789940589</v>
      </c>
      <c r="AA321">
        <f t="shared" si="84"/>
        <v>295.38617857133136</v>
      </c>
      <c r="AB321">
        <f t="shared" si="85"/>
        <v>0</v>
      </c>
      <c r="AC321">
        <f t="shared" si="86"/>
        <v>0.99077588644549586</v>
      </c>
      <c r="AD321">
        <f t="shared" si="87"/>
        <v>834.08442588626224</v>
      </c>
      <c r="AE321">
        <f t="shared" si="88"/>
        <v>499.24151314064284</v>
      </c>
      <c r="AF321">
        <f t="shared" si="89"/>
        <v>1000</v>
      </c>
      <c r="AG321">
        <f t="shared" si="90"/>
        <v>298.99160757152595</v>
      </c>
      <c r="AH321">
        <f t="shared" si="91"/>
        <v>2214.0083924284741</v>
      </c>
      <c r="AI321" s="5">
        <f t="shared" si="74"/>
        <v>0.39793076004775174</v>
      </c>
      <c r="AJ321" s="5">
        <f t="shared" si="75"/>
        <v>0</v>
      </c>
      <c r="AK321" s="5">
        <f t="shared" si="76"/>
        <v>0.45166947127202728</v>
      </c>
    </row>
    <row r="322" spans="1:37" hidden="1" x14ac:dyDescent="0.3">
      <c r="A322">
        <v>5327279</v>
      </c>
      <c r="B322" t="s">
        <v>38</v>
      </c>
      <c r="C322">
        <v>18.333333333333329</v>
      </c>
      <c r="D322">
        <v>37396.364002048082</v>
      </c>
      <c r="I322">
        <v>-19463.077182828962</v>
      </c>
      <c r="J322">
        <v>4287.8380074332681</v>
      </c>
      <c r="K322">
        <v>0</v>
      </c>
      <c r="L322">
        <v>42.487591390688813</v>
      </c>
      <c r="M322">
        <v>16035.204788513969</v>
      </c>
      <c r="N322">
        <v>6624.789924905408</v>
      </c>
      <c r="O322">
        <v>16532.43324582143</v>
      </c>
      <c r="P322" s="2">
        <v>44610.8125</v>
      </c>
      <c r="Q322" s="2">
        <v>44611.579861111109</v>
      </c>
      <c r="R322">
        <v>36292.040555383734</v>
      </c>
      <c r="S322">
        <v>7.7126640717404653</v>
      </c>
      <c r="T322">
        <f t="shared" si="77"/>
        <v>1.1089313388255824</v>
      </c>
      <c r="U322">
        <f t="shared" si="78"/>
        <v>2262.0000000000005</v>
      </c>
      <c r="V322">
        <f t="shared" si="79"/>
        <v>0</v>
      </c>
      <c r="W322">
        <f t="shared" si="80"/>
        <v>0</v>
      </c>
      <c r="X322">
        <f t="shared" si="81"/>
        <v>0</v>
      </c>
      <c r="Y322">
        <f t="shared" si="82"/>
        <v>0</v>
      </c>
      <c r="Z322">
        <f t="shared" si="83"/>
        <v>-1177.2663402556459</v>
      </c>
      <c r="AA322">
        <f t="shared" si="84"/>
        <v>259.35916048637415</v>
      </c>
      <c r="AB322">
        <f t="shared" si="85"/>
        <v>0</v>
      </c>
      <c r="AC322">
        <f t="shared" si="86"/>
        <v>2.5699539056918645</v>
      </c>
      <c r="AD322">
        <f t="shared" si="87"/>
        <v>969.92406078922863</v>
      </c>
      <c r="AE322">
        <f t="shared" si="88"/>
        <v>400.71475422892286</v>
      </c>
      <c r="AF322">
        <f t="shared" si="89"/>
        <v>1000</v>
      </c>
      <c r="AG322">
        <f t="shared" si="90"/>
        <v>66.797393356689554</v>
      </c>
      <c r="AH322">
        <f t="shared" si="91"/>
        <v>2195.2026066433109</v>
      </c>
      <c r="AI322" s="5">
        <f t="shared" si="74"/>
        <v>0.44208664898320066</v>
      </c>
      <c r="AJ322" s="5">
        <f t="shared" si="75"/>
        <v>0</v>
      </c>
      <c r="AK322" s="5">
        <f t="shared" si="76"/>
        <v>0.45553881768075261</v>
      </c>
    </row>
    <row r="323" spans="1:37" hidden="1" x14ac:dyDescent="0.3">
      <c r="A323">
        <v>5327285</v>
      </c>
      <c r="B323" t="s">
        <v>41</v>
      </c>
      <c r="C323">
        <v>20.5</v>
      </c>
      <c r="D323">
        <v>51303.855889706363</v>
      </c>
      <c r="I323">
        <v>9102.7871176417502</v>
      </c>
      <c r="J323">
        <v>6028.9809944397712</v>
      </c>
      <c r="K323">
        <v>1286.465782059488</v>
      </c>
      <c r="L323">
        <v>1273.363350108212</v>
      </c>
      <c r="M323">
        <v>12428.700525773451</v>
      </c>
      <c r="N323">
        <v>9810.0141619145033</v>
      </c>
      <c r="O323">
        <v>23795.851525837828</v>
      </c>
      <c r="P323" s="2">
        <v>44611.690972222219</v>
      </c>
      <c r="Q323" s="2">
        <v>44612.628472222219</v>
      </c>
      <c r="R323">
        <v>52130.430423530037</v>
      </c>
      <c r="S323">
        <v>7.2062760014446132</v>
      </c>
      <c r="T323">
        <f t="shared" si="77"/>
        <v>0.86149470119784732</v>
      </c>
      <c r="U323">
        <f t="shared" si="78"/>
        <v>2156.0000000000005</v>
      </c>
      <c r="V323">
        <f t="shared" si="79"/>
        <v>0</v>
      </c>
      <c r="W323">
        <f t="shared" si="80"/>
        <v>0</v>
      </c>
      <c r="X323">
        <f t="shared" si="81"/>
        <v>0</v>
      </c>
      <c r="Y323">
        <f t="shared" si="82"/>
        <v>0</v>
      </c>
      <c r="Z323">
        <f t="shared" si="83"/>
        <v>382.53672526733629</v>
      </c>
      <c r="AA323">
        <f t="shared" si="84"/>
        <v>253.3626917235313</v>
      </c>
      <c r="AB323">
        <f t="shared" si="85"/>
        <v>54.062607537394804</v>
      </c>
      <c r="AC323">
        <f t="shared" si="86"/>
        <v>53.511989210622637</v>
      </c>
      <c r="AD323">
        <f t="shared" si="87"/>
        <v>522.30534857213308</v>
      </c>
      <c r="AE323">
        <f t="shared" si="88"/>
        <v>412.25732776415543</v>
      </c>
      <c r="AF323">
        <f t="shared" si="89"/>
        <v>1000</v>
      </c>
      <c r="AG323">
        <f t="shared" si="90"/>
        <v>-34.736077123618088</v>
      </c>
      <c r="AH323">
        <f t="shared" si="91"/>
        <v>2190.7360771236185</v>
      </c>
      <c r="AI323" s="5">
        <f t="shared" ref="AI323:AI386" si="92">IFERROR(O323/D323,0)</f>
        <v>0.46382189239332094</v>
      </c>
      <c r="AJ323" s="5">
        <f t="shared" ref="AJ323:AJ386" si="93">IFERROR(O323/(E323+H323),0)</f>
        <v>0</v>
      </c>
      <c r="AK323" s="5">
        <f t="shared" ref="AK323:AK386" si="94">IFERROR(O323/R323,0)</f>
        <v>0.4564675820343338</v>
      </c>
    </row>
    <row r="324" spans="1:37" hidden="1" x14ac:dyDescent="0.3">
      <c r="A324">
        <v>5327292</v>
      </c>
      <c r="B324" t="s">
        <v>32</v>
      </c>
      <c r="C324">
        <v>232.75</v>
      </c>
      <c r="D324">
        <v>555614.76237126475</v>
      </c>
      <c r="I324">
        <v>-15850.86181746544</v>
      </c>
      <c r="J324">
        <v>67141.302078010747</v>
      </c>
      <c r="K324">
        <v>3825.7809999593819</v>
      </c>
      <c r="L324">
        <v>-21554.985726100811</v>
      </c>
      <c r="M324">
        <v>203147.72077585841</v>
      </c>
      <c r="N324">
        <v>117733.80948374281</v>
      </c>
      <c r="O324">
        <v>257706.29052470531</v>
      </c>
      <c r="P324" s="2">
        <v>44621.71875</v>
      </c>
      <c r="Q324" s="2">
        <v>44637.878472222219</v>
      </c>
      <c r="R324">
        <v>847809.56787055463</v>
      </c>
      <c r="S324">
        <v>7.5427959199301799</v>
      </c>
      <c r="T324">
        <f t="shared" ref="T324:T387" si="95">1000*C324/$O324</f>
        <v>0.90315994819570444</v>
      </c>
      <c r="U324">
        <f t="shared" ref="U324:U387" si="96">1000*D324/$O324</f>
        <v>2156</v>
      </c>
      <c r="V324">
        <f t="shared" ref="V324:V387" si="97">1000*E324/$O324</f>
        <v>0</v>
      </c>
      <c r="W324">
        <f t="shared" ref="W324:W387" si="98">1000*F324/$O324</f>
        <v>0</v>
      </c>
      <c r="X324">
        <f t="shared" ref="X324:X387" si="99">1000*G324/$O324</f>
        <v>0</v>
      </c>
      <c r="Y324">
        <f t="shared" ref="Y324:Y387" si="100">1000*H324/$O324</f>
        <v>0</v>
      </c>
      <c r="Z324">
        <f t="shared" ref="Z324:Z387" si="101">1000*I324/$O324</f>
        <v>-61.507469550673925</v>
      </c>
      <c r="AA324">
        <f t="shared" ref="AA324:AA387" si="102">1000*J324/$O324</f>
        <v>260.53419938375225</v>
      </c>
      <c r="AB324">
        <f t="shared" ref="AB324:AB387" si="103">1000*K324/$O324</f>
        <v>14.845508785097424</v>
      </c>
      <c r="AC324">
        <f t="shared" ref="AC324:AC387" si="104">1000*L324/$O324</f>
        <v>-83.641674722854376</v>
      </c>
      <c r="AD324">
        <f t="shared" ref="AD324:AD387" si="105">1000*M324/$O324</f>
        <v>788.2916647561749</v>
      </c>
      <c r="AE324">
        <f t="shared" ref="AE324:AE387" si="106">1000*N324/$O324</f>
        <v>456.85268001813142</v>
      </c>
      <c r="AF324">
        <f t="shared" ref="AF324:AF387" si="107">1000*O324/$O324</f>
        <v>1000</v>
      </c>
      <c r="AG324">
        <f t="shared" ref="AG324:AG387" si="108">U324-AH324</f>
        <v>-1133.8287664781642</v>
      </c>
      <c r="AH324">
        <f t="shared" ref="AH324:AH387" si="109">1000*R324/O324</f>
        <v>3289.8287664781642</v>
      </c>
      <c r="AI324" s="5">
        <f t="shared" si="92"/>
        <v>0.46382189239332089</v>
      </c>
      <c r="AJ324" s="5">
        <f t="shared" si="93"/>
        <v>0</v>
      </c>
      <c r="AK324" s="5">
        <f t="shared" si="94"/>
        <v>0.3039671882590177</v>
      </c>
    </row>
    <row r="325" spans="1:37" hidden="1" x14ac:dyDescent="0.3">
      <c r="A325">
        <v>5327283</v>
      </c>
      <c r="B325" t="s">
        <v>42</v>
      </c>
      <c r="C325">
        <v>56.499999999999993</v>
      </c>
      <c r="D325">
        <v>143872.8969977698</v>
      </c>
      <c r="I325">
        <v>-10293.11434643589</v>
      </c>
      <c r="J325">
        <v>20641.866344407608</v>
      </c>
      <c r="K325">
        <v>0</v>
      </c>
      <c r="L325">
        <v>71.508555990291711</v>
      </c>
      <c r="M325">
        <v>50323.079235456491</v>
      </c>
      <c r="N325">
        <v>25140.637630161891</v>
      </c>
      <c r="O325">
        <v>66731.39934961492</v>
      </c>
      <c r="P325" s="2">
        <v>44612.916666666657</v>
      </c>
      <c r="Q325" s="2">
        <v>44615.756944444453</v>
      </c>
      <c r="R325">
        <v>152791.78803978991</v>
      </c>
      <c r="S325">
        <v>7.8178066232502603</v>
      </c>
      <c r="T325">
        <f t="shared" si="95"/>
        <v>0.8466778840346022</v>
      </c>
      <c r="U325">
        <f t="shared" si="96"/>
        <v>2156.0000000000005</v>
      </c>
      <c r="V325">
        <f t="shared" si="97"/>
        <v>0</v>
      </c>
      <c r="W325">
        <f t="shared" si="98"/>
        <v>0</v>
      </c>
      <c r="X325">
        <f t="shared" si="99"/>
        <v>0</v>
      </c>
      <c r="Y325">
        <f t="shared" si="100"/>
        <v>0</v>
      </c>
      <c r="Z325">
        <f t="shared" si="101"/>
        <v>-154.24694291976192</v>
      </c>
      <c r="AA325">
        <f t="shared" si="102"/>
        <v>309.32764104439121</v>
      </c>
      <c r="AB325">
        <f t="shared" si="103"/>
        <v>0</v>
      </c>
      <c r="AC325">
        <f t="shared" si="104"/>
        <v>1.0715878385173465</v>
      </c>
      <c r="AD325">
        <f t="shared" si="105"/>
        <v>754.11395124215812</v>
      </c>
      <c r="AE325">
        <f t="shared" si="106"/>
        <v>376.74374994665789</v>
      </c>
      <c r="AF325">
        <f t="shared" si="107"/>
        <v>1000</v>
      </c>
      <c r="AG325">
        <f t="shared" si="108"/>
        <v>-133.65358929898684</v>
      </c>
      <c r="AH325">
        <f t="shared" si="109"/>
        <v>2289.6535892989873</v>
      </c>
      <c r="AI325" s="5">
        <f t="shared" si="92"/>
        <v>0.46382189239332083</v>
      </c>
      <c r="AJ325" s="5">
        <f t="shared" si="93"/>
        <v>0</v>
      </c>
      <c r="AK325" s="5">
        <f t="shared" si="94"/>
        <v>0.43674728992789053</v>
      </c>
    </row>
    <row r="326" spans="1:37" hidden="1" x14ac:dyDescent="0.3">
      <c r="A326">
        <v>5327600</v>
      </c>
      <c r="B326" t="s">
        <v>40</v>
      </c>
      <c r="C326">
        <v>13.41666666666667</v>
      </c>
      <c r="D326">
        <v>34159.320018407438</v>
      </c>
      <c r="I326">
        <v>4598.7240310011257</v>
      </c>
      <c r="J326">
        <v>4540.2413882918181</v>
      </c>
      <c r="K326">
        <v>0</v>
      </c>
      <c r="L326">
        <v>32.624444705710687</v>
      </c>
      <c r="M326">
        <v>12377.82394029062</v>
      </c>
      <c r="N326">
        <v>6222.3034084241408</v>
      </c>
      <c r="O326">
        <v>22152.607015828431</v>
      </c>
      <c r="P326" s="2">
        <v>44616.291666666657</v>
      </c>
      <c r="Q326" s="2">
        <v>44616.850694444453</v>
      </c>
      <c r="R326">
        <v>30067.961082322421</v>
      </c>
      <c r="S326">
        <v>8.4063167685705924</v>
      </c>
      <c r="T326">
        <f t="shared" si="95"/>
        <v>0.60564730178620618</v>
      </c>
      <c r="U326">
        <f t="shared" si="96"/>
        <v>1541.9999999999998</v>
      </c>
      <c r="V326">
        <f t="shared" si="97"/>
        <v>0</v>
      </c>
      <c r="W326">
        <f t="shared" si="98"/>
        <v>0</v>
      </c>
      <c r="X326">
        <f t="shared" si="99"/>
        <v>0</v>
      </c>
      <c r="Y326">
        <f t="shared" si="100"/>
        <v>0</v>
      </c>
      <c r="Z326">
        <f t="shared" si="101"/>
        <v>207.59290442498508</v>
      </c>
      <c r="AA326">
        <f t="shared" si="102"/>
        <v>204.95291525045945</v>
      </c>
      <c r="AB326">
        <f t="shared" si="103"/>
        <v>0</v>
      </c>
      <c r="AC326">
        <f t="shared" si="104"/>
        <v>1.4727135583816362</v>
      </c>
      <c r="AD326">
        <f t="shared" si="105"/>
        <v>558.75247240410329</v>
      </c>
      <c r="AE326">
        <f t="shared" si="106"/>
        <v>280.88357293469767</v>
      </c>
      <c r="AF326">
        <f t="shared" si="107"/>
        <v>1000</v>
      </c>
      <c r="AG326">
        <f t="shared" si="108"/>
        <v>184.68972672885252</v>
      </c>
      <c r="AH326">
        <f t="shared" si="109"/>
        <v>1357.3102732711473</v>
      </c>
      <c r="AI326" s="5">
        <f t="shared" si="92"/>
        <v>0.64850843060959795</v>
      </c>
      <c r="AJ326" s="5">
        <f t="shared" si="93"/>
        <v>0</v>
      </c>
      <c r="AK326" s="5">
        <f t="shared" si="94"/>
        <v>0.73675122018341344</v>
      </c>
    </row>
    <row r="327" spans="1:37" hidden="1" x14ac:dyDescent="0.3">
      <c r="A327">
        <v>5327693</v>
      </c>
      <c r="B327" t="s">
        <v>42</v>
      </c>
      <c r="C327">
        <v>10.33333333333333</v>
      </c>
      <c r="D327">
        <v>19893.889511837089</v>
      </c>
      <c r="I327">
        <v>2529.619630827558</v>
      </c>
      <c r="J327">
        <v>2547.8568060550328</v>
      </c>
      <c r="K327">
        <v>684.21825316011234</v>
      </c>
      <c r="L327">
        <v>728.79687156184764</v>
      </c>
      <c r="M327">
        <v>4987.1661832472109</v>
      </c>
      <c r="N327">
        <v>3466.3453915912228</v>
      </c>
      <c r="O327">
        <v>9227.2214804439209</v>
      </c>
      <c r="P327" s="2">
        <v>44621.291666666657</v>
      </c>
      <c r="Q327" s="2">
        <v>44621.722222222219</v>
      </c>
      <c r="R327">
        <v>17941.95021097047</v>
      </c>
      <c r="S327">
        <v>8.8629098247192264</v>
      </c>
      <c r="T327">
        <f t="shared" si="95"/>
        <v>1.1198748567197279</v>
      </c>
      <c r="U327">
        <f t="shared" si="96"/>
        <v>2155.9999999999995</v>
      </c>
      <c r="V327">
        <f t="shared" si="97"/>
        <v>0</v>
      </c>
      <c r="W327">
        <f t="shared" si="98"/>
        <v>0</v>
      </c>
      <c r="X327">
        <f t="shared" si="99"/>
        <v>0</v>
      </c>
      <c r="Y327">
        <f t="shared" si="100"/>
        <v>0</v>
      </c>
      <c r="Z327">
        <f t="shared" si="101"/>
        <v>274.14749241565386</v>
      </c>
      <c r="AA327">
        <f t="shared" si="102"/>
        <v>276.12394602805779</v>
      </c>
      <c r="AB327">
        <f t="shared" si="103"/>
        <v>74.152143698971301</v>
      </c>
      <c r="AC327">
        <f t="shared" si="104"/>
        <v>78.983350850139701</v>
      </c>
      <c r="AD327">
        <f t="shared" si="105"/>
        <v>540.48406595820427</v>
      </c>
      <c r="AE327">
        <f t="shared" si="106"/>
        <v>375.66513374993326</v>
      </c>
      <c r="AF327">
        <f t="shared" si="107"/>
        <v>1000</v>
      </c>
      <c r="AG327">
        <f t="shared" si="108"/>
        <v>211.54139466615607</v>
      </c>
      <c r="AH327">
        <f t="shared" si="109"/>
        <v>1944.4586053338435</v>
      </c>
      <c r="AI327" s="5">
        <f t="shared" si="92"/>
        <v>0.46382189239332106</v>
      </c>
      <c r="AJ327" s="5">
        <f t="shared" si="93"/>
        <v>0</v>
      </c>
      <c r="AK327" s="5">
        <f t="shared" si="94"/>
        <v>0.51428196890224376</v>
      </c>
    </row>
    <row r="328" spans="1:37" hidden="1" x14ac:dyDescent="0.3">
      <c r="A328">
        <v>5327792</v>
      </c>
      <c r="B328" t="s">
        <v>38</v>
      </c>
      <c r="C328">
        <v>19.416666666666671</v>
      </c>
      <c r="D328">
        <v>48952.551409298132</v>
      </c>
      <c r="I328">
        <v>5876.0125516016187</v>
      </c>
      <c r="J328">
        <v>5835.7504735353714</v>
      </c>
      <c r="K328">
        <v>938.35919613492797</v>
      </c>
      <c r="L328">
        <v>916.22003105491967</v>
      </c>
      <c r="M328">
        <v>10862.891019678311</v>
      </c>
      <c r="N328">
        <v>5707.6491210073491</v>
      </c>
      <c r="O328">
        <v>21641.269411714471</v>
      </c>
      <c r="P328" s="2">
        <v>44618.642361111109</v>
      </c>
      <c r="Q328" s="2">
        <v>44619.451388888891</v>
      </c>
      <c r="R328">
        <v>43149.276861539329</v>
      </c>
      <c r="S328">
        <v>8.2163597667097275</v>
      </c>
      <c r="T328">
        <f t="shared" si="95"/>
        <v>0.89720553343124976</v>
      </c>
      <c r="U328">
        <f t="shared" si="96"/>
        <v>2262</v>
      </c>
      <c r="V328">
        <f t="shared" si="97"/>
        <v>0</v>
      </c>
      <c r="W328">
        <f t="shared" si="98"/>
        <v>0</v>
      </c>
      <c r="X328">
        <f t="shared" si="99"/>
        <v>0</v>
      </c>
      <c r="Y328">
        <f t="shared" si="100"/>
        <v>0</v>
      </c>
      <c r="Z328">
        <f t="shared" si="101"/>
        <v>271.51884853949088</v>
      </c>
      <c r="AA328">
        <f t="shared" si="102"/>
        <v>269.65841802128602</v>
      </c>
      <c r="AB328">
        <f t="shared" si="103"/>
        <v>43.359711405237249</v>
      </c>
      <c r="AC328">
        <f t="shared" si="104"/>
        <v>42.336704637065679</v>
      </c>
      <c r="AD328">
        <f t="shared" si="105"/>
        <v>501.95258018451551</v>
      </c>
      <c r="AE328">
        <f t="shared" si="106"/>
        <v>263.73910940352624</v>
      </c>
      <c r="AF328">
        <f t="shared" si="107"/>
        <v>1000</v>
      </c>
      <c r="AG328">
        <f t="shared" si="108"/>
        <v>268.15777010832289</v>
      </c>
      <c r="AH328">
        <f t="shared" si="109"/>
        <v>1993.8422298916771</v>
      </c>
      <c r="AI328" s="5">
        <f t="shared" si="92"/>
        <v>0.44208664898320071</v>
      </c>
      <c r="AJ328" s="5">
        <f t="shared" si="93"/>
        <v>0</v>
      </c>
      <c r="AK328" s="5">
        <f t="shared" si="94"/>
        <v>0.50154419693193508</v>
      </c>
    </row>
    <row r="329" spans="1:37" hidden="1" x14ac:dyDescent="0.3">
      <c r="A329">
        <v>5328131</v>
      </c>
      <c r="B329" t="s">
        <v>39</v>
      </c>
      <c r="C329">
        <v>13.5</v>
      </c>
      <c r="D329">
        <v>30554.18441370855</v>
      </c>
      <c r="I329">
        <v>3900.9575751866728</v>
      </c>
      <c r="J329">
        <v>3770.6734652692248</v>
      </c>
      <c r="K329">
        <v>2266.3080090774911</v>
      </c>
      <c r="L329">
        <v>2494.1431902984868</v>
      </c>
      <c r="M329">
        <v>7475.519014484551</v>
      </c>
      <c r="N329">
        <v>4246.3282810651071</v>
      </c>
      <c r="O329">
        <v>13507.59699987115</v>
      </c>
      <c r="P329" s="2">
        <v>44623.15625</v>
      </c>
      <c r="Q329" s="2">
        <v>44625.190972222219</v>
      </c>
      <c r="R329">
        <v>102580.44459092359</v>
      </c>
      <c r="S329">
        <v>8.4252982081261329</v>
      </c>
      <c r="T329">
        <f t="shared" si="95"/>
        <v>0.99943757576782732</v>
      </c>
      <c r="U329">
        <f t="shared" si="96"/>
        <v>2262.0000000000005</v>
      </c>
      <c r="V329">
        <f t="shared" si="97"/>
        <v>0</v>
      </c>
      <c r="W329">
        <f t="shared" si="98"/>
        <v>0</v>
      </c>
      <c r="X329">
        <f t="shared" si="99"/>
        <v>0</v>
      </c>
      <c r="Y329">
        <f t="shared" si="100"/>
        <v>0</v>
      </c>
      <c r="Z329">
        <f t="shared" si="101"/>
        <v>288.79730237908967</v>
      </c>
      <c r="AA329">
        <f t="shared" si="102"/>
        <v>279.15205534375906</v>
      </c>
      <c r="AB329">
        <f t="shared" si="103"/>
        <v>167.78025055819401</v>
      </c>
      <c r="AC329">
        <f t="shared" si="104"/>
        <v>184.64743879479664</v>
      </c>
      <c r="AD329">
        <f t="shared" si="105"/>
        <v>553.4307112179805</v>
      </c>
      <c r="AE329">
        <f t="shared" si="106"/>
        <v>314.3659291216353</v>
      </c>
      <c r="AF329">
        <f t="shared" si="107"/>
        <v>1000</v>
      </c>
      <c r="AG329">
        <f t="shared" si="108"/>
        <v>-5332.2778417139707</v>
      </c>
      <c r="AH329">
        <f t="shared" si="109"/>
        <v>7594.2778417139716</v>
      </c>
      <c r="AI329" s="5">
        <f t="shared" si="92"/>
        <v>0.4420866489832006</v>
      </c>
      <c r="AJ329" s="5">
        <f t="shared" si="93"/>
        <v>0</v>
      </c>
      <c r="AK329" s="5">
        <f t="shared" si="94"/>
        <v>0.13167808985170176</v>
      </c>
    </row>
    <row r="330" spans="1:37" hidden="1" x14ac:dyDescent="0.3">
      <c r="A330">
        <v>5328134</v>
      </c>
      <c r="B330" t="s">
        <v>38</v>
      </c>
      <c r="C330">
        <v>5.833333333333333</v>
      </c>
      <c r="D330">
        <v>14739.20061681277</v>
      </c>
      <c r="I330">
        <v>1626.8942569456681</v>
      </c>
      <c r="J330">
        <v>1648.465633184886</v>
      </c>
      <c r="K330">
        <v>1.03233710106383</v>
      </c>
      <c r="L330">
        <v>-7.0944658709564123</v>
      </c>
      <c r="M330">
        <v>4098.1179853598214</v>
      </c>
      <c r="N330">
        <v>3026.6096037563598</v>
      </c>
      <c r="O330">
        <v>6516.003809377883</v>
      </c>
      <c r="P330" s="2">
        <v>44623.291666666657</v>
      </c>
      <c r="Q330" s="2">
        <v>44623.534722222219</v>
      </c>
      <c r="R330">
        <v>12989.5656244724</v>
      </c>
      <c r="S330">
        <v>8.178062764401945</v>
      </c>
      <c r="T330">
        <f t="shared" si="95"/>
        <v>0.89523172545386709</v>
      </c>
      <c r="U330">
        <f t="shared" si="96"/>
        <v>2261.9999999999995</v>
      </c>
      <c r="V330">
        <f t="shared" si="97"/>
        <v>0</v>
      </c>
      <c r="W330">
        <f t="shared" si="98"/>
        <v>0</v>
      </c>
      <c r="X330">
        <f t="shared" si="99"/>
        <v>0</v>
      </c>
      <c r="Y330">
        <f t="shared" si="100"/>
        <v>0</v>
      </c>
      <c r="Z330">
        <f t="shared" si="101"/>
        <v>249.6766890473927</v>
      </c>
      <c r="AA330">
        <f t="shared" si="102"/>
        <v>252.98721139671551</v>
      </c>
      <c r="AB330">
        <f t="shared" si="103"/>
        <v>0.15843101558321412</v>
      </c>
      <c r="AC330">
        <f t="shared" si="104"/>
        <v>-1.0887755867708366</v>
      </c>
      <c r="AD330">
        <f t="shared" si="105"/>
        <v>628.93118316809125</v>
      </c>
      <c r="AE330">
        <f t="shared" si="106"/>
        <v>464.4886179164659</v>
      </c>
      <c r="AF330">
        <f t="shared" si="107"/>
        <v>999.99999999999989</v>
      </c>
      <c r="AG330">
        <f t="shared" si="108"/>
        <v>268.51350053268538</v>
      </c>
      <c r="AH330">
        <f t="shared" si="109"/>
        <v>1993.4864994673142</v>
      </c>
      <c r="AI330" s="5">
        <f t="shared" si="92"/>
        <v>0.44208664898320077</v>
      </c>
      <c r="AJ330" s="5">
        <f t="shared" si="93"/>
        <v>0</v>
      </c>
      <c r="AK330" s="5">
        <f t="shared" si="94"/>
        <v>0.50163369567198635</v>
      </c>
    </row>
    <row r="331" spans="1:37" hidden="1" x14ac:dyDescent="0.3">
      <c r="A331">
        <v>5328332</v>
      </c>
      <c r="B331" t="s">
        <v>38</v>
      </c>
      <c r="C331">
        <v>5.1666666666666661</v>
      </c>
      <c r="D331">
        <v>12921.972408414709</v>
      </c>
      <c r="I331">
        <v>1361.1856977632331</v>
      </c>
      <c r="J331">
        <v>1363.8620064563811</v>
      </c>
      <c r="K331">
        <v>246.4282739667897</v>
      </c>
      <c r="L331">
        <v>267.88079408371959</v>
      </c>
      <c r="M331">
        <v>5390.5913354755703</v>
      </c>
      <c r="N331">
        <v>3030.502836052352</v>
      </c>
      <c r="O331">
        <v>5712.6314802894394</v>
      </c>
      <c r="P331" s="2">
        <v>44625.21875</v>
      </c>
      <c r="Q331" s="2">
        <v>44625.40625</v>
      </c>
      <c r="R331">
        <v>10390.17368335969</v>
      </c>
      <c r="S331">
        <v>8.2622718173801672</v>
      </c>
      <c r="T331">
        <f t="shared" si="95"/>
        <v>0.90442849052900731</v>
      </c>
      <c r="U331">
        <f t="shared" si="96"/>
        <v>2261.9999999999995</v>
      </c>
      <c r="V331">
        <f t="shared" si="97"/>
        <v>0</v>
      </c>
      <c r="W331">
        <f t="shared" si="98"/>
        <v>0</v>
      </c>
      <c r="X331">
        <f t="shared" si="99"/>
        <v>0</v>
      </c>
      <c r="Y331">
        <f t="shared" si="100"/>
        <v>0</v>
      </c>
      <c r="Z331">
        <f t="shared" si="101"/>
        <v>238.27647599180796</v>
      </c>
      <c r="AA331">
        <f t="shared" si="102"/>
        <v>238.74496563662092</v>
      </c>
      <c r="AB331">
        <f t="shared" si="103"/>
        <v>43.137435841442382</v>
      </c>
      <c r="AC331">
        <f t="shared" si="104"/>
        <v>46.89271398093878</v>
      </c>
      <c r="AD331">
        <f t="shared" si="105"/>
        <v>943.62665508443536</v>
      </c>
      <c r="AE331">
        <f t="shared" si="106"/>
        <v>530.49156881703959</v>
      </c>
      <c r="AF331">
        <f t="shared" si="107"/>
        <v>1000</v>
      </c>
      <c r="AG331">
        <f t="shared" si="108"/>
        <v>443.19307726931152</v>
      </c>
      <c r="AH331">
        <f t="shared" si="109"/>
        <v>1818.806922730688</v>
      </c>
      <c r="AI331" s="5">
        <f t="shared" si="92"/>
        <v>0.44208664898320083</v>
      </c>
      <c r="AJ331" s="5">
        <f t="shared" si="93"/>
        <v>0</v>
      </c>
      <c r="AK331" s="5">
        <f t="shared" si="94"/>
        <v>0.54981097086360209</v>
      </c>
    </row>
    <row r="332" spans="1:37" hidden="1" x14ac:dyDescent="0.3">
      <c r="A332">
        <v>5328119</v>
      </c>
      <c r="B332" t="s">
        <v>42</v>
      </c>
      <c r="C332">
        <v>20.5</v>
      </c>
      <c r="D332">
        <v>56222.232037994327</v>
      </c>
      <c r="I332">
        <v>8128.9283243804039</v>
      </c>
      <c r="J332">
        <v>8369.1338431162731</v>
      </c>
      <c r="K332">
        <v>0</v>
      </c>
      <c r="L332">
        <v>51.850608402041587</v>
      </c>
      <c r="M332">
        <v>20447.624145429982</v>
      </c>
      <c r="N332">
        <v>12216.32115718786</v>
      </c>
      <c r="O332">
        <v>26077.10205843893</v>
      </c>
      <c r="P332" s="2">
        <v>44626.958333333343</v>
      </c>
      <c r="Q332" s="2">
        <v>44627.8125</v>
      </c>
      <c r="R332">
        <v>49554.106038624101</v>
      </c>
      <c r="S332">
        <v>7.7274173344469226</v>
      </c>
      <c r="T332">
        <f t="shared" si="95"/>
        <v>0.7861302975330382</v>
      </c>
      <c r="U332">
        <f t="shared" si="96"/>
        <v>2155.9999999999995</v>
      </c>
      <c r="V332">
        <f t="shared" si="97"/>
        <v>0</v>
      </c>
      <c r="W332">
        <f t="shared" si="98"/>
        <v>0</v>
      </c>
      <c r="X332">
        <f t="shared" si="99"/>
        <v>0</v>
      </c>
      <c r="Y332">
        <f t="shared" si="100"/>
        <v>0</v>
      </c>
      <c r="Z332">
        <f t="shared" si="101"/>
        <v>311.72667523267847</v>
      </c>
      <c r="AA332">
        <f t="shared" si="102"/>
        <v>320.93803308208857</v>
      </c>
      <c r="AB332">
        <f t="shared" si="103"/>
        <v>0</v>
      </c>
      <c r="AC332">
        <f t="shared" si="104"/>
        <v>1.9883577663593173</v>
      </c>
      <c r="AD332">
        <f t="shared" si="105"/>
        <v>784.12179772149307</v>
      </c>
      <c r="AE332">
        <f t="shared" si="106"/>
        <v>468.46927736874358</v>
      </c>
      <c r="AF332">
        <f t="shared" si="107"/>
        <v>1000</v>
      </c>
      <c r="AG332">
        <f t="shared" si="108"/>
        <v>255.70809150598529</v>
      </c>
      <c r="AH332">
        <f t="shared" si="109"/>
        <v>1900.2919084940143</v>
      </c>
      <c r="AI332" s="5">
        <f t="shared" si="92"/>
        <v>0.463821892393321</v>
      </c>
      <c r="AJ332" s="5">
        <f t="shared" si="93"/>
        <v>0</v>
      </c>
      <c r="AK332" s="5">
        <f t="shared" si="94"/>
        <v>0.5262349408162782</v>
      </c>
    </row>
    <row r="333" spans="1:37" hidden="1" x14ac:dyDescent="0.3">
      <c r="A333">
        <v>5328631</v>
      </c>
      <c r="B333" t="s">
        <v>46</v>
      </c>
      <c r="C333">
        <v>8.6666666666666661</v>
      </c>
      <c r="D333">
        <v>16087.510856748369</v>
      </c>
      <c r="I333">
        <v>-9215.7287079547204</v>
      </c>
      <c r="J333">
        <v>2700.8950314902158</v>
      </c>
      <c r="K333">
        <v>10.783125</v>
      </c>
      <c r="L333">
        <v>1.0274286910956221</v>
      </c>
      <c r="M333">
        <v>4256.1319525554172</v>
      </c>
      <c r="N333">
        <v>2814.8020163503761</v>
      </c>
      <c r="O333">
        <v>6943.2502618680919</v>
      </c>
      <c r="P333" s="2">
        <v>44629.144444444442</v>
      </c>
      <c r="Q333" s="2">
        <v>44629.503472222219</v>
      </c>
      <c r="R333">
        <v>14240.811892300349</v>
      </c>
      <c r="S333">
        <v>7.6001476635873209</v>
      </c>
      <c r="T333">
        <f t="shared" si="95"/>
        <v>1.2482146458501535</v>
      </c>
      <c r="U333">
        <f t="shared" si="96"/>
        <v>2317</v>
      </c>
      <c r="V333">
        <f t="shared" si="97"/>
        <v>0</v>
      </c>
      <c r="W333">
        <f t="shared" si="98"/>
        <v>0</v>
      </c>
      <c r="X333">
        <f t="shared" si="99"/>
        <v>0</v>
      </c>
      <c r="Y333">
        <f t="shared" si="100"/>
        <v>0</v>
      </c>
      <c r="Z333">
        <f t="shared" si="101"/>
        <v>-1327.2931783212455</v>
      </c>
      <c r="AA333">
        <f t="shared" si="102"/>
        <v>388.99577713961531</v>
      </c>
      <c r="AB333">
        <f t="shared" si="103"/>
        <v>1.5530370638114928</v>
      </c>
      <c r="AC333">
        <f t="shared" si="104"/>
        <v>0.14797517766833179</v>
      </c>
      <c r="AD333">
        <f t="shared" si="105"/>
        <v>612.98841205967108</v>
      </c>
      <c r="AE333">
        <f t="shared" si="106"/>
        <v>405.40120407427878</v>
      </c>
      <c r="AF333">
        <f t="shared" si="107"/>
        <v>1000</v>
      </c>
      <c r="AG333">
        <f t="shared" si="108"/>
        <v>265.97038775773035</v>
      </c>
      <c r="AH333">
        <f t="shared" si="109"/>
        <v>2051.0296122422696</v>
      </c>
      <c r="AI333" s="5">
        <f t="shared" si="92"/>
        <v>0.43159257660768235</v>
      </c>
      <c r="AJ333" s="5">
        <f t="shared" si="93"/>
        <v>0</v>
      </c>
      <c r="AK333" s="5">
        <f t="shared" si="94"/>
        <v>0.48756000109952535</v>
      </c>
    </row>
    <row r="334" spans="1:37" hidden="1" x14ac:dyDescent="0.3">
      <c r="A334">
        <v>5328583</v>
      </c>
      <c r="B334" t="s">
        <v>42</v>
      </c>
      <c r="C334">
        <v>58.916666666666671</v>
      </c>
      <c r="D334">
        <v>145044.8953521009</v>
      </c>
      <c r="I334">
        <v>19748.3972031782</v>
      </c>
      <c r="J334">
        <v>19757.798386187122</v>
      </c>
      <c r="K334">
        <v>639.20763965707954</v>
      </c>
      <c r="L334">
        <v>690.05823757619555</v>
      </c>
      <c r="M334">
        <v>54982.738305102692</v>
      </c>
      <c r="N334">
        <v>31876.942642806622</v>
      </c>
      <c r="O334">
        <v>67274.997844202662</v>
      </c>
      <c r="P334" s="2">
        <v>44630.170138888891</v>
      </c>
      <c r="Q334" s="2">
        <v>44635.493055555547</v>
      </c>
      <c r="R334">
        <v>265142.88732123713</v>
      </c>
      <c r="S334">
        <v>6.5542806330602188</v>
      </c>
      <c r="T334">
        <f t="shared" si="95"/>
        <v>0.87575872990895598</v>
      </c>
      <c r="U334">
        <f t="shared" si="96"/>
        <v>2155.9999999999995</v>
      </c>
      <c r="V334">
        <f t="shared" si="97"/>
        <v>0</v>
      </c>
      <c r="W334">
        <f t="shared" si="98"/>
        <v>0</v>
      </c>
      <c r="X334">
        <f t="shared" si="99"/>
        <v>0</v>
      </c>
      <c r="Y334">
        <f t="shared" si="100"/>
        <v>0</v>
      </c>
      <c r="Z334">
        <f t="shared" si="101"/>
        <v>293.54734798969588</v>
      </c>
      <c r="AA334">
        <f t="shared" si="102"/>
        <v>293.68709058813778</v>
      </c>
      <c r="AB334">
        <f t="shared" si="103"/>
        <v>9.5014144948376611</v>
      </c>
      <c r="AC334">
        <f t="shared" si="104"/>
        <v>10.257276249554877</v>
      </c>
      <c r="AD334">
        <f t="shared" si="105"/>
        <v>817.2833900706064</v>
      </c>
      <c r="AE334">
        <f t="shared" si="106"/>
        <v>473.83045208902342</v>
      </c>
      <c r="AF334">
        <f t="shared" si="107"/>
        <v>1000.0000000000001</v>
      </c>
      <c r="AG334">
        <f t="shared" si="108"/>
        <v>-1785.1801682292512</v>
      </c>
      <c r="AH334">
        <f t="shared" si="109"/>
        <v>3941.1801682292507</v>
      </c>
      <c r="AI334" s="5">
        <f t="shared" si="92"/>
        <v>0.46382189239332111</v>
      </c>
      <c r="AJ334" s="5">
        <f t="shared" si="93"/>
        <v>0</v>
      </c>
      <c r="AK334" s="5">
        <f t="shared" si="94"/>
        <v>0.25373110523117604</v>
      </c>
    </row>
    <row r="335" spans="1:37" hidden="1" x14ac:dyDescent="0.3">
      <c r="A335">
        <v>5329279</v>
      </c>
      <c r="B335" t="s">
        <v>38</v>
      </c>
      <c r="C335">
        <v>8.8333333333333321</v>
      </c>
      <c r="D335">
        <v>16179.469722732671</v>
      </c>
      <c r="I335">
        <v>1408.824587964649</v>
      </c>
      <c r="J335">
        <v>1453.6386322460651</v>
      </c>
      <c r="K335">
        <v>9299.1995768857614</v>
      </c>
      <c r="L335">
        <v>9576.8928987820982</v>
      </c>
      <c r="M335">
        <v>959.46564080816631</v>
      </c>
      <c r="N335">
        <v>9923.6252450413594</v>
      </c>
      <c r="O335">
        <v>7152.7275520480398</v>
      </c>
      <c r="P335" s="2">
        <v>44636.25</v>
      </c>
      <c r="Q335" s="2">
        <v>44639.586805555547</v>
      </c>
      <c r="R335">
        <v>165227.80795207221</v>
      </c>
      <c r="S335">
        <v>7.8822633626338652</v>
      </c>
      <c r="T335">
        <f t="shared" si="95"/>
        <v>1.2349601280149536</v>
      </c>
      <c r="U335">
        <f t="shared" si="96"/>
        <v>2262.0000000000005</v>
      </c>
      <c r="V335">
        <f t="shared" si="97"/>
        <v>0</v>
      </c>
      <c r="W335">
        <f t="shared" si="98"/>
        <v>0</v>
      </c>
      <c r="X335">
        <f t="shared" si="99"/>
        <v>0</v>
      </c>
      <c r="Y335">
        <f t="shared" si="100"/>
        <v>0</v>
      </c>
      <c r="Z335">
        <f t="shared" si="101"/>
        <v>196.96326718906838</v>
      </c>
      <c r="AA335">
        <f t="shared" si="102"/>
        <v>203.228575626349</v>
      </c>
      <c r="AB335">
        <f t="shared" si="103"/>
        <v>1300.091399989522</v>
      </c>
      <c r="AC335">
        <f t="shared" si="104"/>
        <v>1338.9148166338234</v>
      </c>
      <c r="AD335">
        <f t="shared" si="105"/>
        <v>134.13982761491351</v>
      </c>
      <c r="AE335">
        <f t="shared" si="106"/>
        <v>1387.3903588289097</v>
      </c>
      <c r="AF335">
        <f t="shared" si="107"/>
        <v>1000</v>
      </c>
      <c r="AG335">
        <f t="shared" si="108"/>
        <v>-20837.972248315615</v>
      </c>
      <c r="AH335">
        <f t="shared" si="109"/>
        <v>23099.972248315615</v>
      </c>
      <c r="AI335" s="5">
        <f t="shared" si="92"/>
        <v>0.4420866489832006</v>
      </c>
      <c r="AJ335" s="5">
        <f t="shared" si="93"/>
        <v>0</v>
      </c>
      <c r="AK335" s="5">
        <f t="shared" si="94"/>
        <v>4.3290095297535136E-2</v>
      </c>
    </row>
    <row r="336" spans="1:37" hidden="1" x14ac:dyDescent="0.3">
      <c r="A336">
        <v>5329282</v>
      </c>
      <c r="B336" t="s">
        <v>57</v>
      </c>
      <c r="C336">
        <v>17.5</v>
      </c>
      <c r="D336">
        <v>43462.875362970903</v>
      </c>
      <c r="I336">
        <v>-21768.715024072641</v>
      </c>
      <c r="J336">
        <v>5425.4368142411186</v>
      </c>
      <c r="K336">
        <v>0</v>
      </c>
      <c r="L336">
        <v>-48.52590970995152</v>
      </c>
      <c r="M336">
        <v>13958.695116002031</v>
      </c>
      <c r="N336">
        <v>9298.7318034153195</v>
      </c>
      <c r="O336">
        <v>17295.21502704771</v>
      </c>
      <c r="P336" s="2">
        <v>44636.291666666657</v>
      </c>
      <c r="Q336" s="2">
        <v>44637.020833333343</v>
      </c>
      <c r="R336">
        <v>37737.994801667497</v>
      </c>
      <c r="S336">
        <v>7.890859837375082</v>
      </c>
      <c r="T336">
        <f t="shared" si="95"/>
        <v>1.0118405566297979</v>
      </c>
      <c r="U336">
        <f t="shared" si="96"/>
        <v>2513.0000000000005</v>
      </c>
      <c r="V336">
        <f t="shared" si="97"/>
        <v>0</v>
      </c>
      <c r="W336">
        <f t="shared" si="98"/>
        <v>0</v>
      </c>
      <c r="X336">
        <f t="shared" si="99"/>
        <v>0</v>
      </c>
      <c r="Y336">
        <f t="shared" si="100"/>
        <v>0</v>
      </c>
      <c r="Z336">
        <f t="shared" si="101"/>
        <v>-1258.6553558327487</v>
      </c>
      <c r="AA336">
        <f t="shared" si="102"/>
        <v>313.69582891894464</v>
      </c>
      <c r="AB336">
        <f t="shared" si="103"/>
        <v>0</v>
      </c>
      <c r="AC336">
        <f t="shared" si="104"/>
        <v>-2.8057419138219806</v>
      </c>
      <c r="AD336">
        <f t="shared" si="105"/>
        <v>807.08421920006492</v>
      </c>
      <c r="AE336">
        <f t="shared" si="106"/>
        <v>537.64765508108349</v>
      </c>
      <c r="AF336">
        <f t="shared" si="107"/>
        <v>999.99999999999989</v>
      </c>
      <c r="AG336">
        <f t="shared" si="108"/>
        <v>331.00950478790583</v>
      </c>
      <c r="AH336">
        <f t="shared" si="109"/>
        <v>2181.9904952120946</v>
      </c>
      <c r="AI336" s="5">
        <f t="shared" si="92"/>
        <v>0.39793076004775163</v>
      </c>
      <c r="AJ336" s="5">
        <f t="shared" si="93"/>
        <v>0</v>
      </c>
      <c r="AK336" s="5">
        <f t="shared" si="94"/>
        <v>0.45829713841296893</v>
      </c>
    </row>
    <row r="337" spans="1:37" hidden="1" x14ac:dyDescent="0.3">
      <c r="A337">
        <v>5329336</v>
      </c>
      <c r="B337" t="s">
        <v>42</v>
      </c>
      <c r="C337">
        <v>31.916666666666661</v>
      </c>
      <c r="D337">
        <v>70252.230522303711</v>
      </c>
      <c r="I337">
        <v>9382.9646304184425</v>
      </c>
      <c r="J337">
        <v>9310.4100486188927</v>
      </c>
      <c r="K337">
        <v>16539.90804356067</v>
      </c>
      <c r="L337">
        <v>-12150.224041707819</v>
      </c>
      <c r="M337">
        <v>8040.8457994509563</v>
      </c>
      <c r="N337">
        <v>27712.917781356849</v>
      </c>
      <c r="O337">
        <v>32584.522505706729</v>
      </c>
      <c r="P337" s="2">
        <v>44637.878472222219</v>
      </c>
      <c r="Q337" s="2">
        <v>44639.208333333343</v>
      </c>
      <c r="R337">
        <v>65615.430444283877</v>
      </c>
      <c r="S337">
        <v>7.7396839968182816</v>
      </c>
      <c r="T337">
        <f t="shared" si="95"/>
        <v>0.97950389363775081</v>
      </c>
      <c r="U337">
        <f t="shared" si="96"/>
        <v>2156</v>
      </c>
      <c r="V337">
        <f t="shared" si="97"/>
        <v>0</v>
      </c>
      <c r="W337">
        <f t="shared" si="98"/>
        <v>0</v>
      </c>
      <c r="X337">
        <f t="shared" si="99"/>
        <v>0</v>
      </c>
      <c r="Y337">
        <f t="shared" si="100"/>
        <v>0</v>
      </c>
      <c r="Z337">
        <f t="shared" si="101"/>
        <v>287.95771454914353</v>
      </c>
      <c r="AA337">
        <f t="shared" si="102"/>
        <v>285.73105673063958</v>
      </c>
      <c r="AB337">
        <f t="shared" si="103"/>
        <v>507.60013563690967</v>
      </c>
      <c r="AC337">
        <f t="shared" si="104"/>
        <v>-372.88329266079853</v>
      </c>
      <c r="AD337">
        <f t="shared" si="105"/>
        <v>246.76887003769085</v>
      </c>
      <c r="AE337">
        <f t="shared" si="106"/>
        <v>850.49329099431532</v>
      </c>
      <c r="AF337">
        <f t="shared" si="107"/>
        <v>1000</v>
      </c>
      <c r="AG337">
        <f t="shared" si="108"/>
        <v>142.30069129316735</v>
      </c>
      <c r="AH337">
        <f t="shared" si="109"/>
        <v>2013.6993087068327</v>
      </c>
      <c r="AI337" s="5">
        <f t="shared" si="92"/>
        <v>0.46382189239332094</v>
      </c>
      <c r="AJ337" s="5">
        <f t="shared" si="93"/>
        <v>0</v>
      </c>
      <c r="AK337" s="5">
        <f t="shared" si="94"/>
        <v>0.49659847211358721</v>
      </c>
    </row>
    <row r="338" spans="1:37" hidden="1" x14ac:dyDescent="0.3">
      <c r="A338">
        <v>5329511</v>
      </c>
      <c r="B338" t="s">
        <v>34</v>
      </c>
      <c r="C338">
        <v>25.666666666666671</v>
      </c>
      <c r="D338">
        <v>47635.549796772757</v>
      </c>
      <c r="I338">
        <v>-21886.000781211849</v>
      </c>
      <c r="J338">
        <v>6519.6634607856922</v>
      </c>
      <c r="K338">
        <v>14583.10792255299</v>
      </c>
      <c r="L338">
        <v>14764.545244054971</v>
      </c>
      <c r="M338">
        <v>0</v>
      </c>
      <c r="N338">
        <v>4540.6332822718296</v>
      </c>
      <c r="O338">
        <v>20559.149674912711</v>
      </c>
      <c r="P338" s="2">
        <v>44639.291666666657</v>
      </c>
      <c r="Q338" s="2">
        <v>44640.711805555547</v>
      </c>
      <c r="R338">
        <v>56375.589056683471</v>
      </c>
      <c r="S338">
        <v>8.4818260503707137</v>
      </c>
      <c r="T338">
        <f t="shared" si="95"/>
        <v>1.2484303617861396</v>
      </c>
      <c r="U338">
        <f t="shared" si="96"/>
        <v>2317</v>
      </c>
      <c r="V338">
        <f t="shared" si="97"/>
        <v>0</v>
      </c>
      <c r="W338">
        <f t="shared" si="98"/>
        <v>0</v>
      </c>
      <c r="X338">
        <f t="shared" si="99"/>
        <v>0</v>
      </c>
      <c r="Y338">
        <f t="shared" si="100"/>
        <v>0</v>
      </c>
      <c r="Z338">
        <f t="shared" si="101"/>
        <v>-1064.5382288314302</v>
      </c>
      <c r="AA338">
        <f t="shared" si="102"/>
        <v>317.11736934048918</v>
      </c>
      <c r="AB338">
        <f t="shared" si="103"/>
        <v>709.32446882022646</v>
      </c>
      <c r="AC338">
        <f t="shared" si="104"/>
        <v>718.1496062588327</v>
      </c>
      <c r="AD338">
        <f t="shared" si="105"/>
        <v>0</v>
      </c>
      <c r="AE338">
        <f t="shared" si="106"/>
        <v>220.8570565451223</v>
      </c>
      <c r="AF338">
        <f t="shared" si="107"/>
        <v>1000</v>
      </c>
      <c r="AG338">
        <f t="shared" si="108"/>
        <v>-425.11676786787302</v>
      </c>
      <c r="AH338">
        <f t="shared" si="109"/>
        <v>2742.116767867873</v>
      </c>
      <c r="AI338" s="5">
        <f t="shared" si="92"/>
        <v>0.4315925766076823</v>
      </c>
      <c r="AJ338" s="5">
        <f t="shared" si="93"/>
        <v>0</v>
      </c>
      <c r="AK338" s="5">
        <f t="shared" si="94"/>
        <v>0.36468177129362289</v>
      </c>
    </row>
    <row r="339" spans="1:37" hidden="1" x14ac:dyDescent="0.3">
      <c r="A339">
        <v>5329514</v>
      </c>
      <c r="B339" t="s">
        <v>43</v>
      </c>
      <c r="C339">
        <v>2.916666666666667</v>
      </c>
      <c r="D339">
        <v>2899.0861937208092</v>
      </c>
      <c r="I339">
        <v>1899.7415118916981</v>
      </c>
      <c r="J339">
        <v>1484.644789155594</v>
      </c>
      <c r="K339">
        <v>1163.3507903897939</v>
      </c>
      <c r="L339">
        <v>1094.255517473606</v>
      </c>
      <c r="M339">
        <v>0</v>
      </c>
      <c r="N339">
        <v>407.92669240550742</v>
      </c>
      <c r="O339">
        <v>7924</v>
      </c>
      <c r="P339" s="2">
        <v>44640.708333333343</v>
      </c>
      <c r="Q339" s="2">
        <v>44640.829861111109</v>
      </c>
      <c r="R339">
        <v>4111.3167141242038</v>
      </c>
      <c r="S339">
        <v>6.8519345848333266</v>
      </c>
      <c r="T339">
        <f t="shared" si="95"/>
        <v>0.36808009422850418</v>
      </c>
      <c r="U339">
        <f t="shared" si="96"/>
        <v>365.86145806673511</v>
      </c>
      <c r="V339">
        <f t="shared" si="97"/>
        <v>0</v>
      </c>
      <c r="W339">
        <f t="shared" si="98"/>
        <v>0</v>
      </c>
      <c r="X339">
        <f t="shared" si="99"/>
        <v>0</v>
      </c>
      <c r="Y339">
        <f t="shared" si="100"/>
        <v>0</v>
      </c>
      <c r="Z339">
        <f t="shared" si="101"/>
        <v>239.74526904236473</v>
      </c>
      <c r="AA339">
        <f t="shared" si="102"/>
        <v>187.36052361882813</v>
      </c>
      <c r="AB339">
        <f t="shared" si="103"/>
        <v>146.81357778770746</v>
      </c>
      <c r="AC339">
        <f t="shared" si="104"/>
        <v>138.09383107945555</v>
      </c>
      <c r="AD339">
        <f t="shared" si="105"/>
        <v>0</v>
      </c>
      <c r="AE339">
        <f t="shared" si="106"/>
        <v>51.479895558494121</v>
      </c>
      <c r="AF339">
        <f t="shared" si="107"/>
        <v>1000</v>
      </c>
      <c r="AG339">
        <f t="shared" si="108"/>
        <v>-152.98214543202863</v>
      </c>
      <c r="AH339">
        <f t="shared" si="109"/>
        <v>518.84360349876374</v>
      </c>
      <c r="AI339" s="5">
        <f t="shared" si="92"/>
        <v>2.7332750634192098</v>
      </c>
      <c r="AJ339" s="5">
        <f t="shared" si="93"/>
        <v>0</v>
      </c>
      <c r="AK339" s="5">
        <f t="shared" si="94"/>
        <v>1.9273630690570569</v>
      </c>
    </row>
    <row r="340" spans="1:37" hidden="1" x14ac:dyDescent="0.3">
      <c r="A340">
        <v>5340771</v>
      </c>
      <c r="B340" t="s">
        <v>56</v>
      </c>
      <c r="C340">
        <v>87.916666666666657</v>
      </c>
      <c r="D340">
        <v>0</v>
      </c>
      <c r="E340">
        <v>144904.908</v>
      </c>
      <c r="F340">
        <v>23576.28528</v>
      </c>
      <c r="G340">
        <v>121328.62272</v>
      </c>
      <c r="H340">
        <v>16100.54533333333</v>
      </c>
      <c r="I340">
        <v>-9723.7059967770692</v>
      </c>
      <c r="J340">
        <v>41821.087488473117</v>
      </c>
      <c r="K340">
        <v>106745.7202044908</v>
      </c>
      <c r="L340">
        <v>1074.242188361233</v>
      </c>
      <c r="M340">
        <v>0</v>
      </c>
      <c r="N340">
        <v>99795.986245036591</v>
      </c>
      <c r="O340">
        <v>70554.536955886651</v>
      </c>
      <c r="P340" s="2">
        <v>44682.291666666657</v>
      </c>
      <c r="Q340" s="2">
        <v>44685.972222222219</v>
      </c>
      <c r="R340">
        <v>36.542006380716053</v>
      </c>
      <c r="S340">
        <v>5.0040539921940983</v>
      </c>
      <c r="T340">
        <f t="shared" si="95"/>
        <v>1.2460809816048466</v>
      </c>
      <c r="U340">
        <f t="shared" si="96"/>
        <v>0</v>
      </c>
      <c r="V340">
        <f t="shared" si="97"/>
        <v>2053.7999999999997</v>
      </c>
      <c r="W340">
        <f t="shared" si="98"/>
        <v>334.15689900623659</v>
      </c>
      <c r="X340">
        <f t="shared" si="99"/>
        <v>1719.6431009937633</v>
      </c>
      <c r="Y340">
        <f t="shared" si="100"/>
        <v>228.19999999999996</v>
      </c>
      <c r="Z340">
        <f t="shared" si="101"/>
        <v>-137.81829512759322</v>
      </c>
      <c r="AA340">
        <f t="shared" si="102"/>
        <v>592.7483800881754</v>
      </c>
      <c r="AB340">
        <f t="shared" si="103"/>
        <v>1512.9533097387095</v>
      </c>
      <c r="AC340">
        <f t="shared" si="104"/>
        <v>15.22569964611758</v>
      </c>
      <c r="AD340">
        <f t="shared" si="105"/>
        <v>0</v>
      </c>
      <c r="AE340">
        <f t="shared" si="106"/>
        <v>1414.4517213320071</v>
      </c>
      <c r="AF340">
        <f t="shared" si="107"/>
        <v>999.99999999999989</v>
      </c>
      <c r="AG340">
        <f t="shared" si="108"/>
        <v>-0.51792567788466237</v>
      </c>
      <c r="AH340">
        <f t="shared" si="109"/>
        <v>0.51792567788466237</v>
      </c>
      <c r="AI340" s="5">
        <f t="shared" si="92"/>
        <v>0</v>
      </c>
      <c r="AJ340" s="5">
        <f t="shared" si="93"/>
        <v>0.43821209465381245</v>
      </c>
      <c r="AK340" s="5">
        <f t="shared" si="94"/>
        <v>1930.7789567110276</v>
      </c>
    </row>
    <row r="341" spans="1:37" hidden="1" x14ac:dyDescent="0.3">
      <c r="A341">
        <v>5340773</v>
      </c>
      <c r="B341" t="s">
        <v>48</v>
      </c>
      <c r="C341">
        <v>256.66666666666657</v>
      </c>
      <c r="D341">
        <v>0</v>
      </c>
      <c r="E341">
        <v>499864.92756999971</v>
      </c>
      <c r="F341">
        <v>73842.663777866634</v>
      </c>
      <c r="G341">
        <v>426022.26379213308</v>
      </c>
      <c r="I341">
        <v>0</v>
      </c>
      <c r="J341">
        <v>113778.2564463892</v>
      </c>
      <c r="K341">
        <v>314034.15142824361</v>
      </c>
      <c r="L341">
        <v>0</v>
      </c>
      <c r="M341">
        <v>0</v>
      </c>
      <c r="N341">
        <v>294862.33255202719</v>
      </c>
      <c r="O341">
        <v>220010.97164172519</v>
      </c>
      <c r="P341" s="2">
        <v>44685.291666666657</v>
      </c>
      <c r="Q341" s="2">
        <v>44699.114583333343</v>
      </c>
      <c r="R341">
        <v>116.2088669389767</v>
      </c>
      <c r="S341">
        <v>5.0041734900356323</v>
      </c>
      <c r="T341">
        <f t="shared" si="95"/>
        <v>1.1666084866196265</v>
      </c>
      <c r="U341">
        <f t="shared" si="96"/>
        <v>0</v>
      </c>
      <c r="V341">
        <f t="shared" si="97"/>
        <v>2272.0000000000005</v>
      </c>
      <c r="W341">
        <f t="shared" si="98"/>
        <v>335.63173339425555</v>
      </c>
      <c r="X341">
        <f t="shared" si="99"/>
        <v>1936.3682666057448</v>
      </c>
      <c r="Y341">
        <f t="shared" si="100"/>
        <v>0</v>
      </c>
      <c r="Z341">
        <f t="shared" si="101"/>
        <v>0</v>
      </c>
      <c r="AA341">
        <f t="shared" si="102"/>
        <v>517.14810219405933</v>
      </c>
      <c r="AB341">
        <f t="shared" si="103"/>
        <v>1427.3567771866833</v>
      </c>
      <c r="AC341">
        <f t="shared" si="104"/>
        <v>0</v>
      </c>
      <c r="AD341">
        <f t="shared" si="105"/>
        <v>0</v>
      </c>
      <c r="AE341">
        <f t="shared" si="106"/>
        <v>1340.216491712936</v>
      </c>
      <c r="AF341">
        <f t="shared" si="107"/>
        <v>1000</v>
      </c>
      <c r="AG341">
        <f t="shared" si="108"/>
        <v>-0.52819578074595275</v>
      </c>
      <c r="AH341">
        <f t="shared" si="109"/>
        <v>0.52819578074595275</v>
      </c>
      <c r="AI341" s="5">
        <f t="shared" si="92"/>
        <v>0</v>
      </c>
      <c r="AJ341" s="5">
        <f t="shared" si="93"/>
        <v>0.44014084507042245</v>
      </c>
      <c r="AK341" s="5">
        <f t="shared" si="94"/>
        <v>1893.2373874470077</v>
      </c>
    </row>
    <row r="342" spans="1:37" hidden="1" x14ac:dyDescent="0.3">
      <c r="A342">
        <v>5343514</v>
      </c>
      <c r="B342">
        <v>120</v>
      </c>
      <c r="C342">
        <v>10.08333333333333</v>
      </c>
      <c r="D342">
        <v>0</v>
      </c>
      <c r="E342">
        <v>12000</v>
      </c>
      <c r="F342">
        <v>2040</v>
      </c>
      <c r="G342">
        <v>9960</v>
      </c>
      <c r="H342">
        <v>4000</v>
      </c>
      <c r="I342">
        <v>-24257.900380887011</v>
      </c>
      <c r="J342">
        <v>3885.9293274001352</v>
      </c>
      <c r="K342">
        <v>8920.2310784217389</v>
      </c>
      <c r="L342">
        <v>-19582.469211229381</v>
      </c>
      <c r="M342">
        <v>0</v>
      </c>
      <c r="N342">
        <v>7587.200111181749</v>
      </c>
      <c r="O342">
        <v>7220.2166064981939</v>
      </c>
      <c r="P342" s="2">
        <v>44699.784722222219</v>
      </c>
      <c r="Q342" s="2">
        <v>44700.204861111109</v>
      </c>
      <c r="R342">
        <v>3.2840731216457959</v>
      </c>
      <c r="S342">
        <v>5.0041666030883789</v>
      </c>
      <c r="T342">
        <f t="shared" si="95"/>
        <v>1.3965416666666663</v>
      </c>
      <c r="U342">
        <f t="shared" si="96"/>
        <v>0</v>
      </c>
      <c r="V342">
        <f t="shared" si="97"/>
        <v>1662.0000000000002</v>
      </c>
      <c r="W342">
        <f t="shared" si="98"/>
        <v>282.54000000000002</v>
      </c>
      <c r="X342">
        <f t="shared" si="99"/>
        <v>1379.4600000000003</v>
      </c>
      <c r="Y342">
        <f t="shared" si="100"/>
        <v>554.00000000000011</v>
      </c>
      <c r="Z342">
        <f t="shared" si="101"/>
        <v>-3359.7192027528517</v>
      </c>
      <c r="AA342">
        <f t="shared" si="102"/>
        <v>538.20121184491882</v>
      </c>
      <c r="AB342">
        <f t="shared" si="103"/>
        <v>1235.4520043614109</v>
      </c>
      <c r="AC342">
        <f t="shared" si="104"/>
        <v>-2712.1719857552694</v>
      </c>
      <c r="AD342">
        <f t="shared" si="105"/>
        <v>0</v>
      </c>
      <c r="AE342">
        <f t="shared" si="106"/>
        <v>1050.8272153986725</v>
      </c>
      <c r="AF342">
        <f t="shared" si="107"/>
        <v>1000</v>
      </c>
      <c r="AG342">
        <f t="shared" si="108"/>
        <v>-0.45484412734794277</v>
      </c>
      <c r="AH342">
        <f t="shared" si="109"/>
        <v>0.45484412734794277</v>
      </c>
      <c r="AI342" s="5">
        <f t="shared" si="92"/>
        <v>0</v>
      </c>
      <c r="AJ342" s="5">
        <f t="shared" si="93"/>
        <v>0.4512635379061371</v>
      </c>
      <c r="AK342" s="5">
        <f t="shared" si="94"/>
        <v>2198.5553728717891</v>
      </c>
    </row>
    <row r="343" spans="1:37" hidden="1" x14ac:dyDescent="0.3">
      <c r="A343">
        <v>5343750</v>
      </c>
      <c r="B343" t="s">
        <v>48</v>
      </c>
      <c r="C343">
        <v>68.25</v>
      </c>
      <c r="D343">
        <v>0</v>
      </c>
      <c r="E343">
        <v>131043.69583333351</v>
      </c>
      <c r="F343">
        <v>38045.113543333347</v>
      </c>
      <c r="G343">
        <v>92998.582290000108</v>
      </c>
      <c r="I343">
        <v>0</v>
      </c>
      <c r="J343">
        <v>31569.730596502581</v>
      </c>
      <c r="K343">
        <v>89722.060643010016</v>
      </c>
      <c r="L343">
        <v>0</v>
      </c>
      <c r="M343">
        <v>0</v>
      </c>
      <c r="N343">
        <v>80763.083865210225</v>
      </c>
      <c r="O343">
        <v>57677.683025234801</v>
      </c>
      <c r="P343" s="2">
        <v>44700.663194444453</v>
      </c>
      <c r="Q343" s="2">
        <v>44704.447916666657</v>
      </c>
      <c r="R343">
        <v>29.937587150058999</v>
      </c>
      <c r="S343">
        <v>5.0041666030883789</v>
      </c>
      <c r="T343">
        <f t="shared" si="95"/>
        <v>1.1832999597112746</v>
      </c>
      <c r="U343">
        <f t="shared" si="96"/>
        <v>0</v>
      </c>
      <c r="V343">
        <f t="shared" si="97"/>
        <v>2272.0000000000009</v>
      </c>
      <c r="W343">
        <f t="shared" si="98"/>
        <v>659.61584356098479</v>
      </c>
      <c r="X343">
        <f t="shared" si="99"/>
        <v>1612.384156439015</v>
      </c>
      <c r="Y343">
        <f t="shared" si="100"/>
        <v>0</v>
      </c>
      <c r="Z343">
        <f t="shared" si="101"/>
        <v>0</v>
      </c>
      <c r="AA343">
        <f t="shared" si="102"/>
        <v>547.34741308333025</v>
      </c>
      <c r="AB343">
        <f t="shared" si="103"/>
        <v>1555.5767141990664</v>
      </c>
      <c r="AC343">
        <f t="shared" si="104"/>
        <v>0</v>
      </c>
      <c r="AD343">
        <f t="shared" si="105"/>
        <v>0</v>
      </c>
      <c r="AE343">
        <f t="shared" si="106"/>
        <v>1400.2484085547478</v>
      </c>
      <c r="AF343">
        <f t="shared" si="107"/>
        <v>1000</v>
      </c>
      <c r="AG343">
        <f t="shared" si="108"/>
        <v>-0.51904975338487302</v>
      </c>
      <c r="AH343">
        <f t="shared" si="109"/>
        <v>0.51904975338487302</v>
      </c>
      <c r="AI343" s="5">
        <f t="shared" si="92"/>
        <v>0</v>
      </c>
      <c r="AJ343" s="5">
        <f t="shared" si="93"/>
        <v>0.44014084507042239</v>
      </c>
      <c r="AK343" s="5">
        <f t="shared" si="94"/>
        <v>1926.5975823679944</v>
      </c>
    </row>
    <row r="344" spans="1:37" hidden="1" x14ac:dyDescent="0.3">
      <c r="A344">
        <v>5343774</v>
      </c>
      <c r="B344">
        <v>120</v>
      </c>
      <c r="C344">
        <v>36.75</v>
      </c>
      <c r="D344">
        <v>0</v>
      </c>
      <c r="E344">
        <v>39111.818000000007</v>
      </c>
      <c r="F344">
        <v>8604.5999600000032</v>
      </c>
      <c r="G344">
        <v>30507.218040000011</v>
      </c>
      <c r="H344">
        <v>13037.272666666669</v>
      </c>
      <c r="I344">
        <v>4427.7982720215969</v>
      </c>
      <c r="J344">
        <v>14476.0624013623</v>
      </c>
      <c r="K344">
        <v>38447.343609183823</v>
      </c>
      <c r="L344">
        <v>9093.4690677107719</v>
      </c>
      <c r="M344">
        <v>0</v>
      </c>
      <c r="N344">
        <v>29850.938767297572</v>
      </c>
      <c r="O344">
        <v>23532.983152827921</v>
      </c>
      <c r="P344" s="2">
        <v>44700.291666666657</v>
      </c>
      <c r="Q344" s="2">
        <v>44705.982638888891</v>
      </c>
      <c r="R344">
        <v>44.833573165063818</v>
      </c>
      <c r="S344">
        <v>5.0041666030883789</v>
      </c>
      <c r="T344">
        <f t="shared" si="95"/>
        <v>1.5616379683501287</v>
      </c>
      <c r="U344">
        <f t="shared" si="96"/>
        <v>0</v>
      </c>
      <c r="V344">
        <f t="shared" si="97"/>
        <v>1662.0000000000002</v>
      </c>
      <c r="W344">
        <f t="shared" si="98"/>
        <v>365.6400000000001</v>
      </c>
      <c r="X344">
        <f t="shared" si="99"/>
        <v>1296.3600000000004</v>
      </c>
      <c r="Y344">
        <f t="shared" si="100"/>
        <v>554.00000000000011</v>
      </c>
      <c r="Z344">
        <f t="shared" si="101"/>
        <v>188.15286796691203</v>
      </c>
      <c r="AA344">
        <f t="shared" si="102"/>
        <v>615.13928375981243</v>
      </c>
      <c r="AB344">
        <f t="shared" si="103"/>
        <v>1633.7641241443573</v>
      </c>
      <c r="AC344">
        <f t="shared" si="104"/>
        <v>386.41378394978472</v>
      </c>
      <c r="AD344">
        <f t="shared" si="105"/>
        <v>0</v>
      </c>
      <c r="AE344">
        <f t="shared" si="106"/>
        <v>1268.4723638069845</v>
      </c>
      <c r="AF344">
        <f t="shared" si="107"/>
        <v>1000</v>
      </c>
      <c r="AG344">
        <f t="shared" si="108"/>
        <v>-1.9051376901052275</v>
      </c>
      <c r="AH344">
        <f t="shared" si="109"/>
        <v>1.9051376901052275</v>
      </c>
      <c r="AI344" s="5">
        <f t="shared" si="92"/>
        <v>0</v>
      </c>
      <c r="AJ344" s="5">
        <f t="shared" si="93"/>
        <v>0.45126353790613716</v>
      </c>
      <c r="AK344" s="5">
        <f t="shared" si="94"/>
        <v>524.89644459491353</v>
      </c>
    </row>
    <row r="345" spans="1:37" hidden="1" x14ac:dyDescent="0.3">
      <c r="A345">
        <v>5344461</v>
      </c>
      <c r="B345" t="s">
        <v>32</v>
      </c>
      <c r="C345">
        <v>5</v>
      </c>
      <c r="D345">
        <v>8507.2994554807574</v>
      </c>
      <c r="I345">
        <v>1140.465038935354</v>
      </c>
      <c r="J345">
        <v>1084.7020688651789</v>
      </c>
      <c r="K345">
        <v>2787.6429745448322</v>
      </c>
      <c r="L345">
        <v>-5337.0362963081561</v>
      </c>
      <c r="M345">
        <v>0</v>
      </c>
      <c r="N345">
        <v>679.17730801689345</v>
      </c>
      <c r="O345">
        <v>3945.8717325977541</v>
      </c>
      <c r="P345" s="2">
        <v>44706.635416666657</v>
      </c>
      <c r="Q345" s="2">
        <v>44706.84375</v>
      </c>
      <c r="R345">
        <v>8767.5468414897077</v>
      </c>
      <c r="S345">
        <v>7.4397445762355021</v>
      </c>
      <c r="T345">
        <f t="shared" si="95"/>
        <v>1.2671471195309898</v>
      </c>
      <c r="U345">
        <f t="shared" si="96"/>
        <v>2156</v>
      </c>
      <c r="V345">
        <f t="shared" si="97"/>
        <v>0</v>
      </c>
      <c r="W345">
        <f t="shared" si="98"/>
        <v>0</v>
      </c>
      <c r="X345">
        <f t="shared" si="99"/>
        <v>0</v>
      </c>
      <c r="Y345">
        <f t="shared" si="100"/>
        <v>0</v>
      </c>
      <c r="Z345">
        <f t="shared" si="101"/>
        <v>289.02739780254637</v>
      </c>
      <c r="AA345">
        <f t="shared" si="102"/>
        <v>274.89542042236332</v>
      </c>
      <c r="AB345">
        <f t="shared" si="103"/>
        <v>706.47075309505681</v>
      </c>
      <c r="AC345">
        <f t="shared" si="104"/>
        <v>-1352.5620339398445</v>
      </c>
      <c r="AD345">
        <f t="shared" si="105"/>
        <v>0</v>
      </c>
      <c r="AE345">
        <f t="shared" si="106"/>
        <v>172.12351390088367</v>
      </c>
      <c r="AF345">
        <f t="shared" si="107"/>
        <v>1000</v>
      </c>
      <c r="AG345">
        <f t="shared" si="108"/>
        <v>-65.954345109342285</v>
      </c>
      <c r="AH345">
        <f t="shared" si="109"/>
        <v>2221.9543451093423</v>
      </c>
      <c r="AI345" s="5">
        <f t="shared" si="92"/>
        <v>0.463821892393321</v>
      </c>
      <c r="AJ345" s="5">
        <f t="shared" si="93"/>
        <v>0</v>
      </c>
      <c r="AK345" s="5">
        <f t="shared" si="94"/>
        <v>0.45005425165510776</v>
      </c>
    </row>
    <row r="346" spans="1:37" hidden="1" x14ac:dyDescent="0.3">
      <c r="A346">
        <v>5344410</v>
      </c>
      <c r="B346" t="s">
        <v>43</v>
      </c>
      <c r="C346">
        <v>16.416666666666671</v>
      </c>
      <c r="D346">
        <v>32333.832875642591</v>
      </c>
      <c r="I346">
        <v>4205.8779567683196</v>
      </c>
      <c r="J346">
        <v>4194.9029067284428</v>
      </c>
      <c r="K346">
        <v>6106.9493961445496</v>
      </c>
      <c r="L346">
        <v>6236.5352356836393</v>
      </c>
      <c r="M346">
        <v>0</v>
      </c>
      <c r="N346">
        <v>3106.239216926539</v>
      </c>
      <c r="O346">
        <v>13955.04224240077</v>
      </c>
      <c r="P346" s="2">
        <v>44707.083333333343</v>
      </c>
      <c r="Q346" s="2">
        <v>44707.763888888891</v>
      </c>
      <c r="R346">
        <v>28324.937064433951</v>
      </c>
      <c r="S346">
        <v>7.3867488828210526</v>
      </c>
      <c r="T346">
        <f t="shared" si="95"/>
        <v>1.1763967734032752</v>
      </c>
      <c r="U346">
        <f t="shared" si="96"/>
        <v>2317.0000000000005</v>
      </c>
      <c r="V346">
        <f t="shared" si="97"/>
        <v>0</v>
      </c>
      <c r="W346">
        <f t="shared" si="98"/>
        <v>0</v>
      </c>
      <c r="X346">
        <f t="shared" si="99"/>
        <v>0</v>
      </c>
      <c r="Y346">
        <f t="shared" si="100"/>
        <v>0</v>
      </c>
      <c r="Z346">
        <f t="shared" si="101"/>
        <v>301.38769082255084</v>
      </c>
      <c r="AA346">
        <f t="shared" si="102"/>
        <v>300.60123315017415</v>
      </c>
      <c r="AB346">
        <f t="shared" si="103"/>
        <v>437.61597350019446</v>
      </c>
      <c r="AC346">
        <f t="shared" si="104"/>
        <v>446.90192457710043</v>
      </c>
      <c r="AD346">
        <f t="shared" si="105"/>
        <v>0</v>
      </c>
      <c r="AE346">
        <f t="shared" si="106"/>
        <v>222.58902287580275</v>
      </c>
      <c r="AF346">
        <f t="shared" si="107"/>
        <v>1000.0000000000001</v>
      </c>
      <c r="AG346">
        <f t="shared" si="108"/>
        <v>287.27220896745666</v>
      </c>
      <c r="AH346">
        <f t="shared" si="109"/>
        <v>2029.7277910325438</v>
      </c>
      <c r="AI346" s="5">
        <f t="shared" si="92"/>
        <v>0.43159257660768224</v>
      </c>
      <c r="AJ346" s="5">
        <f t="shared" si="93"/>
        <v>0</v>
      </c>
      <c r="AK346" s="5">
        <f t="shared" si="94"/>
        <v>0.49267690200531256</v>
      </c>
    </row>
    <row r="347" spans="1:37" hidden="1" x14ac:dyDescent="0.3">
      <c r="A347">
        <v>5344414</v>
      </c>
      <c r="B347" t="s">
        <v>34</v>
      </c>
      <c r="C347">
        <v>44.75</v>
      </c>
      <c r="D347">
        <v>83912.820295451485</v>
      </c>
      <c r="I347">
        <v>-11745.53043290741</v>
      </c>
      <c r="J347">
        <v>12090.58145042045</v>
      </c>
      <c r="K347">
        <v>20089.257833438449</v>
      </c>
      <c r="L347">
        <v>20249.377571743429</v>
      </c>
      <c r="M347">
        <v>3351.4573133785671</v>
      </c>
      <c r="N347">
        <v>10238.45057458777</v>
      </c>
      <c r="O347">
        <v>36216.150321731329</v>
      </c>
      <c r="P347" s="2">
        <v>44707.291666666657</v>
      </c>
      <c r="Q347" s="2">
        <v>44709.628472222219</v>
      </c>
      <c r="R347">
        <v>97144.608364458589</v>
      </c>
      <c r="S347">
        <v>7.4324451037988064</v>
      </c>
      <c r="T347">
        <f t="shared" si="95"/>
        <v>1.2356365765675534</v>
      </c>
      <c r="U347">
        <f t="shared" si="96"/>
        <v>2317</v>
      </c>
      <c r="V347">
        <f t="shared" si="97"/>
        <v>0</v>
      </c>
      <c r="W347">
        <f t="shared" si="98"/>
        <v>0</v>
      </c>
      <c r="X347">
        <f t="shared" si="99"/>
        <v>0</v>
      </c>
      <c r="Y347">
        <f t="shared" si="100"/>
        <v>0</v>
      </c>
      <c r="Z347">
        <f t="shared" si="101"/>
        <v>-324.31747517514475</v>
      </c>
      <c r="AA347">
        <f t="shared" si="102"/>
        <v>333.8450206057808</v>
      </c>
      <c r="AB347">
        <f t="shared" si="103"/>
        <v>554.70439720877744</v>
      </c>
      <c r="AC347">
        <f t="shared" si="104"/>
        <v>559.12562190777317</v>
      </c>
      <c r="AD347">
        <f t="shared" si="105"/>
        <v>92.540407624924754</v>
      </c>
      <c r="AE347">
        <f t="shared" si="106"/>
        <v>282.70400038748005</v>
      </c>
      <c r="AF347">
        <f t="shared" si="107"/>
        <v>1000</v>
      </c>
      <c r="AG347">
        <f t="shared" si="108"/>
        <v>-365.35600695989569</v>
      </c>
      <c r="AH347">
        <f t="shared" si="109"/>
        <v>2682.3560069598957</v>
      </c>
      <c r="AI347" s="5">
        <f t="shared" si="92"/>
        <v>0.43159257660768235</v>
      </c>
      <c r="AJ347" s="5">
        <f t="shared" si="93"/>
        <v>0</v>
      </c>
      <c r="AK347" s="5">
        <f t="shared" si="94"/>
        <v>0.37280659144621558</v>
      </c>
    </row>
    <row r="348" spans="1:37" hidden="1" x14ac:dyDescent="0.3">
      <c r="A348">
        <v>5344542</v>
      </c>
      <c r="B348" t="s">
        <v>32</v>
      </c>
      <c r="C348">
        <v>28.25</v>
      </c>
      <c r="D348">
        <v>74519.074776554771</v>
      </c>
      <c r="I348">
        <v>-17371.85105262107</v>
      </c>
      <c r="J348">
        <v>9816.8650991370741</v>
      </c>
      <c r="K348">
        <v>0</v>
      </c>
      <c r="L348">
        <v>19.696028466370311</v>
      </c>
      <c r="M348">
        <v>28898.54565360762</v>
      </c>
      <c r="N348">
        <v>16256.61065331138</v>
      </c>
      <c r="O348">
        <v>34563.578282261027</v>
      </c>
      <c r="P348" s="2">
        <v>44713.291666666657</v>
      </c>
      <c r="Q348" s="2">
        <v>44714.46875</v>
      </c>
      <c r="R348">
        <v>65474.168829387912</v>
      </c>
      <c r="S348">
        <v>6.9894987962931214</v>
      </c>
      <c r="T348">
        <f t="shared" si="95"/>
        <v>0.81733435610452032</v>
      </c>
      <c r="U348">
        <f t="shared" si="96"/>
        <v>2156</v>
      </c>
      <c r="V348">
        <f t="shared" si="97"/>
        <v>0</v>
      </c>
      <c r="W348">
        <f t="shared" si="98"/>
        <v>0</v>
      </c>
      <c r="X348">
        <f t="shared" si="99"/>
        <v>0</v>
      </c>
      <c r="Y348">
        <f t="shared" si="100"/>
        <v>0</v>
      </c>
      <c r="Z348">
        <f t="shared" si="101"/>
        <v>-502.60568829867879</v>
      </c>
      <c r="AA348">
        <f t="shared" si="102"/>
        <v>284.02340229267747</v>
      </c>
      <c r="AB348">
        <f t="shared" si="103"/>
        <v>0</v>
      </c>
      <c r="AC348">
        <f t="shared" si="104"/>
        <v>0.56984922988945419</v>
      </c>
      <c r="AD348">
        <f t="shared" si="105"/>
        <v>836.09820191675988</v>
      </c>
      <c r="AE348">
        <f t="shared" si="106"/>
        <v>470.33934162004044</v>
      </c>
      <c r="AF348">
        <f t="shared" si="107"/>
        <v>1000</v>
      </c>
      <c r="AG348">
        <f t="shared" si="108"/>
        <v>261.6889337470293</v>
      </c>
      <c r="AH348">
        <f t="shared" si="109"/>
        <v>1894.3110662529707</v>
      </c>
      <c r="AI348" s="5">
        <f t="shared" si="92"/>
        <v>0.463821892393321</v>
      </c>
      <c r="AJ348" s="5">
        <f t="shared" si="93"/>
        <v>0</v>
      </c>
      <c r="AK348" s="5">
        <f t="shared" si="94"/>
        <v>0.5278964040357127</v>
      </c>
    </row>
    <row r="349" spans="1:37" hidden="1" x14ac:dyDescent="0.3">
      <c r="A349">
        <v>5345088</v>
      </c>
      <c r="B349" t="s">
        <v>39</v>
      </c>
      <c r="C349">
        <v>36.666666666666671</v>
      </c>
      <c r="D349">
        <v>62015.61996176753</v>
      </c>
      <c r="I349">
        <v>8203.737724901448</v>
      </c>
      <c r="J349">
        <v>8092.3500406178609</v>
      </c>
      <c r="K349">
        <v>969.37879498558186</v>
      </c>
      <c r="L349">
        <v>1050.3763403588489</v>
      </c>
      <c r="M349">
        <v>24472.85325054745</v>
      </c>
      <c r="N349">
        <v>11452.205979331689</v>
      </c>
      <c r="O349">
        <v>27416.277613513499</v>
      </c>
      <c r="P349" s="2">
        <v>44714.552083333343</v>
      </c>
      <c r="Q349" s="2">
        <v>44734.256944444453</v>
      </c>
      <c r="R349">
        <v>912871.20054518466</v>
      </c>
      <c r="S349">
        <v>6.0341520827386974</v>
      </c>
      <c r="T349">
        <f t="shared" si="95"/>
        <v>1.3374049965336523</v>
      </c>
      <c r="U349">
        <f t="shared" si="96"/>
        <v>2262</v>
      </c>
      <c r="V349">
        <f t="shared" si="97"/>
        <v>0</v>
      </c>
      <c r="W349">
        <f t="shared" si="98"/>
        <v>0</v>
      </c>
      <c r="X349">
        <f t="shared" si="99"/>
        <v>0</v>
      </c>
      <c r="Y349">
        <f t="shared" si="100"/>
        <v>0</v>
      </c>
      <c r="Z349">
        <f t="shared" si="101"/>
        <v>299.22872246004033</v>
      </c>
      <c r="AA349">
        <f t="shared" si="102"/>
        <v>295.16589212786266</v>
      </c>
      <c r="AB349">
        <f t="shared" si="103"/>
        <v>35.357783016749671</v>
      </c>
      <c r="AC349">
        <f t="shared" si="104"/>
        <v>38.312142704636088</v>
      </c>
      <c r="AD349">
        <f t="shared" si="105"/>
        <v>892.63953318319068</v>
      </c>
      <c r="AE349">
        <f t="shared" si="106"/>
        <v>417.71556812974819</v>
      </c>
      <c r="AF349">
        <f t="shared" si="107"/>
        <v>1000</v>
      </c>
      <c r="AG349">
        <f t="shared" si="108"/>
        <v>-31034.686494567366</v>
      </c>
      <c r="AH349">
        <f t="shared" si="109"/>
        <v>33296.686494567366</v>
      </c>
      <c r="AI349" s="5">
        <f t="shared" si="92"/>
        <v>0.44208664898320071</v>
      </c>
      <c r="AJ349" s="5">
        <f t="shared" si="93"/>
        <v>0</v>
      </c>
      <c r="AK349" s="5">
        <f t="shared" si="94"/>
        <v>3.003301845554987E-2</v>
      </c>
    </row>
    <row r="350" spans="1:37" hidden="1" x14ac:dyDescent="0.3">
      <c r="A350">
        <v>5345091</v>
      </c>
      <c r="B350" t="s">
        <v>38</v>
      </c>
      <c r="C350">
        <v>43.5</v>
      </c>
      <c r="D350">
        <v>78397.695818946668</v>
      </c>
      <c r="I350">
        <v>8726.3851769196353</v>
      </c>
      <c r="J350">
        <v>8777.8255017081392</v>
      </c>
      <c r="K350">
        <v>12185.89157331736</v>
      </c>
      <c r="L350">
        <v>12133.062366718839</v>
      </c>
      <c r="M350">
        <v>3291.5250479775118</v>
      </c>
      <c r="N350">
        <v>8481.6029508014017</v>
      </c>
      <c r="O350">
        <v>34658.574632602416</v>
      </c>
      <c r="P350" s="2">
        <v>44715.340277777781</v>
      </c>
      <c r="Q350" s="2">
        <v>44717.159722222219</v>
      </c>
      <c r="R350">
        <v>73798.48428622038</v>
      </c>
      <c r="S350">
        <v>6.5708503414504493</v>
      </c>
      <c r="T350">
        <f t="shared" si="95"/>
        <v>1.2551006629995882</v>
      </c>
      <c r="U350">
        <f t="shared" si="96"/>
        <v>2262.0000000000005</v>
      </c>
      <c r="V350">
        <f t="shared" si="97"/>
        <v>0</v>
      </c>
      <c r="W350">
        <f t="shared" si="98"/>
        <v>0</v>
      </c>
      <c r="X350">
        <f t="shared" si="99"/>
        <v>0</v>
      </c>
      <c r="Y350">
        <f t="shared" si="100"/>
        <v>0</v>
      </c>
      <c r="Z350">
        <f t="shared" si="101"/>
        <v>251.78142117566927</v>
      </c>
      <c r="AA350">
        <f t="shared" si="102"/>
        <v>253.26562314686385</v>
      </c>
      <c r="AB350">
        <f t="shared" si="103"/>
        <v>351.59817454969453</v>
      </c>
      <c r="AC350">
        <f t="shared" si="104"/>
        <v>350.07389932607282</v>
      </c>
      <c r="AD350">
        <f t="shared" si="105"/>
        <v>94.970006206812101</v>
      </c>
      <c r="AE350">
        <f t="shared" si="106"/>
        <v>244.71874682414031</v>
      </c>
      <c r="AF350">
        <f t="shared" si="107"/>
        <v>1000</v>
      </c>
      <c r="AG350">
        <f t="shared" si="108"/>
        <v>132.70053894253169</v>
      </c>
      <c r="AH350">
        <f t="shared" si="109"/>
        <v>2129.2994610574688</v>
      </c>
      <c r="AI350" s="5">
        <f t="shared" si="92"/>
        <v>0.44208664898320071</v>
      </c>
      <c r="AJ350" s="5">
        <f t="shared" si="93"/>
        <v>0</v>
      </c>
      <c r="AK350" s="5">
        <f t="shared" si="94"/>
        <v>0.46963802804109689</v>
      </c>
    </row>
    <row r="351" spans="1:37" hidden="1" x14ac:dyDescent="0.3">
      <c r="A351">
        <v>5345287</v>
      </c>
      <c r="B351" t="s">
        <v>32</v>
      </c>
      <c r="C351">
        <v>18.666666666666671</v>
      </c>
      <c r="D351">
        <v>36296.773137529031</v>
      </c>
      <c r="I351">
        <v>3941.7192422425278</v>
      </c>
      <c r="J351">
        <v>4041.931143010313</v>
      </c>
      <c r="K351">
        <v>5245.6578889679176</v>
      </c>
      <c r="L351">
        <v>5884.9050028922238</v>
      </c>
      <c r="M351">
        <v>0</v>
      </c>
      <c r="N351">
        <v>2256.415176863512</v>
      </c>
      <c r="O351">
        <v>16835.238004419771</v>
      </c>
      <c r="P351" s="2">
        <v>44717.159722222219</v>
      </c>
      <c r="Q351" s="2">
        <v>44717.9375</v>
      </c>
      <c r="R351">
        <v>33629.115359456722</v>
      </c>
      <c r="S351">
        <v>5.9498484658737141</v>
      </c>
      <c r="T351">
        <f t="shared" si="95"/>
        <v>1.1087854333729106</v>
      </c>
      <c r="U351">
        <f t="shared" si="96"/>
        <v>2156.0000000000005</v>
      </c>
      <c r="V351">
        <f t="shared" si="97"/>
        <v>0</v>
      </c>
      <c r="W351">
        <f t="shared" si="98"/>
        <v>0</v>
      </c>
      <c r="X351">
        <f t="shared" si="99"/>
        <v>0</v>
      </c>
      <c r="Y351">
        <f t="shared" si="100"/>
        <v>0</v>
      </c>
      <c r="Z351">
        <f t="shared" si="101"/>
        <v>234.13504704879756</v>
      </c>
      <c r="AA351">
        <f t="shared" si="102"/>
        <v>240.08755575354391</v>
      </c>
      <c r="AB351">
        <f t="shared" si="103"/>
        <v>311.58798512921351</v>
      </c>
      <c r="AC351">
        <f t="shared" si="104"/>
        <v>349.55876485662122</v>
      </c>
      <c r="AD351">
        <f t="shared" si="105"/>
        <v>0</v>
      </c>
      <c r="AE351">
        <f t="shared" si="106"/>
        <v>134.02930070077616</v>
      </c>
      <c r="AF351">
        <f t="shared" si="107"/>
        <v>1000</v>
      </c>
      <c r="AG351">
        <f t="shared" si="108"/>
        <v>158.45679029734924</v>
      </c>
      <c r="AH351">
        <f t="shared" si="109"/>
        <v>1997.5432097026512</v>
      </c>
      <c r="AI351" s="5">
        <f t="shared" si="92"/>
        <v>0.46382189239332089</v>
      </c>
      <c r="AJ351" s="5">
        <f t="shared" si="93"/>
        <v>0</v>
      </c>
      <c r="AK351" s="5">
        <f t="shared" si="94"/>
        <v>0.50061495297959402</v>
      </c>
    </row>
    <row r="352" spans="1:37" hidden="1" x14ac:dyDescent="0.3">
      <c r="A352">
        <v>5344935</v>
      </c>
      <c r="B352" t="s">
        <v>42</v>
      </c>
      <c r="C352">
        <v>26.583333333333329</v>
      </c>
      <c r="D352">
        <v>47815.662921523217</v>
      </c>
      <c r="I352">
        <v>-20649.740783431109</v>
      </c>
      <c r="J352">
        <v>5925.9056840173507</v>
      </c>
      <c r="K352">
        <v>3093.0145168550039</v>
      </c>
      <c r="L352">
        <v>-24867.11465042919</v>
      </c>
      <c r="M352">
        <v>11465.49685879159</v>
      </c>
      <c r="N352">
        <v>9692.5723953512934</v>
      </c>
      <c r="O352">
        <v>21727.47886194515</v>
      </c>
      <c r="P352" s="2">
        <v>44717.9375</v>
      </c>
      <c r="Q352" s="2">
        <v>44719.045138888891</v>
      </c>
      <c r="R352">
        <v>44054.820103887847</v>
      </c>
      <c r="S352">
        <v>5.9114248750583478</v>
      </c>
      <c r="T352">
        <f t="shared" si="95"/>
        <v>1.2234890896565558</v>
      </c>
      <c r="U352">
        <f t="shared" si="96"/>
        <v>2200.7000087465517</v>
      </c>
      <c r="V352">
        <f t="shared" si="97"/>
        <v>0</v>
      </c>
      <c r="W352">
        <f t="shared" si="98"/>
        <v>0</v>
      </c>
      <c r="X352">
        <f t="shared" si="99"/>
        <v>0</v>
      </c>
      <c r="Y352">
        <f t="shared" si="100"/>
        <v>0</v>
      </c>
      <c r="Z352">
        <f t="shared" si="101"/>
        <v>-950.39746279989902</v>
      </c>
      <c r="AA352">
        <f t="shared" si="102"/>
        <v>272.73784140673348</v>
      </c>
      <c r="AB352">
        <f t="shared" si="103"/>
        <v>142.35496610112003</v>
      </c>
      <c r="AC352">
        <f t="shared" si="104"/>
        <v>-1144.5006946472281</v>
      </c>
      <c r="AD352">
        <f t="shared" si="105"/>
        <v>527.69568580149303</v>
      </c>
      <c r="AE352">
        <f t="shared" si="106"/>
        <v>446.09742607217368</v>
      </c>
      <c r="AF352">
        <f t="shared" si="107"/>
        <v>999.99999999999989</v>
      </c>
      <c r="AG352">
        <f t="shared" si="108"/>
        <v>173.09154189179003</v>
      </c>
      <c r="AH352">
        <f t="shared" si="109"/>
        <v>2027.6084668547617</v>
      </c>
      <c r="AI352" s="5">
        <f t="shared" si="92"/>
        <v>0.45440087064368573</v>
      </c>
      <c r="AJ352" s="5">
        <f t="shared" si="93"/>
        <v>0</v>
      </c>
      <c r="AK352" s="5">
        <f t="shared" si="94"/>
        <v>0.49319186437961859</v>
      </c>
    </row>
    <row r="353" spans="1:37" hidden="1" x14ac:dyDescent="0.3">
      <c r="A353">
        <v>5345258</v>
      </c>
      <c r="B353" t="s">
        <v>41</v>
      </c>
      <c r="C353">
        <v>45.166666666666671</v>
      </c>
      <c r="D353">
        <v>106578.4685245835</v>
      </c>
      <c r="I353">
        <v>11905.79870693986</v>
      </c>
      <c r="J353">
        <v>12973.478211358421</v>
      </c>
      <c r="K353">
        <v>1097.518072493611</v>
      </c>
      <c r="L353">
        <v>-26683.033443572978</v>
      </c>
      <c r="M353">
        <v>36028.704902006022</v>
      </c>
      <c r="N353">
        <v>21110.60316004523</v>
      </c>
      <c r="O353">
        <v>47116.918003794657</v>
      </c>
      <c r="P353" s="2">
        <v>44719.041666666657</v>
      </c>
      <c r="Q353" s="2">
        <v>44720.927083333343</v>
      </c>
      <c r="R353">
        <v>95063.926029922979</v>
      </c>
      <c r="S353">
        <v>5.5536970815501681</v>
      </c>
      <c r="T353">
        <f t="shared" si="95"/>
        <v>0.95860825750591505</v>
      </c>
      <c r="U353">
        <f t="shared" si="96"/>
        <v>2261.9999999999995</v>
      </c>
      <c r="V353">
        <f t="shared" si="97"/>
        <v>0</v>
      </c>
      <c r="W353">
        <f t="shared" si="98"/>
        <v>0</v>
      </c>
      <c r="X353">
        <f t="shared" si="99"/>
        <v>0</v>
      </c>
      <c r="Y353">
        <f t="shared" si="100"/>
        <v>0</v>
      </c>
      <c r="Z353">
        <f t="shared" si="101"/>
        <v>252.68627939503605</v>
      </c>
      <c r="AA353">
        <f t="shared" si="102"/>
        <v>275.34649465641144</v>
      </c>
      <c r="AB353">
        <f t="shared" si="103"/>
        <v>23.293503034413675</v>
      </c>
      <c r="AC353">
        <f t="shared" si="104"/>
        <v>-566.31534009554719</v>
      </c>
      <c r="AD353">
        <f t="shared" si="105"/>
        <v>764.6659932023648</v>
      </c>
      <c r="AE353">
        <f t="shared" si="106"/>
        <v>448.0471994867118</v>
      </c>
      <c r="AF353">
        <f t="shared" si="107"/>
        <v>1000</v>
      </c>
      <c r="AG353">
        <f t="shared" si="108"/>
        <v>244.38233616496677</v>
      </c>
      <c r="AH353">
        <f t="shared" si="109"/>
        <v>2017.6176638350328</v>
      </c>
      <c r="AI353" s="5">
        <f t="shared" si="92"/>
        <v>0.44208664898320077</v>
      </c>
      <c r="AJ353" s="5">
        <f t="shared" si="93"/>
        <v>0</v>
      </c>
      <c r="AK353" s="5">
        <f t="shared" si="94"/>
        <v>0.49563404302241643</v>
      </c>
    </row>
    <row r="354" spans="1:37" hidden="1" x14ac:dyDescent="0.3">
      <c r="A354">
        <v>5345681</v>
      </c>
      <c r="B354" t="s">
        <v>32</v>
      </c>
      <c r="C354">
        <v>139.5</v>
      </c>
      <c r="D354">
        <v>270267.57998947997</v>
      </c>
      <c r="I354">
        <v>-27023.27974696747</v>
      </c>
      <c r="J354">
        <v>28767.114902123471</v>
      </c>
      <c r="K354">
        <v>19042.92750080987</v>
      </c>
      <c r="L354">
        <v>19227.309040083379</v>
      </c>
      <c r="M354">
        <v>73121.454054233895</v>
      </c>
      <c r="N354">
        <v>56913.073673310108</v>
      </c>
      <c r="O354">
        <v>119481.68876634839</v>
      </c>
      <c r="P354" s="2">
        <v>44720.923611111109</v>
      </c>
      <c r="Q354" s="2">
        <v>44728.121527777781</v>
      </c>
      <c r="R354">
        <v>317482.28509521228</v>
      </c>
      <c r="S354">
        <v>6.3085233807131953</v>
      </c>
      <c r="T354">
        <f t="shared" si="95"/>
        <v>1.1675429217676885</v>
      </c>
      <c r="U354">
        <f t="shared" si="96"/>
        <v>2261.9999999999991</v>
      </c>
      <c r="V354">
        <f t="shared" si="97"/>
        <v>0</v>
      </c>
      <c r="W354">
        <f t="shared" si="98"/>
        <v>0</v>
      </c>
      <c r="X354">
        <f t="shared" si="99"/>
        <v>0</v>
      </c>
      <c r="Y354">
        <f t="shared" si="100"/>
        <v>0</v>
      </c>
      <c r="Z354">
        <f t="shared" si="101"/>
        <v>-226.17088882810035</v>
      </c>
      <c r="AA354">
        <f t="shared" si="102"/>
        <v>240.76588805485338</v>
      </c>
      <c r="AB354">
        <f t="shared" si="103"/>
        <v>159.37946389466538</v>
      </c>
      <c r="AC354">
        <f t="shared" si="104"/>
        <v>160.9226421103171</v>
      </c>
      <c r="AD354">
        <f t="shared" si="105"/>
        <v>611.988789321735</v>
      </c>
      <c r="AE354">
        <f t="shared" si="106"/>
        <v>476.33302023882572</v>
      </c>
      <c r="AF354">
        <f t="shared" si="107"/>
        <v>1000</v>
      </c>
      <c r="AG354">
        <f t="shared" si="108"/>
        <v>-395.16268637667736</v>
      </c>
      <c r="AH354">
        <f t="shared" si="109"/>
        <v>2657.1626863766764</v>
      </c>
      <c r="AI354" s="5">
        <f t="shared" si="92"/>
        <v>0.44208664898320088</v>
      </c>
      <c r="AJ354" s="5">
        <f t="shared" si="93"/>
        <v>0</v>
      </c>
      <c r="AK354" s="5">
        <f t="shared" si="94"/>
        <v>0.37634127753148833</v>
      </c>
    </row>
    <row r="355" spans="1:37" hidden="1" x14ac:dyDescent="0.3">
      <c r="A355">
        <v>5345973</v>
      </c>
      <c r="B355" t="s">
        <v>41</v>
      </c>
      <c r="C355">
        <v>24.583333333333329</v>
      </c>
      <c r="D355">
        <v>43559.261431316852</v>
      </c>
      <c r="I355">
        <v>7348.7025358640922</v>
      </c>
      <c r="J355">
        <v>5415.4753632533129</v>
      </c>
      <c r="K355">
        <v>4415.3338757463825</v>
      </c>
      <c r="L355">
        <v>6100.7696280245436</v>
      </c>
      <c r="M355">
        <v>11234.34052354863</v>
      </c>
      <c r="N355">
        <v>9984.068178834048</v>
      </c>
      <c r="O355">
        <v>19256.967918354039</v>
      </c>
      <c r="P355" s="2">
        <v>44725.25</v>
      </c>
      <c r="Q355" s="2">
        <v>44727.8125</v>
      </c>
      <c r="R355">
        <v>98354.98733617898</v>
      </c>
      <c r="S355">
        <v>5.4659128996266864</v>
      </c>
      <c r="T355">
        <f t="shared" si="95"/>
        <v>1.2765941885327996</v>
      </c>
      <c r="U355">
        <f t="shared" si="96"/>
        <v>2262.0000000000009</v>
      </c>
      <c r="V355">
        <f t="shared" si="97"/>
        <v>0</v>
      </c>
      <c r="W355">
        <f t="shared" si="98"/>
        <v>0</v>
      </c>
      <c r="X355">
        <f t="shared" si="99"/>
        <v>0</v>
      </c>
      <c r="Y355">
        <f t="shared" si="100"/>
        <v>0</v>
      </c>
      <c r="Z355">
        <f t="shared" si="101"/>
        <v>381.61264883553963</v>
      </c>
      <c r="AA355">
        <f t="shared" si="102"/>
        <v>281.22160177105354</v>
      </c>
      <c r="AB355">
        <f t="shared" si="103"/>
        <v>229.28499930345092</v>
      </c>
      <c r="AC355">
        <f t="shared" si="104"/>
        <v>316.80842248326275</v>
      </c>
      <c r="AD355">
        <f t="shared" si="105"/>
        <v>583.39093522823237</v>
      </c>
      <c r="AE355">
        <f t="shared" si="106"/>
        <v>518.46522366161889</v>
      </c>
      <c r="AF355">
        <f t="shared" si="107"/>
        <v>999.99999999999989</v>
      </c>
      <c r="AG355">
        <f t="shared" si="108"/>
        <v>-2845.5012303694848</v>
      </c>
      <c r="AH355">
        <f t="shared" si="109"/>
        <v>5107.5012303694857</v>
      </c>
      <c r="AI355" s="5">
        <f t="shared" si="92"/>
        <v>0.44208664898320055</v>
      </c>
      <c r="AJ355" s="5">
        <f t="shared" si="93"/>
        <v>0</v>
      </c>
      <c r="AK355" s="5">
        <f t="shared" si="94"/>
        <v>0.19579045699567224</v>
      </c>
    </row>
    <row r="356" spans="1:37" hidden="1" x14ac:dyDescent="0.3">
      <c r="A356">
        <v>5346247</v>
      </c>
      <c r="B356" t="s">
        <v>42</v>
      </c>
      <c r="C356">
        <v>27</v>
      </c>
      <c r="D356">
        <v>68301.030330799986</v>
      </c>
      <c r="I356">
        <v>0</v>
      </c>
      <c r="J356">
        <v>8668.0433567966247</v>
      </c>
      <c r="K356">
        <v>6431.806552585258</v>
      </c>
      <c r="L356">
        <v>0</v>
      </c>
      <c r="M356">
        <v>14289.22976293958</v>
      </c>
      <c r="N356">
        <v>13273.86669895367</v>
      </c>
      <c r="O356">
        <v>30194.973621043318</v>
      </c>
      <c r="P356" s="2">
        <v>44728.0625</v>
      </c>
      <c r="Q356" s="2">
        <v>44729.1875</v>
      </c>
      <c r="R356">
        <v>59522.937702811912</v>
      </c>
      <c r="S356">
        <v>5.0847200097227567</v>
      </c>
      <c r="T356">
        <f t="shared" si="95"/>
        <v>0.89418856061471452</v>
      </c>
      <c r="U356">
        <f t="shared" si="96"/>
        <v>2262</v>
      </c>
      <c r="V356">
        <f t="shared" si="97"/>
        <v>0</v>
      </c>
      <c r="W356">
        <f t="shared" si="98"/>
        <v>0</v>
      </c>
      <c r="X356">
        <f t="shared" si="99"/>
        <v>0</v>
      </c>
      <c r="Y356">
        <f t="shared" si="100"/>
        <v>0</v>
      </c>
      <c r="Z356">
        <f t="shared" si="101"/>
        <v>0</v>
      </c>
      <c r="AA356">
        <f t="shared" si="102"/>
        <v>287.0690819466634</v>
      </c>
      <c r="AB356">
        <f t="shared" si="103"/>
        <v>213.00917938550006</v>
      </c>
      <c r="AC356">
        <f t="shared" si="104"/>
        <v>0</v>
      </c>
      <c r="AD356">
        <f t="shared" si="105"/>
        <v>473.23206644503267</v>
      </c>
      <c r="AE356">
        <f t="shared" si="106"/>
        <v>439.60517619736947</v>
      </c>
      <c r="AF356">
        <f t="shared" si="107"/>
        <v>1000</v>
      </c>
      <c r="AG356">
        <f t="shared" si="108"/>
        <v>290.71370414678859</v>
      </c>
      <c r="AH356">
        <f t="shared" si="109"/>
        <v>1971.2862958532114</v>
      </c>
      <c r="AI356" s="5">
        <f t="shared" si="92"/>
        <v>0.44208664898320071</v>
      </c>
      <c r="AJ356" s="5">
        <f t="shared" si="93"/>
        <v>0</v>
      </c>
      <c r="AK356" s="5">
        <f t="shared" si="94"/>
        <v>0.50728298680084938</v>
      </c>
    </row>
    <row r="357" spans="1:37" hidden="1" x14ac:dyDescent="0.3">
      <c r="A357">
        <v>5346387</v>
      </c>
      <c r="B357" t="s">
        <v>39</v>
      </c>
      <c r="C357">
        <v>16.166666666666661</v>
      </c>
      <c r="D357">
        <v>40896.084453004667</v>
      </c>
      <c r="I357">
        <v>11984.722670400321</v>
      </c>
      <c r="J357">
        <v>5019.5552862911554</v>
      </c>
      <c r="K357">
        <v>2558.12791187732</v>
      </c>
      <c r="L357">
        <v>6745.1373371719474</v>
      </c>
      <c r="M357">
        <v>9493.3044240466588</v>
      </c>
      <c r="N357">
        <v>10515.182145182889</v>
      </c>
      <c r="O357">
        <v>18079.612932362808</v>
      </c>
      <c r="P357" s="2">
        <v>44729.1875</v>
      </c>
      <c r="Q357" s="2">
        <v>44729.861111111109</v>
      </c>
      <c r="R357">
        <v>35639.613024749618</v>
      </c>
      <c r="S357">
        <v>5.6557226892727526</v>
      </c>
      <c r="T357">
        <f t="shared" si="95"/>
        <v>0.89419318472952802</v>
      </c>
      <c r="U357">
        <f t="shared" si="96"/>
        <v>2261.9999999999995</v>
      </c>
      <c r="V357">
        <f t="shared" si="97"/>
        <v>0</v>
      </c>
      <c r="W357">
        <f t="shared" si="98"/>
        <v>0</v>
      </c>
      <c r="X357">
        <f t="shared" si="99"/>
        <v>0</v>
      </c>
      <c r="Y357">
        <f t="shared" si="100"/>
        <v>0</v>
      </c>
      <c r="Z357">
        <f t="shared" si="101"/>
        <v>662.88602058219226</v>
      </c>
      <c r="AA357">
        <f t="shared" si="102"/>
        <v>277.63621406440996</v>
      </c>
      <c r="AB357">
        <f t="shared" si="103"/>
        <v>141.49240481239664</v>
      </c>
      <c r="AC357">
        <f t="shared" si="104"/>
        <v>373.07974249260832</v>
      </c>
      <c r="AD357">
        <f t="shared" si="105"/>
        <v>525.08338865228052</v>
      </c>
      <c r="AE357">
        <f t="shared" si="106"/>
        <v>581.60438414920588</v>
      </c>
      <c r="AF357">
        <f t="shared" si="107"/>
        <v>1000.0000000000001</v>
      </c>
      <c r="AG357">
        <f t="shared" si="108"/>
        <v>290.74026351780299</v>
      </c>
      <c r="AH357">
        <f t="shared" si="109"/>
        <v>1971.2597364821966</v>
      </c>
      <c r="AI357" s="5">
        <f t="shared" si="92"/>
        <v>0.44208664898320077</v>
      </c>
      <c r="AJ357" s="5">
        <f t="shared" si="93"/>
        <v>0</v>
      </c>
      <c r="AK357" s="5">
        <f t="shared" si="94"/>
        <v>0.50728982157599689</v>
      </c>
    </row>
    <row r="358" spans="1:37" hidden="1" x14ac:dyDescent="0.3">
      <c r="A358">
        <v>5346451</v>
      </c>
      <c r="B358" t="s">
        <v>32</v>
      </c>
      <c r="C358">
        <v>141.83333333333329</v>
      </c>
      <c r="D358">
        <v>324534.08306712192</v>
      </c>
      <c r="I358">
        <v>5440.7149054439287</v>
      </c>
      <c r="J358">
        <v>39605.685554860444</v>
      </c>
      <c r="K358">
        <v>13499.449511872739</v>
      </c>
      <c r="L358">
        <v>-44303.331557698533</v>
      </c>
      <c r="M358">
        <v>109780.36450037389</v>
      </c>
      <c r="N358">
        <v>59448.028294276934</v>
      </c>
      <c r="O358">
        <v>143472.1852639796</v>
      </c>
      <c r="P358" s="2">
        <v>44729.861111111109</v>
      </c>
      <c r="Q358" s="2">
        <v>44736.770833333343</v>
      </c>
      <c r="R358">
        <v>342100.67292100389</v>
      </c>
      <c r="S358">
        <v>5.4488610699591762</v>
      </c>
      <c r="T358">
        <f t="shared" si="95"/>
        <v>0.98857721496587692</v>
      </c>
      <c r="U358">
        <f t="shared" si="96"/>
        <v>2262.0000000000005</v>
      </c>
      <c r="V358">
        <f t="shared" si="97"/>
        <v>0</v>
      </c>
      <c r="W358">
        <f t="shared" si="98"/>
        <v>0</v>
      </c>
      <c r="X358">
        <f t="shared" si="99"/>
        <v>0</v>
      </c>
      <c r="Y358">
        <f t="shared" si="100"/>
        <v>0</v>
      </c>
      <c r="Z358">
        <f t="shared" si="101"/>
        <v>37.921739990461312</v>
      </c>
      <c r="AA358">
        <f t="shared" si="102"/>
        <v>276.05131602330113</v>
      </c>
      <c r="AB358">
        <f t="shared" si="103"/>
        <v>94.091056653487357</v>
      </c>
      <c r="AC358">
        <f t="shared" si="104"/>
        <v>-308.79387162175897</v>
      </c>
      <c r="AD358">
        <f t="shared" si="105"/>
        <v>765.16827494043594</v>
      </c>
      <c r="AE358">
        <f t="shared" si="106"/>
        <v>414.35228845853555</v>
      </c>
      <c r="AF358">
        <f t="shared" si="107"/>
        <v>999.99999999999989</v>
      </c>
      <c r="AG358">
        <f t="shared" si="108"/>
        <v>-122.43899276755656</v>
      </c>
      <c r="AH358">
        <f t="shared" si="109"/>
        <v>2384.438992767557</v>
      </c>
      <c r="AI358" s="5">
        <f t="shared" si="92"/>
        <v>0.4420866489832006</v>
      </c>
      <c r="AJ358" s="5">
        <f t="shared" si="93"/>
        <v>0</v>
      </c>
      <c r="AK358" s="5">
        <f t="shared" si="94"/>
        <v>0.41938586100679626</v>
      </c>
    </row>
    <row r="359" spans="1:37" hidden="1" x14ac:dyDescent="0.3">
      <c r="A359">
        <v>5346838</v>
      </c>
      <c r="B359" t="s">
        <v>38</v>
      </c>
      <c r="C359">
        <v>6.333333333333333</v>
      </c>
      <c r="D359">
        <v>10675.21573132425</v>
      </c>
      <c r="I359">
        <v>-19980.939392222132</v>
      </c>
      <c r="J359">
        <v>1317.4118888186881</v>
      </c>
      <c r="K359">
        <v>0</v>
      </c>
      <c r="L359">
        <v>96.81523272774939</v>
      </c>
      <c r="M359">
        <v>4114.5110982721326</v>
      </c>
      <c r="N359">
        <v>1877.081394966845</v>
      </c>
      <c r="O359">
        <v>4719.3703498338846</v>
      </c>
      <c r="P359" s="2">
        <v>44734.253472222219</v>
      </c>
      <c r="Q359" s="2">
        <v>44734.520833333343</v>
      </c>
      <c r="R359">
        <v>9878.8064650131073</v>
      </c>
      <c r="S359">
        <v>5.7106131201641732</v>
      </c>
      <c r="T359">
        <f t="shared" si="95"/>
        <v>1.3419869312770205</v>
      </c>
      <c r="U359">
        <f t="shared" si="96"/>
        <v>2262.0000000000005</v>
      </c>
      <c r="V359">
        <f t="shared" si="97"/>
        <v>0</v>
      </c>
      <c r="W359">
        <f t="shared" si="98"/>
        <v>0</v>
      </c>
      <c r="X359">
        <f t="shared" si="99"/>
        <v>0</v>
      </c>
      <c r="Y359">
        <f t="shared" si="100"/>
        <v>0</v>
      </c>
      <c r="Z359">
        <f t="shared" si="101"/>
        <v>-4233.8146640526811</v>
      </c>
      <c r="AA359">
        <f t="shared" si="102"/>
        <v>279.14992703741916</v>
      </c>
      <c r="AB359">
        <f t="shared" si="103"/>
        <v>0</v>
      </c>
      <c r="AC359">
        <f t="shared" si="104"/>
        <v>20.514438484607837</v>
      </c>
      <c r="AD359">
        <f t="shared" si="105"/>
        <v>871.83475618033617</v>
      </c>
      <c r="AE359">
        <f t="shared" si="106"/>
        <v>397.73979489295976</v>
      </c>
      <c r="AF359">
        <f t="shared" si="107"/>
        <v>999.99999999999989</v>
      </c>
      <c r="AG359">
        <f t="shared" si="108"/>
        <v>168.7532885269693</v>
      </c>
      <c r="AH359">
        <f t="shared" si="109"/>
        <v>2093.2467114730312</v>
      </c>
      <c r="AI359" s="5">
        <f t="shared" si="92"/>
        <v>0.4420866489832006</v>
      </c>
      <c r="AJ359" s="5">
        <f t="shared" si="93"/>
        <v>0</v>
      </c>
      <c r="AK359" s="5">
        <f t="shared" si="94"/>
        <v>0.47772677464105201</v>
      </c>
    </row>
    <row r="360" spans="1:37" hidden="1" x14ac:dyDescent="0.3">
      <c r="A360">
        <v>5347045</v>
      </c>
      <c r="B360" t="s">
        <v>42</v>
      </c>
      <c r="C360">
        <v>33.583333333333329</v>
      </c>
      <c r="D360">
        <v>56533.015333171643</v>
      </c>
      <c r="I360">
        <v>8575.1426901267114</v>
      </c>
      <c r="J360">
        <v>8341.4895686916134</v>
      </c>
      <c r="K360">
        <v>0</v>
      </c>
      <c r="L360">
        <v>-84.740116083565908</v>
      </c>
      <c r="M360">
        <v>23015.61260631703</v>
      </c>
      <c r="N360">
        <v>10256.98994636811</v>
      </c>
      <c r="O360">
        <v>24992.491305557749</v>
      </c>
      <c r="P360" s="2">
        <v>44736.770833333343</v>
      </c>
      <c r="Q360" s="2">
        <v>44738.170138888891</v>
      </c>
      <c r="R360">
        <v>51639.888011138581</v>
      </c>
      <c r="S360">
        <v>5.1707567133357202</v>
      </c>
      <c r="T360">
        <f t="shared" si="95"/>
        <v>1.3437369217315753</v>
      </c>
      <c r="U360">
        <f t="shared" si="96"/>
        <v>2262.0000000000005</v>
      </c>
      <c r="V360">
        <f t="shared" si="97"/>
        <v>0</v>
      </c>
      <c r="W360">
        <f t="shared" si="98"/>
        <v>0</v>
      </c>
      <c r="X360">
        <f t="shared" si="99"/>
        <v>0</v>
      </c>
      <c r="Y360">
        <f t="shared" si="100"/>
        <v>0</v>
      </c>
      <c r="Z360">
        <f t="shared" si="101"/>
        <v>343.10875955850787</v>
      </c>
      <c r="AA360">
        <f t="shared" si="102"/>
        <v>333.75982676991708</v>
      </c>
      <c r="AB360">
        <f t="shared" si="103"/>
        <v>0</v>
      </c>
      <c r="AC360">
        <f t="shared" si="104"/>
        <v>-3.390623009428503</v>
      </c>
      <c r="AD360">
        <f t="shared" si="105"/>
        <v>920.90109484999175</v>
      </c>
      <c r="AE360">
        <f t="shared" si="106"/>
        <v>410.4028614421162</v>
      </c>
      <c r="AF360">
        <f t="shared" si="107"/>
        <v>1000</v>
      </c>
      <c r="AG360">
        <f t="shared" si="108"/>
        <v>195.78389613943546</v>
      </c>
      <c r="AH360">
        <f t="shared" si="109"/>
        <v>2066.216103860565</v>
      </c>
      <c r="AI360" s="5">
        <f t="shared" si="92"/>
        <v>0.4420866489832006</v>
      </c>
      <c r="AJ360" s="5">
        <f t="shared" si="93"/>
        <v>0</v>
      </c>
      <c r="AK360" s="5">
        <f t="shared" si="94"/>
        <v>0.48397648151690292</v>
      </c>
    </row>
    <row r="361" spans="1:37" hidden="1" x14ac:dyDescent="0.3">
      <c r="A361">
        <v>5347048</v>
      </c>
      <c r="B361" t="s">
        <v>32</v>
      </c>
      <c r="C361">
        <v>34.666666666666671</v>
      </c>
      <c r="D361">
        <v>58001.785255358343</v>
      </c>
      <c r="I361">
        <v>7702.3199982055958</v>
      </c>
      <c r="J361">
        <v>7757.5633229632349</v>
      </c>
      <c r="K361">
        <v>22194.140084237999</v>
      </c>
      <c r="L361">
        <v>22164.913130917241</v>
      </c>
      <c r="M361">
        <v>7205.3814678566869</v>
      </c>
      <c r="N361">
        <v>25209.674975126971</v>
      </c>
      <c r="O361">
        <v>25641.814878584591</v>
      </c>
      <c r="P361" s="2">
        <v>44738.166666666657</v>
      </c>
      <c r="Q361" s="2">
        <v>44739.614583333343</v>
      </c>
      <c r="R361">
        <v>53434.606058762787</v>
      </c>
      <c r="S361">
        <v>5.125482846691523</v>
      </c>
      <c r="T361">
        <f t="shared" si="95"/>
        <v>1.3519583863628706</v>
      </c>
      <c r="U361">
        <f t="shared" si="96"/>
        <v>2262</v>
      </c>
      <c r="V361">
        <f t="shared" si="97"/>
        <v>0</v>
      </c>
      <c r="W361">
        <f t="shared" si="98"/>
        <v>0</v>
      </c>
      <c r="X361">
        <f t="shared" si="99"/>
        <v>0</v>
      </c>
      <c r="Y361">
        <f t="shared" si="100"/>
        <v>0</v>
      </c>
      <c r="Z361">
        <f t="shared" si="101"/>
        <v>300.38123411609149</v>
      </c>
      <c r="AA361">
        <f t="shared" si="102"/>
        <v>302.53565746791816</v>
      </c>
      <c r="AB361">
        <f t="shared" si="103"/>
        <v>865.54482158647807</v>
      </c>
      <c r="AC361">
        <f t="shared" si="104"/>
        <v>864.40500549080969</v>
      </c>
      <c r="AD361">
        <f t="shared" si="105"/>
        <v>281.00122795420549</v>
      </c>
      <c r="AE361">
        <f t="shared" si="106"/>
        <v>983.14706250303163</v>
      </c>
      <c r="AF361">
        <f t="shared" si="107"/>
        <v>999.99999999999989</v>
      </c>
      <c r="AG361">
        <f t="shared" si="108"/>
        <v>178.11450625555972</v>
      </c>
      <c r="AH361">
        <f t="shared" si="109"/>
        <v>2083.8854937444403</v>
      </c>
      <c r="AI361" s="5">
        <f t="shared" si="92"/>
        <v>0.44208664898320071</v>
      </c>
      <c r="AJ361" s="5">
        <f t="shared" si="93"/>
        <v>0</v>
      </c>
      <c r="AK361" s="5">
        <f t="shared" si="94"/>
        <v>0.47987281594975972</v>
      </c>
    </row>
    <row r="362" spans="1:37" hidden="1" x14ac:dyDescent="0.3">
      <c r="A362">
        <v>5347176</v>
      </c>
      <c r="B362" t="s">
        <v>49</v>
      </c>
      <c r="C362">
        <v>3</v>
      </c>
      <c r="D362">
        <v>3681.0802201361262</v>
      </c>
      <c r="I362">
        <v>1857.212925697276</v>
      </c>
      <c r="J362">
        <v>547.96054670432795</v>
      </c>
      <c r="K362">
        <v>2024.264457704159</v>
      </c>
      <c r="L362">
        <v>7757.6119402346676</v>
      </c>
      <c r="M362">
        <v>0</v>
      </c>
      <c r="N362">
        <v>3304.115135359843</v>
      </c>
      <c r="O362">
        <v>1588.7268969081249</v>
      </c>
      <c r="P362" s="2">
        <v>44739.791666666657</v>
      </c>
      <c r="Q362" s="2">
        <v>44739.916666666657</v>
      </c>
      <c r="R362">
        <v>3379.0191823126411</v>
      </c>
      <c r="T362">
        <f t="shared" si="95"/>
        <v>1.8883044064013779</v>
      </c>
      <c r="U362">
        <f t="shared" si="96"/>
        <v>2317.0000000000005</v>
      </c>
      <c r="V362">
        <f t="shared" si="97"/>
        <v>0</v>
      </c>
      <c r="W362">
        <f t="shared" si="98"/>
        <v>0</v>
      </c>
      <c r="X362">
        <f t="shared" si="99"/>
        <v>0</v>
      </c>
      <c r="Y362">
        <f t="shared" si="100"/>
        <v>0</v>
      </c>
      <c r="Z362">
        <f t="shared" si="101"/>
        <v>1168.994450406587</v>
      </c>
      <c r="AA362">
        <f t="shared" si="102"/>
        <v>344.90543829196349</v>
      </c>
      <c r="AB362">
        <f t="shared" si="103"/>
        <v>1274.1424984014864</v>
      </c>
      <c r="AC362">
        <f t="shared" si="104"/>
        <v>4882.9109366323555</v>
      </c>
      <c r="AD362">
        <f t="shared" si="105"/>
        <v>0</v>
      </c>
      <c r="AE362">
        <f t="shared" si="106"/>
        <v>2079.725056452492</v>
      </c>
      <c r="AF362">
        <f t="shared" si="107"/>
        <v>1000</v>
      </c>
      <c r="AG362">
        <f t="shared" si="108"/>
        <v>190.12772957475318</v>
      </c>
      <c r="AH362">
        <f t="shared" si="109"/>
        <v>2126.8722704252473</v>
      </c>
      <c r="AI362" s="5">
        <f t="shared" si="92"/>
        <v>0.43159257660768224</v>
      </c>
      <c r="AJ362" s="5">
        <f t="shared" si="93"/>
        <v>0</v>
      </c>
      <c r="AK362" s="5">
        <f t="shared" si="94"/>
        <v>0.47017397984132819</v>
      </c>
    </row>
    <row r="363" spans="1:37" hidden="1" x14ac:dyDescent="0.3">
      <c r="A363">
        <v>5347179</v>
      </c>
      <c r="B363" t="s">
        <v>43</v>
      </c>
      <c r="C363">
        <v>27.916666666666671</v>
      </c>
      <c r="D363">
        <v>31927.353473321371</v>
      </c>
      <c r="I363">
        <v>4549.7046934611517</v>
      </c>
      <c r="J363">
        <v>5774.5074058640121</v>
      </c>
      <c r="K363">
        <v>15398.64395299155</v>
      </c>
      <c r="L363">
        <v>9660.2477477602843</v>
      </c>
      <c r="M363">
        <v>0</v>
      </c>
      <c r="N363">
        <v>11049.84950383813</v>
      </c>
      <c r="O363">
        <v>13779.608749814999</v>
      </c>
      <c r="P363" s="2">
        <v>44739.916666666657</v>
      </c>
      <c r="Q363" s="2">
        <v>44741.079861111109</v>
      </c>
      <c r="R363">
        <v>31349.754565764379</v>
      </c>
      <c r="S363">
        <v>5.1590881044077186</v>
      </c>
      <c r="T363">
        <f t="shared" si="95"/>
        <v>2.0259404438490658</v>
      </c>
      <c r="U363">
        <f t="shared" si="96"/>
        <v>2317.0000000000014</v>
      </c>
      <c r="V363">
        <f t="shared" si="97"/>
        <v>0</v>
      </c>
      <c r="W363">
        <f t="shared" si="98"/>
        <v>0</v>
      </c>
      <c r="X363">
        <f t="shared" si="99"/>
        <v>0</v>
      </c>
      <c r="Y363">
        <f t="shared" si="100"/>
        <v>0</v>
      </c>
      <c r="Z363">
        <f t="shared" si="101"/>
        <v>330.176623739207</v>
      </c>
      <c r="AA363">
        <f t="shared" si="102"/>
        <v>419.06178257358283</v>
      </c>
      <c r="AB363">
        <f t="shared" si="103"/>
        <v>1117.4950053061766</v>
      </c>
      <c r="AC363">
        <f t="shared" si="104"/>
        <v>701.05384870887428</v>
      </c>
      <c r="AD363">
        <f t="shared" si="105"/>
        <v>0</v>
      </c>
      <c r="AE363">
        <f t="shared" si="106"/>
        <v>801.89863910225176</v>
      </c>
      <c r="AF363">
        <f t="shared" si="107"/>
        <v>1000</v>
      </c>
      <c r="AG363">
        <f t="shared" si="108"/>
        <v>41.91693088272541</v>
      </c>
      <c r="AH363">
        <f t="shared" si="109"/>
        <v>2275.083069117276</v>
      </c>
      <c r="AI363" s="5">
        <f t="shared" si="92"/>
        <v>0.43159257660768208</v>
      </c>
      <c r="AJ363" s="5">
        <f t="shared" si="93"/>
        <v>0</v>
      </c>
      <c r="AK363" s="5">
        <f t="shared" si="94"/>
        <v>0.43954439008154389</v>
      </c>
    </row>
    <row r="364" spans="1:37" hidden="1" x14ac:dyDescent="0.3">
      <c r="A364">
        <v>5347246</v>
      </c>
      <c r="B364" t="s">
        <v>56</v>
      </c>
      <c r="C364">
        <v>57.583333333333343</v>
      </c>
      <c r="D364">
        <v>0</v>
      </c>
      <c r="E364">
        <v>87242.735155511793</v>
      </c>
      <c r="F364">
        <v>19193.401734212599</v>
      </c>
      <c r="G364">
        <v>68049.333421299205</v>
      </c>
      <c r="H364">
        <v>9693.6372395013113</v>
      </c>
      <c r="I364">
        <v>5551.3854879991159</v>
      </c>
      <c r="J364">
        <v>26492.571341711271</v>
      </c>
      <c r="K364">
        <v>65222.069565785692</v>
      </c>
      <c r="L364">
        <v>-4031.961405230938</v>
      </c>
      <c r="M364">
        <v>0</v>
      </c>
      <c r="N364">
        <v>56361.626982929643</v>
      </c>
      <c r="O364">
        <v>42478.690795360701</v>
      </c>
      <c r="P364" s="2">
        <v>44743.291666666657</v>
      </c>
      <c r="Q364" s="2">
        <v>44745.725694444453</v>
      </c>
      <c r="R364">
        <v>28.4874016938899</v>
      </c>
      <c r="S364">
        <v>5</v>
      </c>
      <c r="T364">
        <f t="shared" si="95"/>
        <v>1.3555816399977725</v>
      </c>
      <c r="U364">
        <f t="shared" si="96"/>
        <v>0</v>
      </c>
      <c r="V364">
        <f t="shared" si="97"/>
        <v>2053.7999999999997</v>
      </c>
      <c r="W364">
        <f t="shared" si="98"/>
        <v>451.83600000000007</v>
      </c>
      <c r="X364">
        <f t="shared" si="99"/>
        <v>1601.9639999999999</v>
      </c>
      <c r="Y364">
        <f t="shared" si="100"/>
        <v>228.19999999999996</v>
      </c>
      <c r="Z364">
        <f t="shared" si="101"/>
        <v>130.68636024454429</v>
      </c>
      <c r="AA364">
        <f t="shared" si="102"/>
        <v>623.66732226607724</v>
      </c>
      <c r="AB364">
        <f t="shared" si="103"/>
        <v>1535.4067732452079</v>
      </c>
      <c r="AC364">
        <f t="shared" si="104"/>
        <v>-94.917270983108722</v>
      </c>
      <c r="AD364">
        <f t="shared" si="105"/>
        <v>0</v>
      </c>
      <c r="AE364">
        <f t="shared" si="106"/>
        <v>1326.821187932778</v>
      </c>
      <c r="AF364">
        <f t="shared" si="107"/>
        <v>1000</v>
      </c>
      <c r="AG364">
        <f t="shared" si="108"/>
        <v>-0.67062805280715343</v>
      </c>
      <c r="AH364">
        <f t="shared" si="109"/>
        <v>0.67062805280715343</v>
      </c>
      <c r="AI364" s="5">
        <f t="shared" si="92"/>
        <v>0</v>
      </c>
      <c r="AJ364" s="5">
        <f t="shared" si="93"/>
        <v>0.4382120946538125</v>
      </c>
      <c r="AK364" s="5">
        <f t="shared" si="94"/>
        <v>1491.1395307937723</v>
      </c>
    </row>
    <row r="365" spans="1:37" hidden="1" x14ac:dyDescent="0.3">
      <c r="A365">
        <v>5347566</v>
      </c>
      <c r="B365" t="s">
        <v>48</v>
      </c>
      <c r="C365">
        <v>42.083333333333343</v>
      </c>
      <c r="D365">
        <v>0</v>
      </c>
      <c r="E365">
        <v>82015.215143786918</v>
      </c>
      <c r="F365">
        <v>17027.014886633118</v>
      </c>
      <c r="G365">
        <v>64988.200257153803</v>
      </c>
      <c r="I365">
        <v>0</v>
      </c>
      <c r="J365">
        <v>21202.542497762701</v>
      </c>
      <c r="K365">
        <v>46999.131971886702</v>
      </c>
      <c r="L365">
        <v>0</v>
      </c>
      <c r="M365">
        <v>0</v>
      </c>
      <c r="N365">
        <v>41013.451176636903</v>
      </c>
      <c r="O365">
        <v>36098.246102018893</v>
      </c>
      <c r="P365" s="2">
        <v>44745.722222222219</v>
      </c>
      <c r="Q365" s="2">
        <v>44747.479166666657</v>
      </c>
      <c r="R365">
        <v>18.477857639693951</v>
      </c>
      <c r="S365">
        <v>5.0041666030883789</v>
      </c>
      <c r="T365">
        <f t="shared" si="95"/>
        <v>1.1657999453602184</v>
      </c>
      <c r="U365">
        <f t="shared" si="96"/>
        <v>0</v>
      </c>
      <c r="V365">
        <f t="shared" si="97"/>
        <v>2272</v>
      </c>
      <c r="W365">
        <f t="shared" si="98"/>
        <v>471.68537879963191</v>
      </c>
      <c r="X365">
        <f t="shared" si="99"/>
        <v>1800.314621200368</v>
      </c>
      <c r="Y365">
        <f t="shared" si="100"/>
        <v>0</v>
      </c>
      <c r="Z365">
        <f t="shared" si="101"/>
        <v>0</v>
      </c>
      <c r="AA365">
        <f t="shared" si="102"/>
        <v>587.35658341519513</v>
      </c>
      <c r="AB365">
        <f t="shared" si="103"/>
        <v>1301.9782689458186</v>
      </c>
      <c r="AC365">
        <f t="shared" si="104"/>
        <v>0</v>
      </c>
      <c r="AD365">
        <f t="shared" si="105"/>
        <v>0</v>
      </c>
      <c r="AE365">
        <f t="shared" si="106"/>
        <v>1136.1618805724502</v>
      </c>
      <c r="AF365">
        <f t="shared" si="107"/>
        <v>1000</v>
      </c>
      <c r="AG365">
        <f t="shared" si="108"/>
        <v>-0.51187688142722609</v>
      </c>
      <c r="AH365">
        <f t="shared" si="109"/>
        <v>0.51187688142722609</v>
      </c>
      <c r="AI365" s="5">
        <f t="shared" si="92"/>
        <v>0</v>
      </c>
      <c r="AJ365" s="5">
        <f t="shared" si="93"/>
        <v>0.44014084507042256</v>
      </c>
      <c r="AK365" s="5">
        <f t="shared" si="94"/>
        <v>1953.5947730473363</v>
      </c>
    </row>
    <row r="366" spans="1:37" hidden="1" x14ac:dyDescent="0.3">
      <c r="A366">
        <v>5347766</v>
      </c>
      <c r="B366">
        <v>120</v>
      </c>
      <c r="C366">
        <v>96.666666666666671</v>
      </c>
      <c r="D366">
        <v>0</v>
      </c>
      <c r="E366">
        <v>105295.39299999989</v>
      </c>
      <c r="F366">
        <v>19197.37073999998</v>
      </c>
      <c r="G366">
        <v>86098.022259999911</v>
      </c>
      <c r="H366">
        <v>35098.464333333301</v>
      </c>
      <c r="I366">
        <v>-6538.1688061471896</v>
      </c>
      <c r="J366">
        <v>36876.304653889427</v>
      </c>
      <c r="K366">
        <v>78491.283309862978</v>
      </c>
      <c r="L366">
        <v>-14415.35646515537</v>
      </c>
      <c r="M366">
        <v>0</v>
      </c>
      <c r="N366">
        <v>51351.991929525633</v>
      </c>
      <c r="O366">
        <v>63354.62876052942</v>
      </c>
      <c r="P366" s="2">
        <v>44747.479166666657</v>
      </c>
      <c r="Q366" s="2">
        <v>44752.520833333343</v>
      </c>
      <c r="R366">
        <v>54.4006549678695</v>
      </c>
      <c r="S366">
        <v>5.0032894234908252</v>
      </c>
      <c r="T366">
        <f t="shared" si="95"/>
        <v>1.5258027480841461</v>
      </c>
      <c r="U366">
        <f t="shared" si="96"/>
        <v>0</v>
      </c>
      <c r="V366">
        <f t="shared" si="97"/>
        <v>1662</v>
      </c>
      <c r="W366">
        <f t="shared" si="98"/>
        <v>303.01449342498773</v>
      </c>
      <c r="X366">
        <f t="shared" si="99"/>
        <v>1358.9855065750123</v>
      </c>
      <c r="Y366">
        <f t="shared" si="100"/>
        <v>554</v>
      </c>
      <c r="Z366">
        <f t="shared" si="101"/>
        <v>-103.199544122663</v>
      </c>
      <c r="AA366">
        <f t="shared" si="102"/>
        <v>582.06172738026896</v>
      </c>
      <c r="AB366">
        <f t="shared" si="103"/>
        <v>1238.9194735328297</v>
      </c>
      <c r="AC366">
        <f t="shared" si="104"/>
        <v>-227.53438457737889</v>
      </c>
      <c r="AD366">
        <f t="shared" si="105"/>
        <v>0</v>
      </c>
      <c r="AE366">
        <f t="shared" si="106"/>
        <v>810.54838350688044</v>
      </c>
      <c r="AF366">
        <f t="shared" si="107"/>
        <v>1000</v>
      </c>
      <c r="AG366">
        <f t="shared" si="108"/>
        <v>-0.85866898807813175</v>
      </c>
      <c r="AH366">
        <f t="shared" si="109"/>
        <v>0.85866898807813175</v>
      </c>
      <c r="AI366" s="5">
        <f t="shared" si="92"/>
        <v>0</v>
      </c>
      <c r="AJ366" s="5">
        <f t="shared" si="93"/>
        <v>0.45126353790613716</v>
      </c>
      <c r="AK366" s="5">
        <f t="shared" si="94"/>
        <v>1164.5931248060963</v>
      </c>
    </row>
    <row r="367" spans="1:37" hidden="1" x14ac:dyDescent="0.3">
      <c r="A367">
        <v>5347986</v>
      </c>
      <c r="B367" t="s">
        <v>48</v>
      </c>
      <c r="C367">
        <v>173.16666666666671</v>
      </c>
      <c r="D367">
        <v>0</v>
      </c>
      <c r="E367">
        <v>327531.59250000038</v>
      </c>
      <c r="F367">
        <v>85423.896320833446</v>
      </c>
      <c r="G367">
        <v>242107.69617916699</v>
      </c>
      <c r="I367">
        <v>0</v>
      </c>
      <c r="J367">
        <v>95125.582065763141</v>
      </c>
      <c r="K367">
        <v>202429.05534083309</v>
      </c>
      <c r="L367">
        <v>0</v>
      </c>
      <c r="M367">
        <v>0</v>
      </c>
      <c r="N367">
        <v>179434.07303422911</v>
      </c>
      <c r="O367">
        <v>144160.03191021149</v>
      </c>
      <c r="P367" s="2">
        <v>44752.291666666657</v>
      </c>
      <c r="Q367" s="2">
        <v>44761.333333333343</v>
      </c>
      <c r="R367">
        <v>3640.1572072119729</v>
      </c>
      <c r="S367">
        <v>5</v>
      </c>
      <c r="T367">
        <f t="shared" si="95"/>
        <v>1.2012113508307329</v>
      </c>
      <c r="U367">
        <f t="shared" si="96"/>
        <v>0</v>
      </c>
      <c r="V367">
        <f t="shared" si="97"/>
        <v>2271.9999999999991</v>
      </c>
      <c r="W367">
        <f t="shared" si="98"/>
        <v>592.56296761947715</v>
      </c>
      <c r="X367">
        <f t="shared" si="99"/>
        <v>1679.4370323805224</v>
      </c>
      <c r="Y367">
        <f t="shared" si="100"/>
        <v>0</v>
      </c>
      <c r="Z367">
        <f t="shared" si="101"/>
        <v>0</v>
      </c>
      <c r="AA367">
        <f t="shared" si="102"/>
        <v>659.86099479369625</v>
      </c>
      <c r="AB367">
        <f t="shared" si="103"/>
        <v>1404.1967989221439</v>
      </c>
      <c r="AC367">
        <f t="shared" si="104"/>
        <v>0</v>
      </c>
      <c r="AD367">
        <f t="shared" si="105"/>
        <v>0</v>
      </c>
      <c r="AE367">
        <f t="shared" si="106"/>
        <v>1244.6866905938789</v>
      </c>
      <c r="AF367">
        <f t="shared" si="107"/>
        <v>999.99999999999989</v>
      </c>
      <c r="AG367">
        <f t="shared" si="108"/>
        <v>-25.250807446263646</v>
      </c>
      <c r="AH367">
        <f t="shared" si="109"/>
        <v>25.250807446263646</v>
      </c>
      <c r="AI367" s="5">
        <f t="shared" si="92"/>
        <v>0</v>
      </c>
      <c r="AJ367" s="5">
        <f t="shared" si="93"/>
        <v>0.44014084507042273</v>
      </c>
      <c r="AK367" s="5">
        <f t="shared" si="94"/>
        <v>39.602693978325419</v>
      </c>
    </row>
    <row r="368" spans="1:37" hidden="1" x14ac:dyDescent="0.3">
      <c r="A368">
        <v>5348404</v>
      </c>
      <c r="B368">
        <v>120</v>
      </c>
      <c r="C368">
        <v>34.75</v>
      </c>
      <c r="D368">
        <v>0</v>
      </c>
      <c r="E368">
        <v>36835.677999999993</v>
      </c>
      <c r="F368">
        <v>13807.01442</v>
      </c>
      <c r="G368">
        <v>23028.663579999989</v>
      </c>
      <c r="H368">
        <v>12278.559333333331</v>
      </c>
      <c r="I368">
        <v>15832.934118780109</v>
      </c>
      <c r="J368">
        <v>15253.28001347238</v>
      </c>
      <c r="K368">
        <v>29751.770376714408</v>
      </c>
      <c r="L368">
        <v>-23368.586069931858</v>
      </c>
      <c r="M368">
        <v>0</v>
      </c>
      <c r="N368">
        <v>21104.130582666661</v>
      </c>
      <c r="O368">
        <v>22163.464500601669</v>
      </c>
      <c r="P368" s="2">
        <v>44761.291666666657</v>
      </c>
      <c r="Q368" s="2">
        <v>44762.822916666657</v>
      </c>
      <c r="R368">
        <v>0</v>
      </c>
      <c r="S368">
        <v>5</v>
      </c>
      <c r="T368">
        <f t="shared" si="95"/>
        <v>1.5678956689761496</v>
      </c>
      <c r="U368">
        <f t="shared" si="96"/>
        <v>0</v>
      </c>
      <c r="V368">
        <f t="shared" si="97"/>
        <v>1662.0000000000009</v>
      </c>
      <c r="W368">
        <f t="shared" si="98"/>
        <v>622.96282332688475</v>
      </c>
      <c r="X368">
        <f t="shared" si="99"/>
        <v>1039.0371766731159</v>
      </c>
      <c r="Y368">
        <f t="shared" si="100"/>
        <v>554.00000000000023</v>
      </c>
      <c r="Z368">
        <f t="shared" si="101"/>
        <v>714.37090164086464</v>
      </c>
      <c r="AA368">
        <f t="shared" si="102"/>
        <v>688.21731426773556</v>
      </c>
      <c r="AB368">
        <f t="shared" si="103"/>
        <v>1342.3790480006742</v>
      </c>
      <c r="AC368">
        <f t="shared" si="104"/>
        <v>-1054.3742414141739</v>
      </c>
      <c r="AD368">
        <f t="shared" si="105"/>
        <v>0</v>
      </c>
      <c r="AE368">
        <f t="shared" si="106"/>
        <v>952.20359534014869</v>
      </c>
      <c r="AF368">
        <f t="shared" si="107"/>
        <v>1000</v>
      </c>
      <c r="AG368">
        <f t="shared" si="108"/>
        <v>0</v>
      </c>
      <c r="AH368">
        <f t="shared" si="109"/>
        <v>0</v>
      </c>
      <c r="AI368" s="5">
        <f t="shared" si="92"/>
        <v>0</v>
      </c>
      <c r="AJ368" s="5">
        <f t="shared" si="93"/>
        <v>0.45126353790613694</v>
      </c>
      <c r="AK368" s="5">
        <f t="shared" si="94"/>
        <v>0</v>
      </c>
    </row>
    <row r="369" spans="1:37" hidden="1" x14ac:dyDescent="0.3">
      <c r="A369">
        <v>5349422</v>
      </c>
      <c r="B369" t="s">
        <v>32</v>
      </c>
      <c r="C369">
        <v>9.75</v>
      </c>
      <c r="D369">
        <v>15464.817150984411</v>
      </c>
      <c r="I369">
        <v>2826.480244848603</v>
      </c>
      <c r="J369">
        <v>2832.917910293595</v>
      </c>
      <c r="K369">
        <v>1.288125</v>
      </c>
      <c r="L369">
        <v>231.4290042855873</v>
      </c>
      <c r="M369">
        <v>5307.0123290694246</v>
      </c>
      <c r="N369">
        <v>1.616995015376519E-2</v>
      </c>
      <c r="O369">
        <v>7172.9207564862754</v>
      </c>
      <c r="P369" s="2">
        <v>44763.802083333343</v>
      </c>
      <c r="Q369" s="2">
        <v>44764.399305555547</v>
      </c>
      <c r="R369">
        <v>24994.416567680091</v>
      </c>
      <c r="S369">
        <v>5.856621874717006</v>
      </c>
      <c r="T369">
        <f t="shared" si="95"/>
        <v>1.3592789229106348</v>
      </c>
      <c r="U369">
        <f t="shared" si="96"/>
        <v>2156</v>
      </c>
      <c r="V369">
        <f t="shared" si="97"/>
        <v>0</v>
      </c>
      <c r="W369">
        <f t="shared" si="98"/>
        <v>0</v>
      </c>
      <c r="X369">
        <f t="shared" si="99"/>
        <v>0</v>
      </c>
      <c r="Y369">
        <f t="shared" si="100"/>
        <v>0</v>
      </c>
      <c r="Z369">
        <f t="shared" si="101"/>
        <v>394.04872029189704</v>
      </c>
      <c r="AA369">
        <f t="shared" si="102"/>
        <v>394.94621597929478</v>
      </c>
      <c r="AB369">
        <f t="shared" si="103"/>
        <v>0.17958165769992424</v>
      </c>
      <c r="AC369">
        <f t="shared" si="104"/>
        <v>32.264263351342947</v>
      </c>
      <c r="AD369">
        <f t="shared" si="105"/>
        <v>739.86769256727655</v>
      </c>
      <c r="AE369">
        <f t="shared" si="106"/>
        <v>2.2543048644644717E-3</v>
      </c>
      <c r="AF369">
        <f t="shared" si="107"/>
        <v>1000</v>
      </c>
      <c r="AG369">
        <f t="shared" si="108"/>
        <v>-1328.5521672713762</v>
      </c>
      <c r="AH369">
        <f t="shared" si="109"/>
        <v>3484.5521672713762</v>
      </c>
      <c r="AI369" s="5">
        <f t="shared" si="92"/>
        <v>0.46382189239332094</v>
      </c>
      <c r="AJ369" s="5">
        <f t="shared" si="93"/>
        <v>0</v>
      </c>
      <c r="AK369" s="5">
        <f t="shared" si="94"/>
        <v>0.28698092380205714</v>
      </c>
    </row>
    <row r="370" spans="1:37" hidden="1" x14ac:dyDescent="0.3">
      <c r="A370">
        <v>5348079</v>
      </c>
      <c r="B370" t="s">
        <v>42</v>
      </c>
      <c r="C370">
        <v>5.75</v>
      </c>
      <c r="D370">
        <v>10794.90086799667</v>
      </c>
      <c r="I370">
        <v>-26252.89833413333</v>
      </c>
      <c r="J370">
        <v>1686.294850405935</v>
      </c>
      <c r="K370">
        <v>0</v>
      </c>
      <c r="L370">
        <v>58.203574574832828</v>
      </c>
      <c r="M370">
        <v>3692.2359435901649</v>
      </c>
      <c r="N370">
        <v>7.8835768877389008E-4</v>
      </c>
      <c r="O370">
        <v>5006.9113487925188</v>
      </c>
      <c r="P370" s="2">
        <v>44765.048611111109</v>
      </c>
      <c r="Q370" s="2">
        <v>44765.288194444453</v>
      </c>
      <c r="R370">
        <v>10071.97839645923</v>
      </c>
      <c r="S370">
        <v>5.0798132134580074</v>
      </c>
      <c r="T370">
        <f t="shared" si="95"/>
        <v>1.1484125840148312</v>
      </c>
      <c r="U370">
        <f t="shared" si="96"/>
        <v>2156</v>
      </c>
      <c r="V370">
        <f t="shared" si="97"/>
        <v>0</v>
      </c>
      <c r="W370">
        <f t="shared" si="98"/>
        <v>0</v>
      </c>
      <c r="X370">
        <f t="shared" si="99"/>
        <v>0</v>
      </c>
      <c r="Y370">
        <f t="shared" si="100"/>
        <v>0</v>
      </c>
      <c r="Z370">
        <f t="shared" si="101"/>
        <v>-5243.3319676140372</v>
      </c>
      <c r="AA370">
        <f t="shared" si="102"/>
        <v>336.79343070705789</v>
      </c>
      <c r="AB370">
        <f t="shared" si="103"/>
        <v>0</v>
      </c>
      <c r="AC370">
        <f t="shared" si="104"/>
        <v>11.624646517631946</v>
      </c>
      <c r="AD370">
        <f t="shared" si="105"/>
        <v>737.42786448188167</v>
      </c>
      <c r="AE370">
        <f t="shared" si="106"/>
        <v>1.574538939987449E-4</v>
      </c>
      <c r="AF370">
        <f t="shared" si="107"/>
        <v>1000</v>
      </c>
      <c r="AG370">
        <f t="shared" si="108"/>
        <v>144.38491540533937</v>
      </c>
      <c r="AH370">
        <f t="shared" si="109"/>
        <v>2011.6150845946606</v>
      </c>
      <c r="AI370" s="5">
        <f t="shared" si="92"/>
        <v>0.463821892393321</v>
      </c>
      <c r="AJ370" s="5">
        <f t="shared" si="93"/>
        <v>0</v>
      </c>
      <c r="AK370" s="5">
        <f t="shared" si="94"/>
        <v>0.4971129952535126</v>
      </c>
    </row>
    <row r="371" spans="1:37" hidden="1" x14ac:dyDescent="0.3">
      <c r="A371">
        <v>5348082</v>
      </c>
      <c r="B371" t="s">
        <v>39</v>
      </c>
      <c r="C371">
        <v>17.083333333333329</v>
      </c>
      <c r="D371">
        <v>28215.719370791161</v>
      </c>
      <c r="I371">
        <v>2963.4451639908189</v>
      </c>
      <c r="J371">
        <v>2756.9577247254529</v>
      </c>
      <c r="K371">
        <v>0</v>
      </c>
      <c r="L371">
        <v>116.9781982971756</v>
      </c>
      <c r="M371">
        <v>3654.3450548745882</v>
      </c>
      <c r="N371">
        <v>660.25976441362172</v>
      </c>
      <c r="O371">
        <v>12473.79282528345</v>
      </c>
      <c r="P371" s="2">
        <v>44766.1875</v>
      </c>
      <c r="Q371" s="2">
        <v>44766.895833333343</v>
      </c>
      <c r="R371">
        <v>25990.401848955909</v>
      </c>
      <c r="S371">
        <v>5</v>
      </c>
      <c r="T371">
        <f t="shared" si="95"/>
        <v>1.3695380044076637</v>
      </c>
      <c r="U371">
        <f t="shared" si="96"/>
        <v>2261.9999999999995</v>
      </c>
      <c r="V371">
        <f t="shared" si="97"/>
        <v>0</v>
      </c>
      <c r="W371">
        <f t="shared" si="98"/>
        <v>0</v>
      </c>
      <c r="X371">
        <f t="shared" si="99"/>
        <v>0</v>
      </c>
      <c r="Y371">
        <f t="shared" si="100"/>
        <v>0</v>
      </c>
      <c r="Z371">
        <f t="shared" si="101"/>
        <v>237.57370396469437</v>
      </c>
      <c r="AA371">
        <f t="shared" si="102"/>
        <v>221.02000276429993</v>
      </c>
      <c r="AB371">
        <f t="shared" si="103"/>
        <v>0</v>
      </c>
      <c r="AC371">
        <f t="shared" si="104"/>
        <v>9.3779173612751912</v>
      </c>
      <c r="AD371">
        <f t="shared" si="105"/>
        <v>292.9618205192171</v>
      </c>
      <c r="AE371">
        <f t="shared" si="106"/>
        <v>52.931756496334003</v>
      </c>
      <c r="AF371">
        <f t="shared" si="107"/>
        <v>999.99999999999989</v>
      </c>
      <c r="AG371">
        <f t="shared" si="108"/>
        <v>178.39942934795999</v>
      </c>
      <c r="AH371">
        <f t="shared" si="109"/>
        <v>2083.6005706520396</v>
      </c>
      <c r="AI371" s="5">
        <f t="shared" si="92"/>
        <v>0.44208664898320077</v>
      </c>
      <c r="AJ371" s="5">
        <f t="shared" si="93"/>
        <v>0</v>
      </c>
      <c r="AK371" s="5">
        <f t="shared" si="94"/>
        <v>0.4799384364187716</v>
      </c>
    </row>
    <row r="372" spans="1:37" hidden="1" x14ac:dyDescent="0.3">
      <c r="A372">
        <v>5348178</v>
      </c>
      <c r="B372" t="s">
        <v>43</v>
      </c>
      <c r="C372">
        <v>8.75</v>
      </c>
      <c r="D372">
        <v>10625.19109331322</v>
      </c>
      <c r="I372">
        <v>1430.583807563778</v>
      </c>
      <c r="J372">
        <v>1425.74887236533</v>
      </c>
      <c r="K372">
        <v>0</v>
      </c>
      <c r="L372">
        <v>5.6495342362694601</v>
      </c>
      <c r="M372">
        <v>2509.5729495726282</v>
      </c>
      <c r="N372">
        <v>7.9222712679194E-3</v>
      </c>
      <c r="O372">
        <v>4585.7536009120513</v>
      </c>
      <c r="P372" s="2">
        <v>44765.333333333343</v>
      </c>
      <c r="Q372" s="2">
        <v>44765.697916666657</v>
      </c>
      <c r="R372">
        <v>9826.9565776654363</v>
      </c>
      <c r="T372">
        <f t="shared" si="95"/>
        <v>1.9080833296973763</v>
      </c>
      <c r="U372">
        <f t="shared" si="96"/>
        <v>2316.9999999999995</v>
      </c>
      <c r="V372">
        <f t="shared" si="97"/>
        <v>0</v>
      </c>
      <c r="W372">
        <f t="shared" si="98"/>
        <v>0</v>
      </c>
      <c r="X372">
        <f t="shared" si="99"/>
        <v>0</v>
      </c>
      <c r="Y372">
        <f t="shared" si="100"/>
        <v>0</v>
      </c>
      <c r="Z372">
        <f t="shared" si="101"/>
        <v>311.96264170827931</v>
      </c>
      <c r="AA372">
        <f t="shared" si="102"/>
        <v>310.90830350801355</v>
      </c>
      <c r="AB372">
        <f t="shared" si="103"/>
        <v>0</v>
      </c>
      <c r="AC372">
        <f t="shared" si="104"/>
        <v>1.2319750967748977</v>
      </c>
      <c r="AD372">
        <f t="shared" si="105"/>
        <v>547.25420682731499</v>
      </c>
      <c r="AE372">
        <f t="shared" si="106"/>
        <v>1.7275832845322862E-3</v>
      </c>
      <c r="AF372">
        <f t="shared" si="107"/>
        <v>1000</v>
      </c>
      <c r="AG372">
        <f t="shared" si="108"/>
        <v>174.06833971389642</v>
      </c>
      <c r="AH372">
        <f t="shared" si="109"/>
        <v>2142.9316602861031</v>
      </c>
      <c r="AI372" s="5">
        <f t="shared" si="92"/>
        <v>0.43159257660768247</v>
      </c>
      <c r="AJ372" s="5">
        <f t="shared" si="93"/>
        <v>0</v>
      </c>
      <c r="AK372" s="5">
        <f t="shared" si="94"/>
        <v>0.46665043899089625</v>
      </c>
    </row>
    <row r="373" spans="1:37" hidden="1" x14ac:dyDescent="0.3">
      <c r="A373">
        <v>5348182</v>
      </c>
      <c r="B373" t="s">
        <v>46</v>
      </c>
      <c r="C373">
        <v>11.66666666666667</v>
      </c>
      <c r="D373">
        <v>14145.162196963891</v>
      </c>
      <c r="I373">
        <v>1605.343273887634</v>
      </c>
      <c r="J373">
        <v>1587.7110700523681</v>
      </c>
      <c r="K373">
        <v>0</v>
      </c>
      <c r="L373">
        <v>-25.6047846075802</v>
      </c>
      <c r="M373">
        <v>857.55692421875017</v>
      </c>
      <c r="N373">
        <v>9.4731047701998444E-3</v>
      </c>
      <c r="O373">
        <v>6104.94699912123</v>
      </c>
      <c r="P373" s="2">
        <v>44765.701388888891</v>
      </c>
      <c r="Q373" s="2">
        <v>44766.1875</v>
      </c>
      <c r="R373">
        <v>13433.066769372441</v>
      </c>
      <c r="T373">
        <f t="shared" si="95"/>
        <v>1.9110185016095989</v>
      </c>
      <c r="U373">
        <f t="shared" si="96"/>
        <v>2317.0000000000005</v>
      </c>
      <c r="V373">
        <f t="shared" si="97"/>
        <v>0</v>
      </c>
      <c r="W373">
        <f t="shared" si="98"/>
        <v>0</v>
      </c>
      <c r="X373">
        <f t="shared" si="99"/>
        <v>0</v>
      </c>
      <c r="Y373">
        <f t="shared" si="100"/>
        <v>0</v>
      </c>
      <c r="Z373">
        <f t="shared" si="101"/>
        <v>262.95777410003944</v>
      </c>
      <c r="AA373">
        <f t="shared" si="102"/>
        <v>260.06959114975274</v>
      </c>
      <c r="AB373">
        <f t="shared" si="103"/>
        <v>0</v>
      </c>
      <c r="AC373">
        <f t="shared" si="104"/>
        <v>-4.1941043241269504</v>
      </c>
      <c r="AD373">
        <f t="shared" si="105"/>
        <v>140.46918414561017</v>
      </c>
      <c r="AE373">
        <f t="shared" si="106"/>
        <v>1.551709584303261E-3</v>
      </c>
      <c r="AF373">
        <f t="shared" si="107"/>
        <v>1000</v>
      </c>
      <c r="AG373">
        <f t="shared" si="108"/>
        <v>116.64236031761675</v>
      </c>
      <c r="AH373">
        <f t="shared" si="109"/>
        <v>2200.3576396823837</v>
      </c>
      <c r="AI373" s="5">
        <f t="shared" si="92"/>
        <v>0.4315925766076823</v>
      </c>
      <c r="AJ373" s="5">
        <f t="shared" si="93"/>
        <v>0</v>
      </c>
      <c r="AK373" s="5">
        <f t="shared" si="94"/>
        <v>0.45447157405936411</v>
      </c>
    </row>
    <row r="374" spans="1:37" hidden="1" x14ac:dyDescent="0.3">
      <c r="A374">
        <v>5348085</v>
      </c>
      <c r="B374" t="s">
        <v>38</v>
      </c>
      <c r="C374">
        <v>8.0833333333333339</v>
      </c>
      <c r="D374">
        <v>13453.51466433817</v>
      </c>
      <c r="I374">
        <v>1356.1759732270029</v>
      </c>
      <c r="J374">
        <v>1249.8818532112671</v>
      </c>
      <c r="K374">
        <v>0</v>
      </c>
      <c r="L374">
        <v>-49.772228198094133</v>
      </c>
      <c r="M374">
        <v>6957.046118971979</v>
      </c>
      <c r="N374">
        <v>2478.1440663425178</v>
      </c>
      <c r="O374">
        <v>5947.6192150036113</v>
      </c>
      <c r="P374" s="2">
        <v>44767.111111111109</v>
      </c>
      <c r="Q374" s="2">
        <v>44767.444444444453</v>
      </c>
      <c r="R374">
        <v>12355.806564849679</v>
      </c>
      <c r="S374">
        <v>5</v>
      </c>
      <c r="T374">
        <f t="shared" si="95"/>
        <v>1.359087231566896</v>
      </c>
      <c r="U374">
        <f t="shared" si="96"/>
        <v>2262</v>
      </c>
      <c r="V374">
        <f t="shared" si="97"/>
        <v>0</v>
      </c>
      <c r="W374">
        <f t="shared" si="98"/>
        <v>0</v>
      </c>
      <c r="X374">
        <f t="shared" si="99"/>
        <v>0</v>
      </c>
      <c r="Y374">
        <f t="shared" si="100"/>
        <v>0</v>
      </c>
      <c r="Z374">
        <f t="shared" si="101"/>
        <v>228.01997306853133</v>
      </c>
      <c r="AA374">
        <f t="shared" si="102"/>
        <v>210.1482640412292</v>
      </c>
      <c r="AB374">
        <f t="shared" si="103"/>
        <v>0</v>
      </c>
      <c r="AC374">
        <f t="shared" si="104"/>
        <v>-8.3684288450305431</v>
      </c>
      <c r="AD374">
        <f t="shared" si="105"/>
        <v>1169.71949068662</v>
      </c>
      <c r="AE374">
        <f t="shared" si="106"/>
        <v>416.66152064528444</v>
      </c>
      <c r="AF374">
        <f t="shared" si="107"/>
        <v>1000</v>
      </c>
      <c r="AG374">
        <f t="shared" si="108"/>
        <v>184.56260560854025</v>
      </c>
      <c r="AH374">
        <f t="shared" si="109"/>
        <v>2077.4373943914597</v>
      </c>
      <c r="AI374" s="5">
        <f t="shared" si="92"/>
        <v>0.44208664898320066</v>
      </c>
      <c r="AJ374" s="5">
        <f t="shared" si="93"/>
        <v>0</v>
      </c>
      <c r="AK374" s="5">
        <f t="shared" si="94"/>
        <v>0.48136227965268163</v>
      </c>
    </row>
    <row r="375" spans="1:37" hidden="1" x14ac:dyDescent="0.3">
      <c r="A375">
        <v>5348099</v>
      </c>
      <c r="B375" t="s">
        <v>32</v>
      </c>
      <c r="C375">
        <v>14.66666666666667</v>
      </c>
      <c r="D375">
        <v>27727.17369208653</v>
      </c>
      <c r="I375">
        <v>-25317.05229738741</v>
      </c>
      <c r="J375">
        <v>2534.055224045585</v>
      </c>
      <c r="K375">
        <v>0</v>
      </c>
      <c r="L375">
        <v>4.5930644214706717</v>
      </c>
      <c r="M375">
        <v>8107.8654943123611</v>
      </c>
      <c r="N375">
        <v>6709.7317948455511</v>
      </c>
      <c r="O375">
        <v>12860.47017258188</v>
      </c>
      <c r="P375" s="2">
        <v>44767.444444444453</v>
      </c>
      <c r="Q375" s="2">
        <v>44768.055555555547</v>
      </c>
      <c r="R375">
        <v>26156.689544598979</v>
      </c>
      <c r="S375">
        <v>5.0189260429059956</v>
      </c>
      <c r="T375">
        <f t="shared" si="95"/>
        <v>1.1404456034535615</v>
      </c>
      <c r="U375">
        <f t="shared" si="96"/>
        <v>2155.9999999999995</v>
      </c>
      <c r="V375">
        <f t="shared" si="97"/>
        <v>0</v>
      </c>
      <c r="W375">
        <f t="shared" si="98"/>
        <v>0</v>
      </c>
      <c r="X375">
        <f t="shared" si="99"/>
        <v>0</v>
      </c>
      <c r="Y375">
        <f t="shared" si="100"/>
        <v>0</v>
      </c>
      <c r="Z375">
        <f t="shared" si="101"/>
        <v>-1968.5946126108649</v>
      </c>
      <c r="AA375">
        <f t="shared" si="102"/>
        <v>197.04219130713523</v>
      </c>
      <c r="AB375">
        <f t="shared" si="103"/>
        <v>0</v>
      </c>
      <c r="AC375">
        <f t="shared" si="104"/>
        <v>0.3571459176712638</v>
      </c>
      <c r="AD375">
        <f t="shared" si="105"/>
        <v>630.44860611691138</v>
      </c>
      <c r="AE375">
        <f t="shared" si="106"/>
        <v>521.73300857619415</v>
      </c>
      <c r="AF375">
        <f t="shared" si="107"/>
        <v>1000</v>
      </c>
      <c r="AG375">
        <f t="shared" si="108"/>
        <v>122.1171641792514</v>
      </c>
      <c r="AH375">
        <f t="shared" si="109"/>
        <v>2033.8828358207481</v>
      </c>
      <c r="AI375" s="5">
        <f t="shared" si="92"/>
        <v>0.463821892393321</v>
      </c>
      <c r="AJ375" s="5">
        <f t="shared" si="93"/>
        <v>0</v>
      </c>
      <c r="AK375" s="5">
        <f t="shared" si="94"/>
        <v>0.49167040617482888</v>
      </c>
    </row>
    <row r="376" spans="1:37" hidden="1" x14ac:dyDescent="0.3">
      <c r="A376">
        <v>5348102</v>
      </c>
      <c r="B376" t="s">
        <v>41</v>
      </c>
      <c r="C376">
        <v>64.333333333333343</v>
      </c>
      <c r="D376">
        <v>121210.2668571134</v>
      </c>
      <c r="I376">
        <v>16703.12987329586</v>
      </c>
      <c r="J376">
        <v>16074.49212293118</v>
      </c>
      <c r="K376">
        <v>57.025943006679007</v>
      </c>
      <c r="L376">
        <v>-6.6437936817322907</v>
      </c>
      <c r="M376">
        <v>48226.471394804452</v>
      </c>
      <c r="N376">
        <v>28913.811965743669</v>
      </c>
      <c r="O376">
        <v>56219.975351165776</v>
      </c>
      <c r="P376" s="2">
        <v>44768.059027777781</v>
      </c>
      <c r="Q376" s="2">
        <v>44771.236111111109</v>
      </c>
      <c r="R376">
        <v>151531.13573082371</v>
      </c>
      <c r="S376">
        <v>5.019318163394928</v>
      </c>
      <c r="T376">
        <f t="shared" si="95"/>
        <v>1.1443145062140148</v>
      </c>
      <c r="U376">
        <f t="shared" si="96"/>
        <v>2155.9999999999995</v>
      </c>
      <c r="V376">
        <f t="shared" si="97"/>
        <v>0</v>
      </c>
      <c r="W376">
        <f t="shared" si="98"/>
        <v>0</v>
      </c>
      <c r="X376">
        <f t="shared" si="99"/>
        <v>0</v>
      </c>
      <c r="Y376">
        <f t="shared" si="100"/>
        <v>0</v>
      </c>
      <c r="Z376">
        <f t="shared" si="101"/>
        <v>297.10311626718823</v>
      </c>
      <c r="AA376">
        <f t="shared" si="102"/>
        <v>285.92136553823411</v>
      </c>
      <c r="AB376">
        <f t="shared" si="103"/>
        <v>1.0143359660063693</v>
      </c>
      <c r="AC376">
        <f t="shared" si="104"/>
        <v>-0.11817496610827889</v>
      </c>
      <c r="AD376">
        <f t="shared" si="105"/>
        <v>857.81736995735685</v>
      </c>
      <c r="AE376">
        <f t="shared" si="106"/>
        <v>514.29784138359844</v>
      </c>
      <c r="AF376">
        <f t="shared" si="107"/>
        <v>1000</v>
      </c>
      <c r="AG376">
        <f t="shared" si="108"/>
        <v>-539.32554549015049</v>
      </c>
      <c r="AH376">
        <f t="shared" si="109"/>
        <v>2695.32554549015</v>
      </c>
      <c r="AI376" s="5">
        <f t="shared" si="92"/>
        <v>0.463821892393321</v>
      </c>
      <c r="AJ376" s="5">
        <f t="shared" si="93"/>
        <v>0</v>
      </c>
      <c r="AK376" s="5">
        <f t="shared" si="94"/>
        <v>0.37101269702771578</v>
      </c>
    </row>
    <row r="377" spans="1:37" hidden="1" x14ac:dyDescent="0.3">
      <c r="A377">
        <v>5348111</v>
      </c>
      <c r="B377" t="s">
        <v>32</v>
      </c>
      <c r="C377">
        <v>33.5</v>
      </c>
      <c r="D377">
        <v>63469.433799710787</v>
      </c>
      <c r="I377">
        <v>7311.1933493789029</v>
      </c>
      <c r="J377">
        <v>7047.9524238409131</v>
      </c>
      <c r="K377">
        <v>6788.0236027352439</v>
      </c>
      <c r="L377">
        <v>6650.2842432500338</v>
      </c>
      <c r="M377">
        <v>15455.03379812879</v>
      </c>
      <c r="N377">
        <v>11027.50042241715</v>
      </c>
      <c r="O377">
        <v>29438.512894114469</v>
      </c>
      <c r="P377" s="2">
        <v>44770.319444444453</v>
      </c>
      <c r="Q377" s="2">
        <v>44773.475694444453</v>
      </c>
      <c r="R377">
        <v>158950.66380478471</v>
      </c>
      <c r="S377">
        <v>5.0020833015441886</v>
      </c>
      <c r="T377">
        <f t="shared" si="95"/>
        <v>1.1379650908486458</v>
      </c>
      <c r="U377">
        <f t="shared" si="96"/>
        <v>2156</v>
      </c>
      <c r="V377">
        <f t="shared" si="97"/>
        <v>0</v>
      </c>
      <c r="W377">
        <f t="shared" si="98"/>
        <v>0</v>
      </c>
      <c r="X377">
        <f t="shared" si="99"/>
        <v>0</v>
      </c>
      <c r="Y377">
        <f t="shared" si="100"/>
        <v>0</v>
      </c>
      <c r="Z377">
        <f t="shared" si="101"/>
        <v>248.35471056829783</v>
      </c>
      <c r="AA377">
        <f t="shared" si="102"/>
        <v>239.41265135203156</v>
      </c>
      <c r="AB377">
        <f t="shared" si="103"/>
        <v>230.58310136624965</v>
      </c>
      <c r="AC377">
        <f t="shared" si="104"/>
        <v>225.90421829968184</v>
      </c>
      <c r="AD377">
        <f t="shared" si="105"/>
        <v>524.99369970616476</v>
      </c>
      <c r="AE377">
        <f t="shared" si="106"/>
        <v>374.59434388147491</v>
      </c>
      <c r="AF377">
        <f t="shared" si="107"/>
        <v>1000</v>
      </c>
      <c r="AG377">
        <f t="shared" si="108"/>
        <v>-3243.4121366287873</v>
      </c>
      <c r="AH377">
        <f t="shared" si="109"/>
        <v>5399.4121366287873</v>
      </c>
      <c r="AI377" s="5">
        <f t="shared" si="92"/>
        <v>0.463821892393321</v>
      </c>
      <c r="AJ377" s="5">
        <f t="shared" si="93"/>
        <v>0</v>
      </c>
      <c r="AK377" s="5">
        <f t="shared" si="94"/>
        <v>0.18520534730367269</v>
      </c>
    </row>
    <row r="378" spans="1:37" hidden="1" x14ac:dyDescent="0.3">
      <c r="A378">
        <v>5348107</v>
      </c>
      <c r="B378" t="s">
        <v>42</v>
      </c>
      <c r="C378">
        <v>5.833333333333333</v>
      </c>
      <c r="D378">
        <v>11017.05002857205</v>
      </c>
      <c r="I378">
        <v>1326.1262443160999</v>
      </c>
      <c r="J378">
        <v>1369.5803483328859</v>
      </c>
      <c r="K378">
        <v>1534.2754270737919</v>
      </c>
      <c r="L378">
        <v>1557.0313120902949</v>
      </c>
      <c r="M378">
        <v>2310.8922099187921</v>
      </c>
      <c r="N378">
        <v>1763.8926269607409</v>
      </c>
      <c r="O378">
        <v>5109.9489928441799</v>
      </c>
      <c r="P378" s="2">
        <v>44774.291666666657</v>
      </c>
      <c r="Q378" s="2">
        <v>44774.534722222219</v>
      </c>
      <c r="R378">
        <v>10258.47409035584</v>
      </c>
      <c r="S378">
        <v>5.0558035582691048</v>
      </c>
      <c r="T378">
        <f t="shared" si="95"/>
        <v>1.1415639063133818</v>
      </c>
      <c r="U378">
        <f t="shared" si="96"/>
        <v>2156</v>
      </c>
      <c r="V378">
        <f t="shared" si="97"/>
        <v>0</v>
      </c>
      <c r="W378">
        <f t="shared" si="98"/>
        <v>0</v>
      </c>
      <c r="X378">
        <f t="shared" si="99"/>
        <v>0</v>
      </c>
      <c r="Y378">
        <f t="shared" si="100"/>
        <v>0</v>
      </c>
      <c r="Z378">
        <f t="shared" si="101"/>
        <v>259.51848955305962</v>
      </c>
      <c r="AA378">
        <f t="shared" si="102"/>
        <v>268.02231299193113</v>
      </c>
      <c r="AB378">
        <f t="shared" si="103"/>
        <v>300.25259140988402</v>
      </c>
      <c r="AC378">
        <f t="shared" si="104"/>
        <v>304.70584232263673</v>
      </c>
      <c r="AD378">
        <f t="shared" si="105"/>
        <v>452.23390940983882</v>
      </c>
      <c r="AE378">
        <f t="shared" si="106"/>
        <v>345.18791272297307</v>
      </c>
      <c r="AF378">
        <f t="shared" si="107"/>
        <v>1000.0000000000001</v>
      </c>
      <c r="AG378">
        <f t="shared" si="108"/>
        <v>148.45078478836081</v>
      </c>
      <c r="AH378">
        <f t="shared" si="109"/>
        <v>2007.5492152116392</v>
      </c>
      <c r="AI378" s="5">
        <f t="shared" si="92"/>
        <v>0.46382189239332106</v>
      </c>
      <c r="AJ378" s="5">
        <f t="shared" si="93"/>
        <v>0</v>
      </c>
      <c r="AK378" s="5">
        <f t="shared" si="94"/>
        <v>0.49811979323982764</v>
      </c>
    </row>
    <row r="379" spans="1:37" hidden="1" x14ac:dyDescent="0.3">
      <c r="A379">
        <v>5350144</v>
      </c>
      <c r="B379" t="s">
        <v>38</v>
      </c>
      <c r="C379">
        <v>6.666666666666667</v>
      </c>
      <c r="D379">
        <v>11225.363949345199</v>
      </c>
      <c r="I379">
        <v>-26655.597078397979</v>
      </c>
      <c r="J379">
        <v>1318.2598337078541</v>
      </c>
      <c r="K379">
        <v>511.63242647096212</v>
      </c>
      <c r="L379">
        <v>614.3698992802058</v>
      </c>
      <c r="M379">
        <v>3667.209840106374</v>
      </c>
      <c r="N379">
        <v>1891.487814743959</v>
      </c>
      <c r="O379">
        <v>4962.5835319828457</v>
      </c>
      <c r="P379" s="2">
        <v>44772.263888888891</v>
      </c>
      <c r="Q379" s="2">
        <v>44772.552083333343</v>
      </c>
      <c r="R379">
        <v>10676.949632023639</v>
      </c>
      <c r="T379">
        <f t="shared" si="95"/>
        <v>1.3433862873443541</v>
      </c>
      <c r="U379">
        <f t="shared" si="96"/>
        <v>2262.0000000000005</v>
      </c>
      <c r="V379">
        <f t="shared" si="97"/>
        <v>0</v>
      </c>
      <c r="W379">
        <f t="shared" si="98"/>
        <v>0</v>
      </c>
      <c r="X379">
        <f t="shared" si="99"/>
        <v>0</v>
      </c>
      <c r="Y379">
        <f t="shared" si="100"/>
        <v>0</v>
      </c>
      <c r="Z379">
        <f t="shared" si="101"/>
        <v>-5371.3145394144103</v>
      </c>
      <c r="AA379">
        <f t="shared" si="102"/>
        <v>265.63982756399696</v>
      </c>
      <c r="AB379">
        <f t="shared" si="103"/>
        <v>103.09799788227136</v>
      </c>
      <c r="AC379">
        <f t="shared" si="104"/>
        <v>123.80041470752407</v>
      </c>
      <c r="AD379">
        <f t="shared" si="105"/>
        <v>738.97191180197763</v>
      </c>
      <c r="AE379">
        <f t="shared" si="106"/>
        <v>381.14981895089591</v>
      </c>
      <c r="AF379">
        <f t="shared" si="107"/>
        <v>1000</v>
      </c>
      <c r="AG379">
        <f t="shared" si="108"/>
        <v>110.5098410509645</v>
      </c>
      <c r="AH379">
        <f t="shared" si="109"/>
        <v>2151.490158949036</v>
      </c>
      <c r="AI379" s="5">
        <f t="shared" si="92"/>
        <v>0.4420866489832006</v>
      </c>
      <c r="AJ379" s="5">
        <f t="shared" si="93"/>
        <v>0</v>
      </c>
      <c r="AK379" s="5">
        <f t="shared" si="94"/>
        <v>0.46479413156529709</v>
      </c>
    </row>
    <row r="380" spans="1:37" hidden="1" x14ac:dyDescent="0.3">
      <c r="A380">
        <v>5350088</v>
      </c>
      <c r="B380" t="s">
        <v>39</v>
      </c>
      <c r="C380">
        <v>20.25</v>
      </c>
      <c r="D380">
        <v>34123.503916443158</v>
      </c>
      <c r="I380">
        <v>4458.4083699798639</v>
      </c>
      <c r="J380">
        <v>4452.5067677246852</v>
      </c>
      <c r="K380">
        <v>0</v>
      </c>
      <c r="L380">
        <v>-45.57598747510383</v>
      </c>
      <c r="M380">
        <v>11122.892306713749</v>
      </c>
      <c r="N380">
        <v>6288.3040812207591</v>
      </c>
      <c r="O380">
        <v>15085.54549798548</v>
      </c>
      <c r="P380" s="2">
        <v>44771.430555555547</v>
      </c>
      <c r="Q380" s="2">
        <v>44772.274305555547</v>
      </c>
      <c r="R380">
        <v>34624.685750736091</v>
      </c>
      <c r="S380">
        <v>5</v>
      </c>
      <c r="T380">
        <f t="shared" si="95"/>
        <v>1.3423445643847736</v>
      </c>
      <c r="U380">
        <f t="shared" si="96"/>
        <v>2262.0000000000005</v>
      </c>
      <c r="V380">
        <f t="shared" si="97"/>
        <v>0</v>
      </c>
      <c r="W380">
        <f t="shared" si="98"/>
        <v>0</v>
      </c>
      <c r="X380">
        <f t="shared" si="99"/>
        <v>0</v>
      </c>
      <c r="Y380">
        <f t="shared" si="100"/>
        <v>0</v>
      </c>
      <c r="Z380">
        <f t="shared" si="101"/>
        <v>295.54174030864436</v>
      </c>
      <c r="AA380">
        <f t="shared" si="102"/>
        <v>295.1505312366246</v>
      </c>
      <c r="AB380">
        <f t="shared" si="103"/>
        <v>0</v>
      </c>
      <c r="AC380">
        <f t="shared" si="104"/>
        <v>-3.0211693359839082</v>
      </c>
      <c r="AD380">
        <f t="shared" si="105"/>
        <v>737.32118657552667</v>
      </c>
      <c r="AE380">
        <f t="shared" si="106"/>
        <v>416.84300259877892</v>
      </c>
      <c r="AF380">
        <f t="shared" si="107"/>
        <v>1000</v>
      </c>
      <c r="AG380">
        <f t="shared" si="108"/>
        <v>-33.222652396616922</v>
      </c>
      <c r="AH380">
        <f t="shared" si="109"/>
        <v>2295.2226523966174</v>
      </c>
      <c r="AI380" s="5">
        <f t="shared" si="92"/>
        <v>0.44208664898320066</v>
      </c>
      <c r="AJ380" s="5">
        <f t="shared" si="93"/>
        <v>0</v>
      </c>
      <c r="AK380" s="5">
        <f t="shared" si="94"/>
        <v>0.43568757869996766</v>
      </c>
    </row>
    <row r="381" spans="1:37" hidden="1" x14ac:dyDescent="0.3">
      <c r="A381">
        <v>5350149</v>
      </c>
      <c r="B381" t="s">
        <v>40</v>
      </c>
      <c r="C381">
        <v>31.5</v>
      </c>
      <c r="D381">
        <v>69407.125805223506</v>
      </c>
      <c r="I381">
        <v>7847.0654950543731</v>
      </c>
      <c r="J381">
        <v>7661.8202740948436</v>
      </c>
      <c r="K381">
        <v>4611.6071684933622</v>
      </c>
      <c r="L381">
        <v>4768.3699694881616</v>
      </c>
      <c r="M381">
        <v>17641.571077753641</v>
      </c>
      <c r="N381">
        <v>12436.392848982159</v>
      </c>
      <c r="O381">
        <v>45011.10622906842</v>
      </c>
      <c r="P381" s="2">
        <v>44774.534722222219</v>
      </c>
      <c r="Q381" s="2">
        <v>44775.847222222219</v>
      </c>
      <c r="R381">
        <v>82291.866362869128</v>
      </c>
      <c r="S381">
        <v>5.346253180213667</v>
      </c>
      <c r="T381">
        <f t="shared" si="95"/>
        <v>0.69982727906511943</v>
      </c>
      <c r="U381">
        <f t="shared" si="96"/>
        <v>1542.0000000000002</v>
      </c>
      <c r="V381">
        <f t="shared" si="97"/>
        <v>0</v>
      </c>
      <c r="W381">
        <f t="shared" si="98"/>
        <v>0</v>
      </c>
      <c r="X381">
        <f t="shared" si="99"/>
        <v>0</v>
      </c>
      <c r="Y381">
        <f t="shared" si="100"/>
        <v>0</v>
      </c>
      <c r="Z381">
        <f t="shared" si="101"/>
        <v>174.33620616030751</v>
      </c>
      <c r="AA381">
        <f t="shared" si="102"/>
        <v>170.22066143192893</v>
      </c>
      <c r="AB381">
        <f t="shared" si="103"/>
        <v>102.45487291567966</v>
      </c>
      <c r="AC381">
        <f t="shared" si="104"/>
        <v>105.93763115310243</v>
      </c>
      <c r="AD381">
        <f t="shared" si="105"/>
        <v>391.93818050089641</v>
      </c>
      <c r="AE381">
        <f t="shared" si="106"/>
        <v>276.29609425041565</v>
      </c>
      <c r="AF381">
        <f t="shared" si="107"/>
        <v>1000</v>
      </c>
      <c r="AG381">
        <f t="shared" si="108"/>
        <v>-286.25691828308322</v>
      </c>
      <c r="AH381">
        <f t="shared" si="109"/>
        <v>1828.2569182830835</v>
      </c>
      <c r="AI381" s="5">
        <f t="shared" si="92"/>
        <v>0.64850843060959795</v>
      </c>
      <c r="AJ381" s="5">
        <f t="shared" si="93"/>
        <v>0</v>
      </c>
      <c r="AK381" s="5">
        <f t="shared" si="94"/>
        <v>0.54696907748561963</v>
      </c>
    </row>
    <row r="382" spans="1:37" hidden="1" x14ac:dyDescent="0.3">
      <c r="A382">
        <v>5350342</v>
      </c>
      <c r="B382" t="s">
        <v>42</v>
      </c>
      <c r="C382">
        <v>2.5</v>
      </c>
      <c r="D382">
        <v>5979.385725172021</v>
      </c>
      <c r="I382">
        <v>1085.438493889867</v>
      </c>
      <c r="J382">
        <v>955.40910085852761</v>
      </c>
      <c r="K382">
        <v>1059.964054279741</v>
      </c>
      <c r="L382">
        <v>954.06833388128121</v>
      </c>
      <c r="M382">
        <v>295.34488798097328</v>
      </c>
      <c r="N382">
        <v>549.17411639631348</v>
      </c>
      <c r="O382">
        <v>2773.3700023988958</v>
      </c>
      <c r="P382" s="2">
        <v>44775.850694444453</v>
      </c>
      <c r="Q382" s="2">
        <v>44775.954861111109</v>
      </c>
      <c r="R382">
        <v>5244.4097895131636</v>
      </c>
      <c r="S382">
        <v>5.016231309122114</v>
      </c>
      <c r="T382">
        <f t="shared" si="95"/>
        <v>0.90143038896272853</v>
      </c>
      <c r="U382">
        <f t="shared" si="96"/>
        <v>2156.0000000000009</v>
      </c>
      <c r="V382">
        <f t="shared" si="97"/>
        <v>0</v>
      </c>
      <c r="W382">
        <f t="shared" si="98"/>
        <v>0</v>
      </c>
      <c r="X382">
        <f t="shared" si="99"/>
        <v>0</v>
      </c>
      <c r="Y382">
        <f t="shared" si="100"/>
        <v>0</v>
      </c>
      <c r="Z382">
        <f t="shared" si="101"/>
        <v>391.37889749690447</v>
      </c>
      <c r="AA382">
        <f t="shared" si="102"/>
        <v>344.49391896217327</v>
      </c>
      <c r="AB382">
        <f t="shared" si="103"/>
        <v>382.19352389435909</v>
      </c>
      <c r="AC382">
        <f t="shared" si="104"/>
        <v>344.01047572305026</v>
      </c>
      <c r="AD382">
        <f t="shared" si="105"/>
        <v>106.49314290033689</v>
      </c>
      <c r="AE382">
        <f t="shared" si="106"/>
        <v>198.01689494055665</v>
      </c>
      <c r="AF382">
        <f t="shared" si="107"/>
        <v>1000.0000000000001</v>
      </c>
      <c r="AG382">
        <f t="shared" si="108"/>
        <v>265.01185742368421</v>
      </c>
      <c r="AH382">
        <f t="shared" si="109"/>
        <v>1890.9881425763167</v>
      </c>
      <c r="AI382" s="5">
        <f t="shared" si="92"/>
        <v>0.46382189239332083</v>
      </c>
      <c r="AJ382" s="5">
        <f t="shared" si="93"/>
        <v>0</v>
      </c>
      <c r="AK382" s="5">
        <f t="shared" si="94"/>
        <v>0.52882404573810904</v>
      </c>
    </row>
    <row r="383" spans="1:37" hidden="1" x14ac:dyDescent="0.3">
      <c r="A383">
        <v>5350354</v>
      </c>
      <c r="B383" t="s">
        <v>32</v>
      </c>
      <c r="C383">
        <v>74.333333333333343</v>
      </c>
      <c r="D383">
        <v>151202.46981061349</v>
      </c>
      <c r="I383">
        <v>13285.176007072079</v>
      </c>
      <c r="J383">
        <v>17795.69157613234</v>
      </c>
      <c r="K383">
        <v>18966.068615451419</v>
      </c>
      <c r="L383">
        <v>12389.10901643185</v>
      </c>
      <c r="M383">
        <v>27094.49046623729</v>
      </c>
      <c r="N383">
        <v>21491.63603516735</v>
      </c>
      <c r="O383">
        <v>70131.015682102749</v>
      </c>
      <c r="P383" s="2">
        <v>44778.743055555547</v>
      </c>
      <c r="Q383" s="2">
        <v>44783.673611111109</v>
      </c>
      <c r="R383">
        <v>243405.4515223894</v>
      </c>
      <c r="S383">
        <v>5.0217971002545641</v>
      </c>
      <c r="T383">
        <f t="shared" si="95"/>
        <v>1.0599209580862097</v>
      </c>
      <c r="U383">
        <f t="shared" si="96"/>
        <v>2155.9999999999995</v>
      </c>
      <c r="V383">
        <f t="shared" si="97"/>
        <v>0</v>
      </c>
      <c r="W383">
        <f t="shared" si="98"/>
        <v>0</v>
      </c>
      <c r="X383">
        <f t="shared" si="99"/>
        <v>0</v>
      </c>
      <c r="Y383">
        <f t="shared" si="100"/>
        <v>0</v>
      </c>
      <c r="Z383">
        <f t="shared" si="101"/>
        <v>189.43367464250801</v>
      </c>
      <c r="AA383">
        <f t="shared" si="102"/>
        <v>253.74923495759026</v>
      </c>
      <c r="AB383">
        <f t="shared" si="103"/>
        <v>270.43767199127433</v>
      </c>
      <c r="AC383">
        <f t="shared" si="104"/>
        <v>176.65663181880194</v>
      </c>
      <c r="AD383">
        <f t="shared" si="105"/>
        <v>386.34105328024981</v>
      </c>
      <c r="AE383">
        <f t="shared" si="106"/>
        <v>306.44980435741729</v>
      </c>
      <c r="AF383">
        <f t="shared" si="107"/>
        <v>1000.0000000000001</v>
      </c>
      <c r="AG383">
        <f t="shared" si="108"/>
        <v>-1314.7247450361092</v>
      </c>
      <c r="AH383">
        <f t="shared" si="109"/>
        <v>3470.7247450361087</v>
      </c>
      <c r="AI383" s="5">
        <f t="shared" si="92"/>
        <v>0.46382189239332106</v>
      </c>
      <c r="AJ383" s="5">
        <f t="shared" si="93"/>
        <v>0</v>
      </c>
      <c r="AK383" s="5">
        <f t="shared" si="94"/>
        <v>0.28812426033790711</v>
      </c>
    </row>
    <row r="384" spans="1:37" hidden="1" x14ac:dyDescent="0.3">
      <c r="A384">
        <v>5350349</v>
      </c>
      <c r="B384" t="s">
        <v>39</v>
      </c>
      <c r="C384">
        <v>13.33333333333333</v>
      </c>
      <c r="D384">
        <v>34243.650333061443</v>
      </c>
      <c r="I384">
        <v>3669.301707134025</v>
      </c>
      <c r="J384">
        <v>3520.9198719710112</v>
      </c>
      <c r="K384">
        <v>770.90759243034506</v>
      </c>
      <c r="L384">
        <v>927.05326149034317</v>
      </c>
      <c r="M384">
        <v>7210.6991751307214</v>
      </c>
      <c r="N384">
        <v>3692.1144782018482</v>
      </c>
      <c r="O384">
        <v>15138.660624695591</v>
      </c>
      <c r="P384" s="2">
        <v>44783.770833333343</v>
      </c>
      <c r="Q384" s="2">
        <v>44784.322916666657</v>
      </c>
      <c r="R384">
        <v>29372.98403564074</v>
      </c>
      <c r="S384">
        <v>5.1538131768953068</v>
      </c>
      <c r="T384">
        <f t="shared" si="95"/>
        <v>0.88074722486233403</v>
      </c>
      <c r="U384">
        <f t="shared" si="96"/>
        <v>2262.0000000000009</v>
      </c>
      <c r="V384">
        <f t="shared" si="97"/>
        <v>0</v>
      </c>
      <c r="W384">
        <f t="shared" si="98"/>
        <v>0</v>
      </c>
      <c r="X384">
        <f t="shared" si="99"/>
        <v>0</v>
      </c>
      <c r="Y384">
        <f t="shared" si="100"/>
        <v>0</v>
      </c>
      <c r="Z384">
        <f t="shared" si="101"/>
        <v>242.37954718056886</v>
      </c>
      <c r="AA384">
        <f t="shared" si="102"/>
        <v>232.57803046508351</v>
      </c>
      <c r="AB384">
        <f t="shared" si="103"/>
        <v>50.923104199374734</v>
      </c>
      <c r="AC384">
        <f t="shared" si="104"/>
        <v>61.237469051789674</v>
      </c>
      <c r="AD384">
        <f t="shared" si="105"/>
        <v>476.31024658601291</v>
      </c>
      <c r="AE384">
        <f t="shared" si="106"/>
        <v>243.88646854127421</v>
      </c>
      <c r="AF384">
        <f t="shared" si="107"/>
        <v>1000.0000000000001</v>
      </c>
      <c r="AG384">
        <f t="shared" si="108"/>
        <v>321.73693685128364</v>
      </c>
      <c r="AH384">
        <f t="shared" si="109"/>
        <v>1940.2630631487173</v>
      </c>
      <c r="AI384" s="5">
        <f t="shared" si="92"/>
        <v>0.44208664898320049</v>
      </c>
      <c r="AJ384" s="5">
        <f t="shared" si="93"/>
        <v>0</v>
      </c>
      <c r="AK384" s="5">
        <f t="shared" si="94"/>
        <v>0.51539403032141939</v>
      </c>
    </row>
    <row r="385" spans="1:37" hidden="1" x14ac:dyDescent="0.3">
      <c r="A385">
        <v>5351252</v>
      </c>
      <c r="B385" t="s">
        <v>32</v>
      </c>
      <c r="C385">
        <v>11.08333333333333</v>
      </c>
      <c r="D385">
        <v>28404.361325331229</v>
      </c>
      <c r="I385">
        <v>2727.0084158656618</v>
      </c>
      <c r="J385">
        <v>2636.3220100795888</v>
      </c>
      <c r="K385">
        <v>3738.4049177618949</v>
      </c>
      <c r="L385">
        <v>-20768.448449054129</v>
      </c>
      <c r="M385">
        <v>3563.3065327494928</v>
      </c>
      <c r="N385">
        <v>2921.8652775351702</v>
      </c>
      <c r="O385">
        <v>13174.564622138791</v>
      </c>
      <c r="P385" s="2">
        <v>44784.291666666657</v>
      </c>
      <c r="Q385" s="2">
        <v>44785.461805555547</v>
      </c>
      <c r="R385">
        <v>63463.156375542363</v>
      </c>
      <c r="S385">
        <v>5.0509573365296294</v>
      </c>
      <c r="T385">
        <f t="shared" si="95"/>
        <v>0.84126752201804722</v>
      </c>
      <c r="U385">
        <f t="shared" si="96"/>
        <v>2156</v>
      </c>
      <c r="V385">
        <f t="shared" si="97"/>
        <v>0</v>
      </c>
      <c r="W385">
        <f t="shared" si="98"/>
        <v>0</v>
      </c>
      <c r="X385">
        <f t="shared" si="99"/>
        <v>0</v>
      </c>
      <c r="Y385">
        <f t="shared" si="100"/>
        <v>0</v>
      </c>
      <c r="Z385">
        <f t="shared" si="101"/>
        <v>206.99040113121802</v>
      </c>
      <c r="AA385">
        <f t="shared" si="102"/>
        <v>200.106955007034</v>
      </c>
      <c r="AB385">
        <f t="shared" si="103"/>
        <v>283.75927592171109</v>
      </c>
      <c r="AC385">
        <f t="shared" si="104"/>
        <v>-1576.4049169529619</v>
      </c>
      <c r="AD385">
        <f t="shared" si="105"/>
        <v>270.46863672152352</v>
      </c>
      <c r="AE385">
        <f t="shared" si="106"/>
        <v>221.78078451451913</v>
      </c>
      <c r="AF385">
        <f t="shared" si="107"/>
        <v>1000</v>
      </c>
      <c r="AG385">
        <f t="shared" si="108"/>
        <v>-2661.0970499395225</v>
      </c>
      <c r="AH385">
        <f t="shared" si="109"/>
        <v>4817.0970499395225</v>
      </c>
      <c r="AI385" s="5">
        <f t="shared" si="92"/>
        <v>0.463821892393321</v>
      </c>
      <c r="AJ385" s="5">
        <f t="shared" si="93"/>
        <v>0</v>
      </c>
      <c r="AK385" s="5">
        <f t="shared" si="94"/>
        <v>0.20759390762379487</v>
      </c>
    </row>
    <row r="386" spans="1:37" hidden="1" x14ac:dyDescent="0.3">
      <c r="A386">
        <v>5350347</v>
      </c>
      <c r="B386" t="s">
        <v>38</v>
      </c>
      <c r="C386">
        <v>16.25</v>
      </c>
      <c r="D386">
        <v>41037.010371879303</v>
      </c>
      <c r="I386">
        <v>3410.2492279740909</v>
      </c>
      <c r="J386">
        <v>3546.339349796378</v>
      </c>
      <c r="K386">
        <v>1743.196741102118</v>
      </c>
      <c r="L386">
        <v>1435.8503254346931</v>
      </c>
      <c r="M386">
        <v>7946.0541073190152</v>
      </c>
      <c r="N386">
        <v>5084.17041428626</v>
      </c>
      <c r="O386">
        <v>18141.91439959297</v>
      </c>
      <c r="P386" s="2">
        <v>44784.322916666657</v>
      </c>
      <c r="Q386" s="2">
        <v>44785</v>
      </c>
      <c r="R386">
        <v>35447.409759044829</v>
      </c>
      <c r="S386">
        <v>5.0361184095081528</v>
      </c>
      <c r="T386">
        <f t="shared" si="95"/>
        <v>0.89571583472825689</v>
      </c>
      <c r="U386">
        <f t="shared" si="96"/>
        <v>2262.0000000000005</v>
      </c>
      <c r="V386">
        <f t="shared" si="97"/>
        <v>0</v>
      </c>
      <c r="W386">
        <f t="shared" si="98"/>
        <v>0</v>
      </c>
      <c r="X386">
        <f t="shared" si="99"/>
        <v>0</v>
      </c>
      <c r="Y386">
        <f t="shared" si="100"/>
        <v>0</v>
      </c>
      <c r="Z386">
        <f t="shared" si="101"/>
        <v>187.97626054561269</v>
      </c>
      <c r="AA386">
        <f t="shared" si="102"/>
        <v>195.47768067277087</v>
      </c>
      <c r="AB386">
        <f t="shared" si="103"/>
        <v>96.086703018576046</v>
      </c>
      <c r="AC386">
        <f t="shared" si="104"/>
        <v>79.145469094866186</v>
      </c>
      <c r="AD386">
        <f t="shared" si="105"/>
        <v>437.99424538665511</v>
      </c>
      <c r="AE386">
        <f t="shared" si="106"/>
        <v>280.24442747896148</v>
      </c>
      <c r="AF386">
        <f t="shared" si="107"/>
        <v>1000</v>
      </c>
      <c r="AG386">
        <f t="shared" si="108"/>
        <v>308.10423253677618</v>
      </c>
      <c r="AH386">
        <f t="shared" si="109"/>
        <v>1953.8957674632243</v>
      </c>
      <c r="AI386" s="5">
        <f t="shared" si="92"/>
        <v>0.44208664898320066</v>
      </c>
      <c r="AJ386" s="5">
        <f t="shared" si="93"/>
        <v>0</v>
      </c>
      <c r="AK386" s="5">
        <f t="shared" si="94"/>
        <v>0.51179802763906734</v>
      </c>
    </row>
    <row r="387" spans="1:37" hidden="1" x14ac:dyDescent="0.3">
      <c r="A387">
        <v>5351325</v>
      </c>
      <c r="B387" t="s">
        <v>40</v>
      </c>
      <c r="C387">
        <v>23.333333333333339</v>
      </c>
      <c r="D387">
        <v>43683.17773100044</v>
      </c>
      <c r="I387">
        <v>4735.0970369739189</v>
      </c>
      <c r="J387">
        <v>4573.4221337439158</v>
      </c>
      <c r="K387">
        <v>4588.2406590772434</v>
      </c>
      <c r="L387">
        <v>4906.8957926497633</v>
      </c>
      <c r="M387">
        <v>4636.9775255299419</v>
      </c>
      <c r="N387">
        <v>4374.4205073982803</v>
      </c>
      <c r="O387">
        <v>28328.909034371231</v>
      </c>
      <c r="P387" s="2">
        <v>44785.875</v>
      </c>
      <c r="Q387" s="2">
        <v>44787.395833333343</v>
      </c>
      <c r="R387">
        <v>71884.62339213572</v>
      </c>
      <c r="S387">
        <v>5.0198113243534879</v>
      </c>
      <c r="T387">
        <f t="shared" si="95"/>
        <v>0.82365802738902505</v>
      </c>
      <c r="U387">
        <f t="shared" si="96"/>
        <v>1542</v>
      </c>
      <c r="V387">
        <f t="shared" si="97"/>
        <v>0</v>
      </c>
      <c r="W387">
        <f t="shared" si="98"/>
        <v>0</v>
      </c>
      <c r="X387">
        <f t="shared" si="99"/>
        <v>0</v>
      </c>
      <c r="Y387">
        <f t="shared" si="100"/>
        <v>0</v>
      </c>
      <c r="Z387">
        <f t="shared" si="101"/>
        <v>167.14717221298091</v>
      </c>
      <c r="AA387">
        <f t="shared" si="102"/>
        <v>161.44010798986366</v>
      </c>
      <c r="AB387">
        <f t="shared" si="103"/>
        <v>161.96319644750065</v>
      </c>
      <c r="AC387">
        <f t="shared" si="104"/>
        <v>173.21160467903186</v>
      </c>
      <c r="AD387">
        <f t="shared" si="105"/>
        <v>163.68358978822428</v>
      </c>
      <c r="AE387">
        <f t="shared" si="106"/>
        <v>154.41542426116135</v>
      </c>
      <c r="AF387">
        <f t="shared" si="107"/>
        <v>1000</v>
      </c>
      <c r="AG387">
        <f t="shared" si="108"/>
        <v>-995.50059011869143</v>
      </c>
      <c r="AH387">
        <f t="shared" si="109"/>
        <v>2537.5005901186914</v>
      </c>
      <c r="AI387" s="5">
        <f t="shared" ref="AI387:AI450" si="110">IFERROR(O387/D387,0)</f>
        <v>0.64850843060959784</v>
      </c>
      <c r="AJ387" s="5">
        <f t="shared" ref="AJ387:AJ450" si="111">IFERROR(O387/(E387+H387),0)</f>
        <v>0</v>
      </c>
      <c r="AK387" s="5">
        <f t="shared" ref="AK387:AK450" si="112">IFERROR(O387/R387,0)</f>
        <v>0.39408857830185773</v>
      </c>
    </row>
    <row r="388" spans="1:37" hidden="1" x14ac:dyDescent="0.3">
      <c r="A388">
        <v>5351422</v>
      </c>
      <c r="B388" t="s">
        <v>38</v>
      </c>
      <c r="C388">
        <v>9.9166666666666661</v>
      </c>
      <c r="D388">
        <v>20605.584388285759</v>
      </c>
      <c r="I388">
        <v>2143.6390450159729</v>
      </c>
      <c r="J388">
        <v>2264.2294003339598</v>
      </c>
      <c r="K388">
        <v>55.416837284605862</v>
      </c>
      <c r="L388">
        <v>-3569.9337916740028</v>
      </c>
      <c r="M388">
        <v>5430.1261133108083</v>
      </c>
      <c r="N388">
        <v>2375.8511995146018</v>
      </c>
      <c r="O388">
        <v>9109.4537525578053</v>
      </c>
      <c r="P388" s="2">
        <v>44785.347222222219</v>
      </c>
      <c r="Q388" s="2">
        <v>44785.760416666657</v>
      </c>
      <c r="R388">
        <v>21448.74649642143</v>
      </c>
      <c r="S388">
        <v>5.1368612015473492</v>
      </c>
      <c r="T388">
        <f t="shared" ref="T388:T451" si="113">1000*C388/$O388</f>
        <v>1.0886126584573972</v>
      </c>
      <c r="U388">
        <f t="shared" ref="U388:U451" si="114">1000*D388/$O388</f>
        <v>2262.0000000000005</v>
      </c>
      <c r="V388">
        <f t="shared" ref="V388:V451" si="115">1000*E388/$O388</f>
        <v>0</v>
      </c>
      <c r="W388">
        <f t="shared" ref="W388:W451" si="116">1000*F388/$O388</f>
        <v>0</v>
      </c>
      <c r="X388">
        <f t="shared" ref="X388:X451" si="117">1000*G388/$O388</f>
        <v>0</v>
      </c>
      <c r="Y388">
        <f t="shared" ref="Y388:Y451" si="118">1000*H388/$O388</f>
        <v>0</v>
      </c>
      <c r="Z388">
        <f t="shared" ref="Z388:Z451" si="119">1000*I388/$O388</f>
        <v>235.32026214130235</v>
      </c>
      <c r="AA388">
        <f t="shared" ref="AA388:AA451" si="120">1000*J388/$O388</f>
        <v>248.55819699377651</v>
      </c>
      <c r="AB388">
        <f t="shared" ref="AB388:AB451" si="121">1000*K388/$O388</f>
        <v>6.0834424093810897</v>
      </c>
      <c r="AC388">
        <f t="shared" ref="AC388:AC451" si="122">1000*L388/$O388</f>
        <v>-391.89328895507225</v>
      </c>
      <c r="AD388">
        <f t="shared" ref="AD388:AD451" si="123">1000*M388/$O388</f>
        <v>596.09788477010557</v>
      </c>
      <c r="AE388">
        <f t="shared" ref="AE388:AE451" si="124">1000*N388/$O388</f>
        <v>260.81159903221385</v>
      </c>
      <c r="AF388">
        <f t="shared" ref="AF388:AF451" si="125">1000*O388/$O388</f>
        <v>1000</v>
      </c>
      <c r="AG388">
        <f t="shared" ref="AG388:AG451" si="126">U388-AH388</f>
        <v>-92.559019567877385</v>
      </c>
      <c r="AH388">
        <f t="shared" ref="AH388:AH451" si="127">1000*R388/O388</f>
        <v>2354.5590195678778</v>
      </c>
      <c r="AI388" s="5">
        <f t="shared" si="110"/>
        <v>0.44208664898320066</v>
      </c>
      <c r="AJ388" s="5">
        <f t="shared" si="111"/>
        <v>0</v>
      </c>
      <c r="AK388" s="5">
        <f t="shared" si="112"/>
        <v>0.42470797788008974</v>
      </c>
    </row>
    <row r="389" spans="1:37" hidden="1" x14ac:dyDescent="0.3">
      <c r="A389">
        <v>5351426</v>
      </c>
      <c r="B389" t="s">
        <v>32</v>
      </c>
      <c r="C389">
        <v>7.25</v>
      </c>
      <c r="D389">
        <v>13746.818821842569</v>
      </c>
      <c r="I389">
        <v>1146.4357796821789</v>
      </c>
      <c r="J389">
        <v>1263.349361702099</v>
      </c>
      <c r="K389">
        <v>2896.1794788621228</v>
      </c>
      <c r="L389">
        <v>2972.4475202167819</v>
      </c>
      <c r="M389">
        <v>0</v>
      </c>
      <c r="N389">
        <v>2012.1586744326989</v>
      </c>
      <c r="O389">
        <v>6376.0755203351446</v>
      </c>
      <c r="P389" s="2">
        <v>44787.395833333343</v>
      </c>
      <c r="Q389" s="2">
        <v>44787.697916666657</v>
      </c>
      <c r="R389">
        <v>12735.56036021199</v>
      </c>
      <c r="T389">
        <f t="shared" si="113"/>
        <v>1.137063069105386</v>
      </c>
      <c r="U389">
        <f t="shared" si="114"/>
        <v>2155.9999999999995</v>
      </c>
      <c r="V389">
        <f t="shared" si="115"/>
        <v>0</v>
      </c>
      <c r="W389">
        <f t="shared" si="116"/>
        <v>0</v>
      </c>
      <c r="X389">
        <f t="shared" si="117"/>
        <v>0</v>
      </c>
      <c r="Y389">
        <f t="shared" si="118"/>
        <v>0</v>
      </c>
      <c r="Z389">
        <f t="shared" si="119"/>
        <v>179.80272912795095</v>
      </c>
      <c r="AA389">
        <f t="shared" si="120"/>
        <v>198.139021044044</v>
      </c>
      <c r="AB389">
        <f t="shared" si="121"/>
        <v>454.22603129862102</v>
      </c>
      <c r="AC389">
        <f t="shared" si="122"/>
        <v>466.18762759894997</v>
      </c>
      <c r="AD389">
        <f t="shared" si="123"/>
        <v>0</v>
      </c>
      <c r="AE389">
        <f t="shared" si="124"/>
        <v>315.57949212103028</v>
      </c>
      <c r="AF389">
        <f t="shared" si="125"/>
        <v>1000</v>
      </c>
      <c r="AG389">
        <f t="shared" si="126"/>
        <v>158.6020206952353</v>
      </c>
      <c r="AH389">
        <f t="shared" si="127"/>
        <v>1997.3979793047642</v>
      </c>
      <c r="AI389" s="5">
        <f t="shared" si="110"/>
        <v>0.46382189239332106</v>
      </c>
      <c r="AJ389" s="5">
        <f t="shared" si="111"/>
        <v>0</v>
      </c>
      <c r="AK389" s="5">
        <f t="shared" si="112"/>
        <v>0.50065135259026883</v>
      </c>
    </row>
    <row r="390" spans="1:37" hidden="1" x14ac:dyDescent="0.3">
      <c r="A390">
        <v>5351330</v>
      </c>
      <c r="B390" t="s">
        <v>41</v>
      </c>
      <c r="C390">
        <v>6.083333333333333</v>
      </c>
      <c r="D390">
        <v>11540.084380156441</v>
      </c>
      <c r="I390">
        <v>1276.1290720337399</v>
      </c>
      <c r="J390">
        <v>1279.7199481712471</v>
      </c>
      <c r="K390">
        <v>6167.9747202925646</v>
      </c>
      <c r="L390">
        <v>6056.5511130053619</v>
      </c>
      <c r="M390">
        <v>0</v>
      </c>
      <c r="N390">
        <v>7267.4326289677738</v>
      </c>
      <c r="O390">
        <v>5352.5437755827652</v>
      </c>
      <c r="P390" s="2">
        <v>44787.75</v>
      </c>
      <c r="Q390" s="2">
        <v>44788.003472222219</v>
      </c>
      <c r="R390">
        <v>10794.024250199591</v>
      </c>
      <c r="S390">
        <v>5.0062499841054278</v>
      </c>
      <c r="T390">
        <f t="shared" si="113"/>
        <v>1.136531262216721</v>
      </c>
      <c r="U390">
        <f t="shared" si="114"/>
        <v>2156</v>
      </c>
      <c r="V390">
        <f t="shared" si="115"/>
        <v>0</v>
      </c>
      <c r="W390">
        <f t="shared" si="116"/>
        <v>0</v>
      </c>
      <c r="X390">
        <f t="shared" si="117"/>
        <v>0</v>
      </c>
      <c r="Y390">
        <f t="shared" si="118"/>
        <v>0</v>
      </c>
      <c r="Z390">
        <f t="shared" si="119"/>
        <v>238.41543862848644</v>
      </c>
      <c r="AA390">
        <f t="shared" si="120"/>
        <v>239.08631144860013</v>
      </c>
      <c r="AB390">
        <f t="shared" si="121"/>
        <v>1152.3445634260167</v>
      </c>
      <c r="AC390">
        <f t="shared" si="122"/>
        <v>1131.5276188182033</v>
      </c>
      <c r="AD390">
        <f t="shared" si="123"/>
        <v>0</v>
      </c>
      <c r="AE390">
        <f t="shared" si="124"/>
        <v>1357.7530485823113</v>
      </c>
      <c r="AF390">
        <f t="shared" si="125"/>
        <v>1000</v>
      </c>
      <c r="AG390">
        <f t="shared" si="126"/>
        <v>139.38421827771435</v>
      </c>
      <c r="AH390">
        <f t="shared" si="127"/>
        <v>2016.6157817222856</v>
      </c>
      <c r="AI390" s="5">
        <f t="shared" si="110"/>
        <v>0.463821892393321</v>
      </c>
      <c r="AJ390" s="5">
        <f t="shared" si="111"/>
        <v>0</v>
      </c>
      <c r="AK390" s="5">
        <f t="shared" si="112"/>
        <v>0.49588028074735813</v>
      </c>
    </row>
    <row r="391" spans="1:37" hidden="1" x14ac:dyDescent="0.3">
      <c r="A391">
        <v>5351333</v>
      </c>
      <c r="B391" t="s">
        <v>39</v>
      </c>
      <c r="C391">
        <v>15.33333333333333</v>
      </c>
      <c r="D391">
        <v>25883.235922921569</v>
      </c>
      <c r="I391">
        <v>-24884.288537623699</v>
      </c>
      <c r="J391">
        <v>2517.1602660781391</v>
      </c>
      <c r="K391">
        <v>15772.0932291794</v>
      </c>
      <c r="L391">
        <v>-11779.64069775809</v>
      </c>
      <c r="M391">
        <v>0</v>
      </c>
      <c r="N391">
        <v>17962.75704807432</v>
      </c>
      <c r="O391">
        <v>11442.633034005999</v>
      </c>
      <c r="P391" s="2">
        <v>44787.291666666657</v>
      </c>
      <c r="Q391" s="2">
        <v>44788.638888888891</v>
      </c>
      <c r="R391">
        <v>58194.75240469251</v>
      </c>
      <c r="S391">
        <v>5.2468291368624449</v>
      </c>
      <c r="T391">
        <f t="shared" si="113"/>
        <v>1.3400179213791688</v>
      </c>
      <c r="U391">
        <f t="shared" si="114"/>
        <v>2262</v>
      </c>
      <c r="V391">
        <f t="shared" si="115"/>
        <v>0</v>
      </c>
      <c r="W391">
        <f t="shared" si="116"/>
        <v>0</v>
      </c>
      <c r="X391">
        <f t="shared" si="117"/>
        <v>0</v>
      </c>
      <c r="Y391">
        <f t="shared" si="118"/>
        <v>0</v>
      </c>
      <c r="Z391">
        <f t="shared" si="119"/>
        <v>-2174.6995174686517</v>
      </c>
      <c r="AA391">
        <f t="shared" si="120"/>
        <v>219.98086092575636</v>
      </c>
      <c r="AB391">
        <f t="shared" si="121"/>
        <v>1378.3622337889203</v>
      </c>
      <c r="AC391">
        <f t="shared" si="122"/>
        <v>-1029.4519332002126</v>
      </c>
      <c r="AD391">
        <f t="shared" si="123"/>
        <v>0</v>
      </c>
      <c r="AE391">
        <f t="shared" si="124"/>
        <v>1569.8097627260588</v>
      </c>
      <c r="AF391">
        <f t="shared" si="125"/>
        <v>1000</v>
      </c>
      <c r="AG391">
        <f t="shared" si="126"/>
        <v>-2823.7833360333552</v>
      </c>
      <c r="AH391">
        <f t="shared" si="127"/>
        <v>5085.7833360333552</v>
      </c>
      <c r="AI391" s="5">
        <f t="shared" si="110"/>
        <v>0.44208664898320071</v>
      </c>
      <c r="AJ391" s="5">
        <f t="shared" si="111"/>
        <v>0</v>
      </c>
      <c r="AK391" s="5">
        <f t="shared" si="112"/>
        <v>0.19662654382362021</v>
      </c>
    </row>
    <row r="392" spans="1:37" hidden="1" x14ac:dyDescent="0.3">
      <c r="A392">
        <v>5351463</v>
      </c>
      <c r="B392" t="s">
        <v>34</v>
      </c>
      <c r="C392">
        <v>11.5</v>
      </c>
      <c r="D392">
        <v>12283.548264630799</v>
      </c>
      <c r="I392">
        <v>3099.3116379952712</v>
      </c>
      <c r="J392">
        <v>2904.0522494986062</v>
      </c>
      <c r="K392">
        <v>9016.4294681743449</v>
      </c>
      <c r="L392">
        <v>9164.8194929921938</v>
      </c>
      <c r="M392">
        <v>0</v>
      </c>
      <c r="N392">
        <v>9179.0400067225964</v>
      </c>
      <c r="O392">
        <v>5301.488245416831</v>
      </c>
      <c r="P392" s="2">
        <v>44788.638888888891</v>
      </c>
      <c r="Q392" s="2">
        <v>44789.118055555547</v>
      </c>
      <c r="R392">
        <v>12970.04662157287</v>
      </c>
      <c r="S392">
        <v>5.5529604207456504</v>
      </c>
      <c r="T392">
        <f t="shared" si="113"/>
        <v>2.1692022065580963</v>
      </c>
      <c r="U392">
        <f t="shared" si="114"/>
        <v>2317</v>
      </c>
      <c r="V392">
        <f t="shared" si="115"/>
        <v>0</v>
      </c>
      <c r="W392">
        <f t="shared" si="116"/>
        <v>0</v>
      </c>
      <c r="X392">
        <f t="shared" si="117"/>
        <v>0</v>
      </c>
      <c r="Y392">
        <f t="shared" si="118"/>
        <v>0</v>
      </c>
      <c r="Z392">
        <f t="shared" si="119"/>
        <v>584.61162121308951</v>
      </c>
      <c r="AA392">
        <f t="shared" si="120"/>
        <v>547.78056935411996</v>
      </c>
      <c r="AB392">
        <f t="shared" si="121"/>
        <v>1700.7355389251506</v>
      </c>
      <c r="AC392">
        <f t="shared" si="122"/>
        <v>1728.7257971222018</v>
      </c>
      <c r="AD392">
        <f t="shared" si="123"/>
        <v>0</v>
      </c>
      <c r="AE392">
        <f t="shared" si="124"/>
        <v>1731.4081597102345</v>
      </c>
      <c r="AF392">
        <f t="shared" si="125"/>
        <v>1000</v>
      </c>
      <c r="AG392">
        <f t="shared" si="126"/>
        <v>-129.49163049367417</v>
      </c>
      <c r="AH392">
        <f t="shared" si="127"/>
        <v>2446.4916304936742</v>
      </c>
      <c r="AI392" s="5">
        <f t="shared" si="110"/>
        <v>0.4315925766076823</v>
      </c>
      <c r="AJ392" s="5">
        <f t="shared" si="111"/>
        <v>0</v>
      </c>
      <c r="AK392" s="5">
        <f t="shared" si="112"/>
        <v>0.40874858819697307</v>
      </c>
    </row>
    <row r="393" spans="1:37" hidden="1" x14ac:dyDescent="0.3">
      <c r="A393">
        <v>5351554</v>
      </c>
      <c r="B393" t="s">
        <v>48</v>
      </c>
      <c r="C393">
        <v>46.249999999999993</v>
      </c>
      <c r="D393">
        <v>0</v>
      </c>
      <c r="E393">
        <v>89895.248333333482</v>
      </c>
      <c r="F393">
        <v>22481.306465000041</v>
      </c>
      <c r="G393">
        <v>67413.941868333437</v>
      </c>
      <c r="I393">
        <v>0</v>
      </c>
      <c r="J393">
        <v>21272.96485255205</v>
      </c>
      <c r="K393">
        <v>59685.469580986253</v>
      </c>
      <c r="L393">
        <v>0</v>
      </c>
      <c r="M393">
        <v>0</v>
      </c>
      <c r="N393">
        <v>49456.753881556477</v>
      </c>
      <c r="O393">
        <v>39566.570569248892</v>
      </c>
      <c r="P393" s="2">
        <v>44790.517361111109</v>
      </c>
      <c r="Q393" s="2">
        <v>44792.454861111109</v>
      </c>
      <c r="R393">
        <v>43.59375</v>
      </c>
      <c r="S393">
        <v>5.0038460951585044</v>
      </c>
      <c r="T393">
        <f t="shared" si="113"/>
        <v>1.1689160656229696</v>
      </c>
      <c r="U393">
        <f t="shared" si="114"/>
        <v>0</v>
      </c>
      <c r="V393">
        <f t="shared" si="115"/>
        <v>2272</v>
      </c>
      <c r="W393">
        <f t="shared" si="116"/>
        <v>568.18941195961258</v>
      </c>
      <c r="X393">
        <f t="shared" si="117"/>
        <v>1703.8105880403875</v>
      </c>
      <c r="Y393">
        <f t="shared" si="118"/>
        <v>0</v>
      </c>
      <c r="Z393">
        <f t="shared" si="119"/>
        <v>0</v>
      </c>
      <c r="AA393">
        <f t="shared" si="120"/>
        <v>537.64995415309966</v>
      </c>
      <c r="AB393">
        <f t="shared" si="121"/>
        <v>1508.4822546479111</v>
      </c>
      <c r="AC393">
        <f t="shared" si="122"/>
        <v>0</v>
      </c>
      <c r="AD393">
        <f t="shared" si="123"/>
        <v>0</v>
      </c>
      <c r="AE393">
        <f t="shared" si="124"/>
        <v>1249.9631170964872</v>
      </c>
      <c r="AF393">
        <f t="shared" si="125"/>
        <v>1000</v>
      </c>
      <c r="AG393">
        <f t="shared" si="126"/>
        <v>-1.1017823726648936</v>
      </c>
      <c r="AH393">
        <f t="shared" si="127"/>
        <v>1.1017823726648936</v>
      </c>
      <c r="AI393" s="5">
        <f t="shared" si="110"/>
        <v>0</v>
      </c>
      <c r="AJ393" s="5">
        <f t="shared" si="111"/>
        <v>0.44014084507042256</v>
      </c>
      <c r="AK393" s="5">
        <f t="shared" si="112"/>
        <v>907.62025678563771</v>
      </c>
    </row>
    <row r="394" spans="1:37" hidden="1" x14ac:dyDescent="0.3">
      <c r="A394">
        <v>5351810</v>
      </c>
      <c r="B394" t="s">
        <v>56</v>
      </c>
      <c r="C394">
        <v>114.25</v>
      </c>
      <c r="D394">
        <v>0</v>
      </c>
      <c r="E394">
        <v>186108.61350000021</v>
      </c>
      <c r="F394">
        <v>43721.187835500037</v>
      </c>
      <c r="G394">
        <v>142387.4256645001</v>
      </c>
      <c r="H394">
        <v>20678.73483333335</v>
      </c>
      <c r="I394">
        <v>96.470147920448653</v>
      </c>
      <c r="J394">
        <v>52615.597619998021</v>
      </c>
      <c r="K394">
        <v>135267.1304119066</v>
      </c>
      <c r="L394">
        <v>2351.2955306546669</v>
      </c>
      <c r="M394">
        <v>0</v>
      </c>
      <c r="N394">
        <v>113049.9707124469</v>
      </c>
      <c r="O394">
        <v>90616.717061057629</v>
      </c>
      <c r="P394" s="2">
        <v>44792.454861111109</v>
      </c>
      <c r="Q394" s="2">
        <v>44797.215277777781</v>
      </c>
      <c r="R394">
        <v>1447.1666545603009</v>
      </c>
      <c r="S394">
        <v>5.0031249523162842</v>
      </c>
      <c r="T394">
        <f t="shared" si="113"/>
        <v>1.2608048901508786</v>
      </c>
      <c r="U394">
        <f t="shared" si="114"/>
        <v>0</v>
      </c>
      <c r="V394">
        <f t="shared" si="115"/>
        <v>2053.8000000000006</v>
      </c>
      <c r="W394">
        <f t="shared" si="116"/>
        <v>482.48479147661754</v>
      </c>
      <c r="X394">
        <f t="shared" si="117"/>
        <v>1571.3152085233821</v>
      </c>
      <c r="Y394">
        <f t="shared" si="118"/>
        <v>228.2</v>
      </c>
      <c r="Z394">
        <f t="shared" si="119"/>
        <v>1.0645954857915121</v>
      </c>
      <c r="AA394">
        <f t="shared" si="120"/>
        <v>580.63897398253334</v>
      </c>
      <c r="AB394">
        <f t="shared" si="121"/>
        <v>1492.7392516412119</v>
      </c>
      <c r="AC394">
        <f t="shared" si="122"/>
        <v>25.947701560081477</v>
      </c>
      <c r="AD394">
        <f t="shared" si="123"/>
        <v>0</v>
      </c>
      <c r="AE394">
        <f t="shared" si="124"/>
        <v>1247.561977292487</v>
      </c>
      <c r="AF394">
        <f t="shared" si="125"/>
        <v>1000</v>
      </c>
      <c r="AG394">
        <f t="shared" si="126"/>
        <v>-15.970195141644767</v>
      </c>
      <c r="AH394">
        <f t="shared" si="127"/>
        <v>15.970195141644767</v>
      </c>
      <c r="AI394" s="5">
        <f t="shared" si="110"/>
        <v>0</v>
      </c>
      <c r="AJ394" s="5">
        <f t="shared" si="111"/>
        <v>0.43821209465381233</v>
      </c>
      <c r="AK394" s="5">
        <f t="shared" si="112"/>
        <v>62.616642510043263</v>
      </c>
    </row>
    <row r="395" spans="1:37" hidden="1" x14ac:dyDescent="0.3">
      <c r="A395">
        <v>5352228</v>
      </c>
      <c r="B395" t="s">
        <v>48</v>
      </c>
      <c r="C395">
        <v>50.5</v>
      </c>
      <c r="D395">
        <v>0</v>
      </c>
      <c r="E395">
        <v>96154.09499999987</v>
      </c>
      <c r="F395">
        <v>21325.863184999969</v>
      </c>
      <c r="G395">
        <v>74828.23181499989</v>
      </c>
      <c r="I395">
        <v>0</v>
      </c>
      <c r="J395">
        <v>24012.474859281599</v>
      </c>
      <c r="K395">
        <v>60480.463861624528</v>
      </c>
      <c r="L395">
        <v>0</v>
      </c>
      <c r="M395">
        <v>0</v>
      </c>
      <c r="N395">
        <v>48875.115118362271</v>
      </c>
      <c r="O395">
        <v>42321.344630281637</v>
      </c>
      <c r="P395" s="2">
        <v>44797.215277777781</v>
      </c>
      <c r="Q395" s="2">
        <v>44799.409722222219</v>
      </c>
      <c r="R395">
        <v>0</v>
      </c>
      <c r="S395">
        <v>5.0037499427795407</v>
      </c>
      <c r="T395">
        <f t="shared" si="113"/>
        <v>1.1932513118656063</v>
      </c>
      <c r="U395">
        <f t="shared" si="114"/>
        <v>0</v>
      </c>
      <c r="V395">
        <f t="shared" si="115"/>
        <v>2271.9999999999995</v>
      </c>
      <c r="W395">
        <f t="shared" si="116"/>
        <v>503.90325192411188</v>
      </c>
      <c r="X395">
        <f t="shared" si="117"/>
        <v>1768.0967480758877</v>
      </c>
      <c r="Y395">
        <f t="shared" si="118"/>
        <v>0</v>
      </c>
      <c r="Z395">
        <f t="shared" si="119"/>
        <v>0</v>
      </c>
      <c r="AA395">
        <f t="shared" si="120"/>
        <v>567.38449756391412</v>
      </c>
      <c r="AB395">
        <f t="shared" si="121"/>
        <v>1429.0770860420569</v>
      </c>
      <c r="AC395">
        <f t="shared" si="122"/>
        <v>0</v>
      </c>
      <c r="AD395">
        <f t="shared" si="123"/>
        <v>0</v>
      </c>
      <c r="AE395">
        <f t="shared" si="124"/>
        <v>1154.8573313379864</v>
      </c>
      <c r="AF395">
        <f t="shared" si="125"/>
        <v>999.99999999999989</v>
      </c>
      <c r="AG395">
        <f t="shared" si="126"/>
        <v>0</v>
      </c>
      <c r="AH395">
        <f t="shared" si="127"/>
        <v>0</v>
      </c>
      <c r="AI395" s="5">
        <f t="shared" si="110"/>
        <v>0</v>
      </c>
      <c r="AJ395" s="5">
        <f t="shared" si="111"/>
        <v>0.44014084507042256</v>
      </c>
      <c r="AK395" s="5">
        <f t="shared" si="112"/>
        <v>0</v>
      </c>
    </row>
    <row r="396" spans="1:37" hidden="1" x14ac:dyDescent="0.3">
      <c r="A396">
        <v>5354587</v>
      </c>
      <c r="B396" t="s">
        <v>32</v>
      </c>
      <c r="C396">
        <v>14.91666666666667</v>
      </c>
      <c r="D396">
        <v>21084.868144206401</v>
      </c>
      <c r="I396">
        <v>-25281.251236519831</v>
      </c>
      <c r="J396">
        <v>2206.0152496686928</v>
      </c>
      <c r="K396">
        <v>4921.5045445638443</v>
      </c>
      <c r="L396">
        <v>4916.1308867796979</v>
      </c>
      <c r="M396">
        <v>0</v>
      </c>
      <c r="N396">
        <v>871.71510993665868</v>
      </c>
      <c r="O396">
        <v>9779.623443509463</v>
      </c>
      <c r="P396" s="2">
        <v>44819.451388888891</v>
      </c>
      <c r="Q396" s="2">
        <v>44821.586805555547</v>
      </c>
      <c r="R396">
        <v>88492.663383872001</v>
      </c>
      <c r="S396">
        <v>5.4867944728833038</v>
      </c>
      <c r="T396">
        <f t="shared" si="113"/>
        <v>1.5252802679807225</v>
      </c>
      <c r="U396">
        <f t="shared" si="114"/>
        <v>2156</v>
      </c>
      <c r="V396">
        <f t="shared" si="115"/>
        <v>0</v>
      </c>
      <c r="W396">
        <f t="shared" si="116"/>
        <v>0</v>
      </c>
      <c r="X396">
        <f t="shared" si="117"/>
        <v>0</v>
      </c>
      <c r="Y396">
        <f t="shared" si="118"/>
        <v>0</v>
      </c>
      <c r="Z396">
        <f t="shared" si="119"/>
        <v>-2585.0945471012469</v>
      </c>
      <c r="AA396">
        <f t="shared" si="120"/>
        <v>225.57261661570212</v>
      </c>
      <c r="AB396">
        <f t="shared" si="121"/>
        <v>503.24069970507367</v>
      </c>
      <c r="AC396">
        <f t="shared" si="122"/>
        <v>502.69122478764086</v>
      </c>
      <c r="AD396">
        <f t="shared" si="123"/>
        <v>0</v>
      </c>
      <c r="AE396">
        <f t="shared" si="124"/>
        <v>89.13585630080658</v>
      </c>
      <c r="AF396">
        <f t="shared" si="125"/>
        <v>1000</v>
      </c>
      <c r="AG396">
        <f t="shared" si="126"/>
        <v>-6892.6779879651476</v>
      </c>
      <c r="AH396">
        <f t="shared" si="127"/>
        <v>9048.6779879651476</v>
      </c>
      <c r="AI396" s="5">
        <f t="shared" si="110"/>
        <v>0.463821892393321</v>
      </c>
      <c r="AJ396" s="5">
        <f t="shared" si="111"/>
        <v>0</v>
      </c>
      <c r="AK396" s="5">
        <f t="shared" si="112"/>
        <v>0.11051338121767756</v>
      </c>
    </row>
    <row r="397" spans="1:37" hidden="1" x14ac:dyDescent="0.3">
      <c r="A397">
        <v>5354592</v>
      </c>
      <c r="B397" t="s">
        <v>43</v>
      </c>
      <c r="C397">
        <v>23.083333333333329</v>
      </c>
      <c r="D397">
        <v>27994.743835152909</v>
      </c>
      <c r="I397">
        <v>3575.0176164006639</v>
      </c>
      <c r="J397">
        <v>3517.946930018009</v>
      </c>
      <c r="K397">
        <v>3744.109863556911</v>
      </c>
      <c r="L397">
        <v>3780.5378174856301</v>
      </c>
      <c r="M397">
        <v>0</v>
      </c>
      <c r="N397">
        <v>2674.32615893206</v>
      </c>
      <c r="O397">
        <v>12082.323623285671</v>
      </c>
      <c r="P397" s="2">
        <v>44822.020833333343</v>
      </c>
      <c r="Q397" s="2">
        <v>44822.982638888891</v>
      </c>
      <c r="R397">
        <v>25954.173010540901</v>
      </c>
      <c r="S397">
        <v>5.5401695774943303</v>
      </c>
      <c r="T397">
        <f t="shared" si="113"/>
        <v>1.9105044735638392</v>
      </c>
      <c r="U397">
        <f t="shared" si="114"/>
        <v>2317.0000000000009</v>
      </c>
      <c r="V397">
        <f t="shared" si="115"/>
        <v>0</v>
      </c>
      <c r="W397">
        <f t="shared" si="116"/>
        <v>0</v>
      </c>
      <c r="X397">
        <f t="shared" si="117"/>
        <v>0</v>
      </c>
      <c r="Y397">
        <f t="shared" si="118"/>
        <v>0</v>
      </c>
      <c r="Z397">
        <f t="shared" si="119"/>
        <v>295.8882519510326</v>
      </c>
      <c r="AA397">
        <f t="shared" si="120"/>
        <v>291.16476595925985</v>
      </c>
      <c r="AB397">
        <f t="shared" si="121"/>
        <v>309.88326254902421</v>
      </c>
      <c r="AC397">
        <f t="shared" si="122"/>
        <v>312.89824170903557</v>
      </c>
      <c r="AD397">
        <f t="shared" si="123"/>
        <v>0</v>
      </c>
      <c r="AE397">
        <f t="shared" si="124"/>
        <v>221.34204001769677</v>
      </c>
      <c r="AF397">
        <f t="shared" si="125"/>
        <v>999.99999999999989</v>
      </c>
      <c r="AG397">
        <f t="shared" si="126"/>
        <v>168.88893959762163</v>
      </c>
      <c r="AH397">
        <f t="shared" si="127"/>
        <v>2148.1110604023793</v>
      </c>
      <c r="AI397" s="5">
        <f t="shared" si="110"/>
        <v>0.43159257660768219</v>
      </c>
      <c r="AJ397" s="5">
        <f t="shared" si="111"/>
        <v>0</v>
      </c>
      <c r="AK397" s="5">
        <f t="shared" si="112"/>
        <v>0.46552527866630983</v>
      </c>
    </row>
    <row r="398" spans="1:37" hidden="1" x14ac:dyDescent="0.3">
      <c r="A398">
        <v>5354599</v>
      </c>
      <c r="B398" t="s">
        <v>34</v>
      </c>
      <c r="C398">
        <v>75.833333333333329</v>
      </c>
      <c r="D398">
        <v>92630.346538658239</v>
      </c>
      <c r="I398">
        <v>12805.712201629771</v>
      </c>
      <c r="J398">
        <v>12799.91565168202</v>
      </c>
      <c r="K398">
        <v>20402.890735145589</v>
      </c>
      <c r="L398">
        <v>-291.66848758043852</v>
      </c>
      <c r="M398">
        <v>0</v>
      </c>
      <c r="N398">
        <v>8787.6533424613153</v>
      </c>
      <c r="O398">
        <v>39978.569934682018</v>
      </c>
      <c r="P398" s="2">
        <v>44823.006944444453</v>
      </c>
      <c r="Q398" s="2">
        <v>44826.243055555547</v>
      </c>
      <c r="R398">
        <v>90180.948991923404</v>
      </c>
      <c r="S398">
        <v>5.2999528985458122</v>
      </c>
      <c r="T398">
        <f t="shared" si="113"/>
        <v>1.8968495735898436</v>
      </c>
      <c r="U398">
        <f t="shared" si="114"/>
        <v>2317.0000000000005</v>
      </c>
      <c r="V398">
        <f t="shared" si="115"/>
        <v>0</v>
      </c>
      <c r="W398">
        <f t="shared" si="116"/>
        <v>0</v>
      </c>
      <c r="X398">
        <f t="shared" si="117"/>
        <v>0</v>
      </c>
      <c r="Y398">
        <f t="shared" si="118"/>
        <v>0</v>
      </c>
      <c r="Z398">
        <f t="shared" si="119"/>
        <v>320.314414011108</v>
      </c>
      <c r="AA398">
        <f t="shared" si="120"/>
        <v>320.16942258301987</v>
      </c>
      <c r="AB398">
        <f t="shared" si="121"/>
        <v>510.34568691377251</v>
      </c>
      <c r="AC398">
        <f t="shared" si="122"/>
        <v>-7.2956208302841681</v>
      </c>
      <c r="AD398">
        <f t="shared" si="123"/>
        <v>0</v>
      </c>
      <c r="AE398">
        <f t="shared" si="124"/>
        <v>219.80909664399709</v>
      </c>
      <c r="AF398">
        <f t="shared" si="125"/>
        <v>1000</v>
      </c>
      <c r="AG398">
        <f t="shared" si="126"/>
        <v>61.267762972430774</v>
      </c>
      <c r="AH398">
        <f t="shared" si="127"/>
        <v>2255.7322370275697</v>
      </c>
      <c r="AI398" s="5">
        <f t="shared" si="110"/>
        <v>0.43159257660768235</v>
      </c>
      <c r="AJ398" s="5">
        <f t="shared" si="111"/>
        <v>0</v>
      </c>
      <c r="AK398" s="5">
        <f t="shared" si="112"/>
        <v>0.44331502808051504</v>
      </c>
    </row>
    <row r="399" spans="1:37" hidden="1" x14ac:dyDescent="0.3">
      <c r="A399">
        <v>5355340</v>
      </c>
      <c r="B399" t="s">
        <v>39</v>
      </c>
      <c r="C399">
        <v>31.166666666666671</v>
      </c>
      <c r="D399">
        <v>78168.563316043437</v>
      </c>
      <c r="I399">
        <v>7833.6064960991089</v>
      </c>
      <c r="J399">
        <v>7431.4742037110636</v>
      </c>
      <c r="K399">
        <v>1123.2479321807141</v>
      </c>
      <c r="L399">
        <v>1083.605190580975</v>
      </c>
      <c r="M399">
        <v>11395.066774578079</v>
      </c>
      <c r="N399">
        <v>96.416175188571842</v>
      </c>
      <c r="O399">
        <v>34557.278212220801</v>
      </c>
      <c r="P399" s="2">
        <v>44826.895833333343</v>
      </c>
      <c r="Q399" s="2">
        <v>44828.444444444453</v>
      </c>
      <c r="R399">
        <v>89485.587918541045</v>
      </c>
      <c r="S399">
        <v>7.4211130237484602</v>
      </c>
      <c r="T399">
        <f t="shared" si="113"/>
        <v>0.90188429989387653</v>
      </c>
      <c r="U399">
        <f t="shared" si="114"/>
        <v>2261.9999999999995</v>
      </c>
      <c r="V399">
        <f t="shared" si="115"/>
        <v>0</v>
      </c>
      <c r="W399">
        <f t="shared" si="116"/>
        <v>0</v>
      </c>
      <c r="X399">
        <f t="shared" si="117"/>
        <v>0</v>
      </c>
      <c r="Y399">
        <f t="shared" si="118"/>
        <v>0</v>
      </c>
      <c r="Z399">
        <f t="shared" si="119"/>
        <v>226.6847072848706</v>
      </c>
      <c r="AA399">
        <f t="shared" si="120"/>
        <v>215.04801848320926</v>
      </c>
      <c r="AB399">
        <f t="shared" si="121"/>
        <v>32.503946788942706</v>
      </c>
      <c r="AC399">
        <f t="shared" si="122"/>
        <v>31.356786374390158</v>
      </c>
      <c r="AD399">
        <f t="shared" si="123"/>
        <v>329.74433647810667</v>
      </c>
      <c r="AE399">
        <f t="shared" si="124"/>
        <v>2.7900396147077151</v>
      </c>
      <c r="AF399">
        <f t="shared" si="125"/>
        <v>1000.0000000000001</v>
      </c>
      <c r="AG399">
        <f t="shared" si="126"/>
        <v>-327.48599391995731</v>
      </c>
      <c r="AH399">
        <f t="shared" si="127"/>
        <v>2589.4859939199569</v>
      </c>
      <c r="AI399" s="5">
        <f t="shared" si="110"/>
        <v>0.44208664898320077</v>
      </c>
      <c r="AJ399" s="5">
        <f t="shared" si="111"/>
        <v>0</v>
      </c>
      <c r="AK399" s="5">
        <f t="shared" si="112"/>
        <v>0.38617702599974396</v>
      </c>
    </row>
    <row r="400" spans="1:37" hidden="1" x14ac:dyDescent="0.3">
      <c r="A400">
        <v>5354596</v>
      </c>
      <c r="B400" t="s">
        <v>36</v>
      </c>
      <c r="C400">
        <v>13.33333333333333</v>
      </c>
      <c r="D400">
        <v>24779.481413320711</v>
      </c>
      <c r="I400">
        <v>2063.772215596608</v>
      </c>
      <c r="J400">
        <v>2089.1321297305271</v>
      </c>
      <c r="K400">
        <v>6241.4065095303549</v>
      </c>
      <c r="L400">
        <v>6290.9016376116897</v>
      </c>
      <c r="M400">
        <v>0</v>
      </c>
      <c r="N400">
        <v>2822.1791194426341</v>
      </c>
      <c r="O400">
        <v>14339.97766974578</v>
      </c>
      <c r="P400" s="2">
        <v>44826.34375</v>
      </c>
      <c r="Q400" s="2">
        <v>44826.899305555547</v>
      </c>
      <c r="R400">
        <v>23341.115604792139</v>
      </c>
      <c r="S400">
        <v>5.2021023861276428</v>
      </c>
      <c r="T400">
        <f t="shared" si="113"/>
        <v>0.92980154086737188</v>
      </c>
      <c r="U400">
        <f t="shared" si="114"/>
        <v>1728.0000000000002</v>
      </c>
      <c r="V400">
        <f t="shared" si="115"/>
        <v>0</v>
      </c>
      <c r="W400">
        <f t="shared" si="116"/>
        <v>0</v>
      </c>
      <c r="X400">
        <f t="shared" si="117"/>
        <v>0</v>
      </c>
      <c r="Y400">
        <f t="shared" si="118"/>
        <v>0</v>
      </c>
      <c r="Z400">
        <f t="shared" si="119"/>
        <v>143.91739395457475</v>
      </c>
      <c r="AA400">
        <f t="shared" si="120"/>
        <v>145.68587049742339</v>
      </c>
      <c r="AB400">
        <f t="shared" si="121"/>
        <v>435.24520423057277</v>
      </c>
      <c r="AC400">
        <f t="shared" si="122"/>
        <v>438.69675270723178</v>
      </c>
      <c r="AD400">
        <f t="shared" si="123"/>
        <v>0</v>
      </c>
      <c r="AE400">
        <f t="shared" si="124"/>
        <v>196.80498703961135</v>
      </c>
      <c r="AF400">
        <f t="shared" si="125"/>
        <v>1000</v>
      </c>
      <c r="AG400">
        <f t="shared" si="126"/>
        <v>100.30460588256074</v>
      </c>
      <c r="AH400">
        <f t="shared" si="127"/>
        <v>1627.6953941174395</v>
      </c>
      <c r="AI400" s="5">
        <f t="shared" si="110"/>
        <v>0.57870370370370361</v>
      </c>
      <c r="AJ400" s="5">
        <f t="shared" si="111"/>
        <v>0</v>
      </c>
      <c r="AK400" s="5">
        <f t="shared" si="112"/>
        <v>0.61436556472055071</v>
      </c>
    </row>
    <row r="401" spans="1:37" hidden="1" x14ac:dyDescent="0.3">
      <c r="A401">
        <v>5355395</v>
      </c>
      <c r="B401" t="s">
        <v>32</v>
      </c>
      <c r="C401">
        <v>38.75</v>
      </c>
      <c r="D401">
        <v>73127.067395158097</v>
      </c>
      <c r="I401">
        <v>7118.3787990409892</v>
      </c>
      <c r="J401">
        <v>7018.0804760833844</v>
      </c>
      <c r="K401">
        <v>2.9053125</v>
      </c>
      <c r="L401">
        <v>-50.616973170846791</v>
      </c>
      <c r="M401">
        <v>29742.59683447831</v>
      </c>
      <c r="N401">
        <v>12679.556192717821</v>
      </c>
      <c r="O401">
        <v>33917.934784396137</v>
      </c>
      <c r="P401" s="2">
        <v>44828.701388888891</v>
      </c>
      <c r="Q401" s="2">
        <v>44830.638888888891</v>
      </c>
      <c r="R401">
        <v>117439.4270032458</v>
      </c>
      <c r="S401">
        <v>5.5391377326386504</v>
      </c>
      <c r="T401">
        <f t="shared" si="113"/>
        <v>1.1424634266891405</v>
      </c>
      <c r="U401">
        <f t="shared" si="114"/>
        <v>2156.0000000000009</v>
      </c>
      <c r="V401">
        <f t="shared" si="115"/>
        <v>0</v>
      </c>
      <c r="W401">
        <f t="shared" si="116"/>
        <v>0</v>
      </c>
      <c r="X401">
        <f t="shared" si="117"/>
        <v>0</v>
      </c>
      <c r="Y401">
        <f t="shared" si="118"/>
        <v>0</v>
      </c>
      <c r="Z401">
        <f t="shared" si="119"/>
        <v>209.87064348964378</v>
      </c>
      <c r="AA401">
        <f t="shared" si="120"/>
        <v>206.91355534158393</v>
      </c>
      <c r="AB401">
        <f t="shared" si="121"/>
        <v>8.5657116757491436E-2</v>
      </c>
      <c r="AC401">
        <f t="shared" si="122"/>
        <v>-1.4923365320618813</v>
      </c>
      <c r="AD401">
        <f t="shared" si="123"/>
        <v>876.89881543617219</v>
      </c>
      <c r="AE401">
        <f t="shared" si="124"/>
        <v>373.83043140206223</v>
      </c>
      <c r="AF401">
        <f t="shared" si="125"/>
        <v>999.99999999999989</v>
      </c>
      <c r="AG401">
        <f t="shared" si="126"/>
        <v>-1306.4580697428987</v>
      </c>
      <c r="AH401">
        <f t="shared" si="127"/>
        <v>3462.4580697428996</v>
      </c>
      <c r="AI401" s="5">
        <f t="shared" si="110"/>
        <v>0.46382189239332078</v>
      </c>
      <c r="AJ401" s="5">
        <f t="shared" si="111"/>
        <v>0</v>
      </c>
      <c r="AK401" s="5">
        <f t="shared" si="112"/>
        <v>0.28881216172366636</v>
      </c>
    </row>
    <row r="402" spans="1:37" hidden="1" x14ac:dyDescent="0.3">
      <c r="A402">
        <v>5355392</v>
      </c>
      <c r="B402" t="s">
        <v>40</v>
      </c>
      <c r="C402">
        <v>12.41666666666667</v>
      </c>
      <c r="D402">
        <v>30875.266170360701</v>
      </c>
      <c r="I402">
        <v>2497.5221324491699</v>
      </c>
      <c r="J402">
        <v>2582.2135257212772</v>
      </c>
      <c r="K402">
        <v>0</v>
      </c>
      <c r="L402">
        <v>36.93350781416882</v>
      </c>
      <c r="M402">
        <v>5277.394998927708</v>
      </c>
      <c r="N402">
        <v>2368.0046276814951</v>
      </c>
      <c r="O402">
        <v>20022.870408794231</v>
      </c>
      <c r="P402" s="2">
        <v>44828.291666666657</v>
      </c>
      <c r="Q402" s="2">
        <v>44829.475694444453</v>
      </c>
      <c r="R402">
        <v>72125.555142243844</v>
      </c>
      <c r="S402">
        <v>6.2465671499357898</v>
      </c>
      <c r="T402">
        <f t="shared" si="113"/>
        <v>0.62012420862561013</v>
      </c>
      <c r="U402">
        <f t="shared" si="114"/>
        <v>1541.9999999999998</v>
      </c>
      <c r="V402">
        <f t="shared" si="115"/>
        <v>0</v>
      </c>
      <c r="W402">
        <f t="shared" si="116"/>
        <v>0</v>
      </c>
      <c r="X402">
        <f t="shared" si="117"/>
        <v>0</v>
      </c>
      <c r="Y402">
        <f t="shared" si="118"/>
        <v>0</v>
      </c>
      <c r="Z402">
        <f t="shared" si="119"/>
        <v>124.73347134845537</v>
      </c>
      <c r="AA402">
        <f t="shared" si="120"/>
        <v>128.96320422606067</v>
      </c>
      <c r="AB402">
        <f t="shared" si="121"/>
        <v>0</v>
      </c>
      <c r="AC402">
        <f t="shared" si="122"/>
        <v>1.8445660916802058</v>
      </c>
      <c r="AD402">
        <f t="shared" si="123"/>
        <v>263.56835414615813</v>
      </c>
      <c r="AE402">
        <f t="shared" si="124"/>
        <v>118.26499294733713</v>
      </c>
      <c r="AF402">
        <f t="shared" si="125"/>
        <v>1000</v>
      </c>
      <c r="AG402">
        <f t="shared" si="126"/>
        <v>-2060.1586151087322</v>
      </c>
      <c r="AH402">
        <f t="shared" si="127"/>
        <v>3602.1586151087322</v>
      </c>
      <c r="AI402" s="5">
        <f t="shared" si="110"/>
        <v>0.64850843060959806</v>
      </c>
      <c r="AJ402" s="5">
        <f t="shared" si="111"/>
        <v>0</v>
      </c>
      <c r="AK402" s="5">
        <f t="shared" si="112"/>
        <v>0.2776113177819669</v>
      </c>
    </row>
    <row r="403" spans="1:37" hidden="1" x14ac:dyDescent="0.3">
      <c r="A403">
        <v>5355396</v>
      </c>
      <c r="B403" t="s">
        <v>42</v>
      </c>
      <c r="C403">
        <v>51.333333333333329</v>
      </c>
      <c r="D403">
        <v>138677.6538917094</v>
      </c>
      <c r="I403">
        <v>13517.54413995168</v>
      </c>
      <c r="J403">
        <v>13460.408513842631</v>
      </c>
      <c r="K403">
        <v>0</v>
      </c>
      <c r="L403">
        <v>-30.72088693357955</v>
      </c>
      <c r="M403">
        <v>45577.76512750917</v>
      </c>
      <c r="N403">
        <v>29220.01070945133</v>
      </c>
      <c r="O403">
        <v>64321.731860718617</v>
      </c>
      <c r="P403" s="2">
        <v>44830.638888888891</v>
      </c>
      <c r="Q403" s="2">
        <v>44832.777777777781</v>
      </c>
      <c r="R403">
        <v>126521.0568493231</v>
      </c>
      <c r="S403">
        <v>5.9485337319292189</v>
      </c>
      <c r="T403">
        <f t="shared" si="113"/>
        <v>0.79807138036161429</v>
      </c>
      <c r="U403">
        <f t="shared" si="114"/>
        <v>2156.0000000000009</v>
      </c>
      <c r="V403">
        <f t="shared" si="115"/>
        <v>0</v>
      </c>
      <c r="W403">
        <f t="shared" si="116"/>
        <v>0</v>
      </c>
      <c r="X403">
        <f t="shared" si="117"/>
        <v>0</v>
      </c>
      <c r="Y403">
        <f t="shared" si="118"/>
        <v>0</v>
      </c>
      <c r="Z403">
        <f t="shared" si="119"/>
        <v>210.15516449747312</v>
      </c>
      <c r="AA403">
        <f t="shared" si="120"/>
        <v>209.26688577026522</v>
      </c>
      <c r="AB403">
        <f t="shared" si="121"/>
        <v>0</v>
      </c>
      <c r="AC403">
        <f t="shared" si="122"/>
        <v>-0.47761286963016064</v>
      </c>
      <c r="AD403">
        <f t="shared" si="123"/>
        <v>708.59045316445497</v>
      </c>
      <c r="AE403">
        <f t="shared" si="124"/>
        <v>454.27897950142159</v>
      </c>
      <c r="AF403">
        <f t="shared" si="125"/>
        <v>1000</v>
      </c>
      <c r="AG403">
        <f t="shared" si="126"/>
        <v>188.99673082046411</v>
      </c>
      <c r="AH403">
        <f t="shared" si="127"/>
        <v>1967.0032691795368</v>
      </c>
      <c r="AI403" s="5">
        <f t="shared" si="110"/>
        <v>0.46382189239332078</v>
      </c>
      <c r="AJ403" s="5">
        <f t="shared" si="111"/>
        <v>0</v>
      </c>
      <c r="AK403" s="5">
        <f t="shared" si="112"/>
        <v>0.50838756379754935</v>
      </c>
    </row>
    <row r="404" spans="1:37" hidden="1" x14ac:dyDescent="0.3">
      <c r="A404">
        <v>5355755</v>
      </c>
      <c r="B404" t="s">
        <v>40</v>
      </c>
      <c r="C404">
        <v>12.58333333333333</v>
      </c>
      <c r="D404">
        <v>30629.849970227518</v>
      </c>
      <c r="I404">
        <v>2901.7961002825891</v>
      </c>
      <c r="J404">
        <v>2852.0123776507471</v>
      </c>
      <c r="K404">
        <v>0</v>
      </c>
      <c r="L404">
        <v>-33.431914157858962</v>
      </c>
      <c r="M404">
        <v>11415.42164196643</v>
      </c>
      <c r="N404">
        <v>7036.0630972126391</v>
      </c>
      <c r="O404">
        <v>19863.715933999691</v>
      </c>
      <c r="P404" s="2">
        <v>44832.777777777781</v>
      </c>
      <c r="Q404" s="2">
        <v>44833.302083333343</v>
      </c>
      <c r="R404">
        <v>30880.666542147021</v>
      </c>
      <c r="S404">
        <v>5.5861835748678672</v>
      </c>
      <c r="T404">
        <f t="shared" si="113"/>
        <v>0.63348335100760744</v>
      </c>
      <c r="U404">
        <f t="shared" si="114"/>
        <v>1541.9999999999998</v>
      </c>
      <c r="V404">
        <f t="shared" si="115"/>
        <v>0</v>
      </c>
      <c r="W404">
        <f t="shared" si="116"/>
        <v>0</v>
      </c>
      <c r="X404">
        <f t="shared" si="117"/>
        <v>0</v>
      </c>
      <c r="Y404">
        <f t="shared" si="118"/>
        <v>0</v>
      </c>
      <c r="Z404">
        <f t="shared" si="119"/>
        <v>146.0852596726746</v>
      </c>
      <c r="AA404">
        <f t="shared" si="120"/>
        <v>143.57899534643997</v>
      </c>
      <c r="AB404">
        <f t="shared" si="121"/>
        <v>0</v>
      </c>
      <c r="AC404">
        <f t="shared" si="122"/>
        <v>-1.6830644512306627</v>
      </c>
      <c r="AD404">
        <f t="shared" si="123"/>
        <v>574.68711694709884</v>
      </c>
      <c r="AE404">
        <f t="shared" si="124"/>
        <v>354.21686056078636</v>
      </c>
      <c r="AF404">
        <f t="shared" si="125"/>
        <v>1000</v>
      </c>
      <c r="AG404">
        <f t="shared" si="126"/>
        <v>-12.626870659693395</v>
      </c>
      <c r="AH404">
        <f t="shared" si="127"/>
        <v>1554.6268706596932</v>
      </c>
      <c r="AI404" s="5">
        <f t="shared" si="110"/>
        <v>0.64850843060959806</v>
      </c>
      <c r="AJ404" s="5">
        <f t="shared" si="111"/>
        <v>0</v>
      </c>
      <c r="AK404" s="5">
        <f t="shared" si="112"/>
        <v>0.64324116537086373</v>
      </c>
    </row>
    <row r="405" spans="1:37" hidden="1" x14ac:dyDescent="0.3">
      <c r="A405">
        <v>5355877</v>
      </c>
      <c r="B405" t="s">
        <v>32</v>
      </c>
      <c r="C405">
        <v>21.083333333333339</v>
      </c>
      <c r="D405">
        <v>50248.851763839128</v>
      </c>
      <c r="I405">
        <v>4751.5113681222592</v>
      </c>
      <c r="J405">
        <v>4799.5560432938264</v>
      </c>
      <c r="K405">
        <v>0</v>
      </c>
      <c r="L405">
        <v>39.783753358918261</v>
      </c>
      <c r="M405">
        <v>16307.675733189841</v>
      </c>
      <c r="N405">
        <v>11465.16341066216</v>
      </c>
      <c r="O405">
        <v>23306.51751569533</v>
      </c>
      <c r="P405" s="2">
        <v>44835.291666666657</v>
      </c>
      <c r="Q405" s="2">
        <v>44837.229166666657</v>
      </c>
      <c r="R405">
        <v>112229.16133824149</v>
      </c>
      <c r="S405">
        <v>6.1050508937835692</v>
      </c>
      <c r="T405">
        <f t="shared" si="113"/>
        <v>0.90461105221469362</v>
      </c>
      <c r="U405">
        <f t="shared" si="114"/>
        <v>2155.9999999999995</v>
      </c>
      <c r="V405">
        <f t="shared" si="115"/>
        <v>0</v>
      </c>
      <c r="W405">
        <f t="shared" si="116"/>
        <v>0</v>
      </c>
      <c r="X405">
        <f t="shared" si="117"/>
        <v>0</v>
      </c>
      <c r="Y405">
        <f t="shared" si="118"/>
        <v>0</v>
      </c>
      <c r="Z405">
        <f t="shared" si="119"/>
        <v>203.8704995253986</v>
      </c>
      <c r="AA405">
        <f t="shared" si="120"/>
        <v>205.93192612588547</v>
      </c>
      <c r="AB405">
        <f t="shared" si="121"/>
        <v>0</v>
      </c>
      <c r="AC405">
        <f t="shared" si="122"/>
        <v>1.7069797464218606</v>
      </c>
      <c r="AD405">
        <f t="shared" si="123"/>
        <v>699.70452351827112</v>
      </c>
      <c r="AE405">
        <f t="shared" si="124"/>
        <v>491.92949581339923</v>
      </c>
      <c r="AF405">
        <f t="shared" si="125"/>
        <v>1000</v>
      </c>
      <c r="AG405">
        <f t="shared" si="126"/>
        <v>-2659.3552439854179</v>
      </c>
      <c r="AH405">
        <f t="shared" si="127"/>
        <v>4815.3552439854175</v>
      </c>
      <c r="AI405" s="5">
        <f t="shared" si="110"/>
        <v>0.463821892393321</v>
      </c>
      <c r="AJ405" s="5">
        <f t="shared" si="111"/>
        <v>0</v>
      </c>
      <c r="AK405" s="5">
        <f t="shared" si="112"/>
        <v>0.20766899830475483</v>
      </c>
    </row>
    <row r="406" spans="1:37" hidden="1" x14ac:dyDescent="0.3">
      <c r="A406">
        <v>5355758</v>
      </c>
      <c r="B406" t="s">
        <v>42</v>
      </c>
      <c r="C406">
        <v>18.833333333333329</v>
      </c>
      <c r="D406">
        <v>35624.364149719637</v>
      </c>
      <c r="I406">
        <v>-23623.759669100811</v>
      </c>
      <c r="J406">
        <v>3909.8950886071461</v>
      </c>
      <c r="K406">
        <v>0</v>
      </c>
      <c r="L406">
        <v>-29271.921369419098</v>
      </c>
      <c r="M406">
        <v>18566.217347479382</v>
      </c>
      <c r="N406">
        <v>8965.529799577982</v>
      </c>
      <c r="O406">
        <v>16523.359995231749</v>
      </c>
      <c r="P406" s="2">
        <v>44833.305555555547</v>
      </c>
      <c r="Q406" s="2">
        <v>44834.090277777781</v>
      </c>
      <c r="R406">
        <v>33017.801088284301</v>
      </c>
      <c r="S406">
        <v>5.6755461740889093</v>
      </c>
      <c r="T406">
        <f t="shared" si="113"/>
        <v>1.1398004606065706</v>
      </c>
      <c r="U406">
        <f t="shared" si="114"/>
        <v>2155.9999999999991</v>
      </c>
      <c r="V406">
        <f t="shared" si="115"/>
        <v>0</v>
      </c>
      <c r="W406">
        <f t="shared" si="116"/>
        <v>0</v>
      </c>
      <c r="X406">
        <f t="shared" si="117"/>
        <v>0</v>
      </c>
      <c r="Y406">
        <f t="shared" si="118"/>
        <v>0</v>
      </c>
      <c r="Z406">
        <f t="shared" si="119"/>
        <v>-1429.7188753327453</v>
      </c>
      <c r="AA406">
        <f t="shared" si="120"/>
        <v>236.62833042041385</v>
      </c>
      <c r="AB406">
        <f t="shared" si="121"/>
        <v>0</v>
      </c>
      <c r="AC406">
        <f t="shared" si="122"/>
        <v>-1771.5477589222944</v>
      </c>
      <c r="AD406">
        <f t="shared" si="123"/>
        <v>1123.6345000555064</v>
      </c>
      <c r="AE406">
        <f t="shared" si="124"/>
        <v>542.59725637916392</v>
      </c>
      <c r="AF406">
        <f t="shared" si="125"/>
        <v>1000</v>
      </c>
      <c r="AG406">
        <f t="shared" si="126"/>
        <v>157.75018290393268</v>
      </c>
      <c r="AH406">
        <f t="shared" si="127"/>
        <v>1998.2498170960664</v>
      </c>
      <c r="AI406" s="5">
        <f t="shared" si="110"/>
        <v>0.46382189239332117</v>
      </c>
      <c r="AJ406" s="5">
        <f t="shared" si="111"/>
        <v>0</v>
      </c>
      <c r="AK406" s="5">
        <f t="shared" si="112"/>
        <v>0.50043792895386752</v>
      </c>
    </row>
    <row r="407" spans="1:37" hidden="1" x14ac:dyDescent="0.3">
      <c r="A407">
        <v>5355957</v>
      </c>
      <c r="B407" t="s">
        <v>40</v>
      </c>
      <c r="C407">
        <v>11.41666666666667</v>
      </c>
      <c r="D407">
        <v>32088.83068682711</v>
      </c>
      <c r="I407">
        <v>2885.2165439498731</v>
      </c>
      <c r="J407">
        <v>2820.9841710659002</v>
      </c>
      <c r="K407">
        <v>0</v>
      </c>
      <c r="L407">
        <v>13.41219966258222</v>
      </c>
      <c r="M407">
        <v>12792.829086164331</v>
      </c>
      <c r="N407">
        <v>6222.1346313935192</v>
      </c>
      <c r="O407">
        <v>20809.877228811361</v>
      </c>
      <c r="P407" s="2">
        <v>44835.822916666657</v>
      </c>
      <c r="Q407" s="2">
        <v>44836.298611111109</v>
      </c>
      <c r="R407">
        <v>27771.329844977012</v>
      </c>
      <c r="S407">
        <v>6.0211870384469268</v>
      </c>
      <c r="T407">
        <f t="shared" si="113"/>
        <v>0.5486176848203721</v>
      </c>
      <c r="U407">
        <f t="shared" si="114"/>
        <v>1541.9999999999995</v>
      </c>
      <c r="V407">
        <f t="shared" si="115"/>
        <v>0</v>
      </c>
      <c r="W407">
        <f t="shared" si="116"/>
        <v>0</v>
      </c>
      <c r="X407">
        <f t="shared" si="117"/>
        <v>0</v>
      </c>
      <c r="Y407">
        <f t="shared" si="118"/>
        <v>0</v>
      </c>
      <c r="Z407">
        <f t="shared" si="119"/>
        <v>138.64649523041294</v>
      </c>
      <c r="AA407">
        <f t="shared" si="120"/>
        <v>135.5598661178181</v>
      </c>
      <c r="AB407">
        <f t="shared" si="121"/>
        <v>0</v>
      </c>
      <c r="AC407">
        <f t="shared" si="122"/>
        <v>0.64451123450228598</v>
      </c>
      <c r="AD407">
        <f t="shared" si="123"/>
        <v>614.74793654489258</v>
      </c>
      <c r="AE407">
        <f t="shared" si="124"/>
        <v>298.9991033094106</v>
      </c>
      <c r="AF407">
        <f t="shared" si="125"/>
        <v>1000</v>
      </c>
      <c r="AG407">
        <f t="shared" si="126"/>
        <v>207.47363352401248</v>
      </c>
      <c r="AH407">
        <f t="shared" si="127"/>
        <v>1334.5263664759871</v>
      </c>
      <c r="AI407" s="5">
        <f t="shared" si="110"/>
        <v>0.64850843060959806</v>
      </c>
      <c r="AJ407" s="5">
        <f t="shared" si="111"/>
        <v>0</v>
      </c>
      <c r="AK407" s="5">
        <f t="shared" si="112"/>
        <v>0.74932951878698872</v>
      </c>
    </row>
    <row r="408" spans="1:37" hidden="1" x14ac:dyDescent="0.3">
      <c r="A408">
        <v>5355960</v>
      </c>
      <c r="B408" t="s">
        <v>42</v>
      </c>
      <c r="C408">
        <v>51.166666666666671</v>
      </c>
      <c r="D408">
        <v>105593.99532177221</v>
      </c>
      <c r="I408">
        <v>13660.192462136491</v>
      </c>
      <c r="J408">
        <v>13641.962027800089</v>
      </c>
      <c r="K408">
        <v>0</v>
      </c>
      <c r="L408">
        <v>-7.9711649306233312</v>
      </c>
      <c r="M408">
        <v>47083.664258022567</v>
      </c>
      <c r="N408">
        <v>25384.627436351449</v>
      </c>
      <c r="O408">
        <v>48976.806735515871</v>
      </c>
      <c r="P408" s="2">
        <v>44836.291666666657</v>
      </c>
      <c r="Q408" s="2">
        <v>44838.996527777781</v>
      </c>
      <c r="R408">
        <v>161909.88595732141</v>
      </c>
      <c r="S408">
        <v>6.6277342945679489</v>
      </c>
      <c r="T408">
        <f t="shared" si="113"/>
        <v>1.0447121827067343</v>
      </c>
      <c r="U408">
        <f t="shared" si="114"/>
        <v>2155.9999999999995</v>
      </c>
      <c r="V408">
        <f t="shared" si="115"/>
        <v>0</v>
      </c>
      <c r="W408">
        <f t="shared" si="116"/>
        <v>0</v>
      </c>
      <c r="X408">
        <f t="shared" si="117"/>
        <v>0</v>
      </c>
      <c r="Y408">
        <f t="shared" si="118"/>
        <v>0</v>
      </c>
      <c r="Z408">
        <f t="shared" si="119"/>
        <v>278.91145569992227</v>
      </c>
      <c r="AA408">
        <f t="shared" si="120"/>
        <v>278.5392298332003</v>
      </c>
      <c r="AB408">
        <f t="shared" si="121"/>
        <v>0</v>
      </c>
      <c r="AC408">
        <f t="shared" si="122"/>
        <v>-0.1627538719228705</v>
      </c>
      <c r="AD408">
        <f t="shared" si="123"/>
        <v>961.34614313022416</v>
      </c>
      <c r="AE408">
        <f t="shared" si="124"/>
        <v>518.29894859077467</v>
      </c>
      <c r="AF408">
        <f t="shared" si="125"/>
        <v>1000</v>
      </c>
      <c r="AG408">
        <f t="shared" si="126"/>
        <v>-1149.8481503636158</v>
      </c>
      <c r="AH408">
        <f t="shared" si="127"/>
        <v>3305.8481503636153</v>
      </c>
      <c r="AI408" s="5">
        <f t="shared" si="110"/>
        <v>0.463821892393321</v>
      </c>
      <c r="AJ408" s="5">
        <f t="shared" si="111"/>
        <v>0</v>
      </c>
      <c r="AK408" s="5">
        <f t="shared" si="112"/>
        <v>0.30249423280074383</v>
      </c>
    </row>
    <row r="409" spans="1:37" hidden="1" x14ac:dyDescent="0.3">
      <c r="A409">
        <v>5355965</v>
      </c>
      <c r="B409" t="s">
        <v>32</v>
      </c>
      <c r="C409">
        <v>18.083333333333329</v>
      </c>
      <c r="D409">
        <v>34184.317795706949</v>
      </c>
      <c r="I409">
        <v>-24718.163163487039</v>
      </c>
      <c r="J409">
        <v>2973.0394843467038</v>
      </c>
      <c r="K409">
        <v>771.52206093749999</v>
      </c>
      <c r="L409">
        <v>811.68620386759471</v>
      </c>
      <c r="M409">
        <v>12311.112840788859</v>
      </c>
      <c r="N409">
        <v>7691.2323177305461</v>
      </c>
      <c r="O409">
        <v>15855.434970179471</v>
      </c>
      <c r="P409" s="2">
        <v>44838.993055555547</v>
      </c>
      <c r="Q409" s="2">
        <v>44839.75</v>
      </c>
      <c r="R409">
        <v>31829.027753785809</v>
      </c>
      <c r="S409">
        <v>7.8869731336901836</v>
      </c>
      <c r="T409">
        <f t="shared" si="113"/>
        <v>1.1405132288924293</v>
      </c>
      <c r="U409">
        <f t="shared" si="114"/>
        <v>2156.0000000000009</v>
      </c>
      <c r="V409">
        <f t="shared" si="115"/>
        <v>0</v>
      </c>
      <c r="W409">
        <f t="shared" si="116"/>
        <v>0</v>
      </c>
      <c r="X409">
        <f t="shared" si="117"/>
        <v>0</v>
      </c>
      <c r="Y409">
        <f t="shared" si="118"/>
        <v>0</v>
      </c>
      <c r="Z409">
        <f t="shared" si="119"/>
        <v>-1558.9709907029596</v>
      </c>
      <c r="AA409">
        <f t="shared" si="120"/>
        <v>187.50917208757289</v>
      </c>
      <c r="AB409">
        <f t="shared" si="121"/>
        <v>48.659785265340275</v>
      </c>
      <c r="AC409">
        <f t="shared" si="122"/>
        <v>51.1929319753255</v>
      </c>
      <c r="AD409">
        <f t="shared" si="123"/>
        <v>776.4601137681376</v>
      </c>
      <c r="AE409">
        <f t="shared" si="124"/>
        <v>485.08491455428594</v>
      </c>
      <c r="AF409">
        <f t="shared" si="125"/>
        <v>1000</v>
      </c>
      <c r="AG409">
        <f t="shared" si="126"/>
        <v>148.54780372477444</v>
      </c>
      <c r="AH409">
        <f t="shared" si="127"/>
        <v>2007.4521962752265</v>
      </c>
      <c r="AI409" s="5">
        <f t="shared" si="110"/>
        <v>0.46382189239332083</v>
      </c>
      <c r="AJ409" s="5">
        <f t="shared" si="111"/>
        <v>0</v>
      </c>
      <c r="AK409" s="5">
        <f t="shared" si="112"/>
        <v>0.4981438670646669</v>
      </c>
    </row>
    <row r="410" spans="1:37" hidden="1" x14ac:dyDescent="0.3">
      <c r="A410">
        <v>5356324</v>
      </c>
      <c r="B410" t="s">
        <v>40</v>
      </c>
      <c r="C410">
        <v>28.083333333333329</v>
      </c>
      <c r="D410">
        <v>61229.666137308093</v>
      </c>
      <c r="I410">
        <v>6618.6602525356338</v>
      </c>
      <c r="J410">
        <v>6327.0970798847002</v>
      </c>
      <c r="K410">
        <v>1.9040625</v>
      </c>
      <c r="L410">
        <v>-3.4896403170563421</v>
      </c>
      <c r="M410">
        <v>22557.271102993731</v>
      </c>
      <c r="N410">
        <v>14841.94689497149</v>
      </c>
      <c r="O410">
        <v>39707.954693455307</v>
      </c>
      <c r="P410" s="2">
        <v>44839.725694444453</v>
      </c>
      <c r="Q410" s="2">
        <v>44845.430555555547</v>
      </c>
      <c r="R410">
        <v>353222.58988805348</v>
      </c>
      <c r="S410">
        <v>8.4400813251139386</v>
      </c>
      <c r="T410">
        <f t="shared" si="113"/>
        <v>0.70724703778213094</v>
      </c>
      <c r="U410">
        <f t="shared" si="114"/>
        <v>1542.0000000000002</v>
      </c>
      <c r="V410">
        <f t="shared" si="115"/>
        <v>0</v>
      </c>
      <c r="W410">
        <f t="shared" si="116"/>
        <v>0</v>
      </c>
      <c r="X410">
        <f t="shared" si="117"/>
        <v>0</v>
      </c>
      <c r="Y410">
        <f t="shared" si="118"/>
        <v>0</v>
      </c>
      <c r="Z410">
        <f t="shared" si="119"/>
        <v>166.68348454690178</v>
      </c>
      <c r="AA410">
        <f t="shared" si="120"/>
        <v>159.34079528219914</v>
      </c>
      <c r="AB410">
        <f t="shared" si="121"/>
        <v>4.7951663960013255E-2</v>
      </c>
      <c r="AC410">
        <f t="shared" si="122"/>
        <v>-8.7882650818867467E-2</v>
      </c>
      <c r="AD410">
        <f t="shared" si="123"/>
        <v>568.07940064240165</v>
      </c>
      <c r="AE410">
        <f t="shared" si="124"/>
        <v>373.77767274973115</v>
      </c>
      <c r="AF410">
        <f t="shared" si="125"/>
        <v>1000</v>
      </c>
      <c r="AG410">
        <f t="shared" si="126"/>
        <v>-7353.5120608685465</v>
      </c>
      <c r="AH410">
        <f t="shared" si="127"/>
        <v>8895.5120608685465</v>
      </c>
      <c r="AI410" s="5">
        <f t="shared" si="110"/>
        <v>0.64850843060959784</v>
      </c>
      <c r="AJ410" s="5">
        <f t="shared" si="111"/>
        <v>0</v>
      </c>
      <c r="AK410" s="5">
        <f t="shared" si="112"/>
        <v>0.11241623789135319</v>
      </c>
    </row>
    <row r="411" spans="1:37" hidden="1" x14ac:dyDescent="0.3">
      <c r="A411">
        <v>5356454</v>
      </c>
      <c r="B411" t="s">
        <v>41</v>
      </c>
      <c r="C411">
        <v>34.083333333333329</v>
      </c>
      <c r="D411">
        <v>68711.076186594801</v>
      </c>
      <c r="I411">
        <v>11695.136719113811</v>
      </c>
      <c r="J411">
        <v>7011.0728317689936</v>
      </c>
      <c r="K411">
        <v>0</v>
      </c>
      <c r="L411">
        <v>9.3781320311165928</v>
      </c>
      <c r="M411">
        <v>29416.441181499689</v>
      </c>
      <c r="N411">
        <v>17190.353327728011</v>
      </c>
      <c r="O411">
        <v>31869.701385248049</v>
      </c>
      <c r="P411" s="2">
        <v>44840.541666666657</v>
      </c>
      <c r="Q411" s="2">
        <v>44844.881944444453</v>
      </c>
      <c r="R411">
        <v>270567.82936240197</v>
      </c>
      <c r="S411">
        <v>8.5471659693490754</v>
      </c>
      <c r="T411">
        <f t="shared" si="113"/>
        <v>1.0694588230158295</v>
      </c>
      <c r="U411">
        <f t="shared" si="114"/>
        <v>2156</v>
      </c>
      <c r="V411">
        <f t="shared" si="115"/>
        <v>0</v>
      </c>
      <c r="W411">
        <f t="shared" si="116"/>
        <v>0</v>
      </c>
      <c r="X411">
        <f t="shared" si="117"/>
        <v>0</v>
      </c>
      <c r="Y411">
        <f t="shared" si="118"/>
        <v>0</v>
      </c>
      <c r="Z411">
        <f t="shared" si="119"/>
        <v>366.96725136330559</v>
      </c>
      <c r="AA411">
        <f t="shared" si="120"/>
        <v>219.99179556211033</v>
      </c>
      <c r="AB411">
        <f t="shared" si="121"/>
        <v>0</v>
      </c>
      <c r="AC411">
        <f t="shared" si="122"/>
        <v>0.29426482280933997</v>
      </c>
      <c r="AD411">
        <f t="shared" si="123"/>
        <v>923.02217789577617</v>
      </c>
      <c r="AE411">
        <f t="shared" si="124"/>
        <v>539.39486661412957</v>
      </c>
      <c r="AF411">
        <f t="shared" si="125"/>
        <v>1000</v>
      </c>
      <c r="AG411">
        <f t="shared" si="126"/>
        <v>-6333.8137604653948</v>
      </c>
      <c r="AH411">
        <f t="shared" si="127"/>
        <v>8489.8137604653948</v>
      </c>
      <c r="AI411" s="5">
        <f t="shared" si="110"/>
        <v>0.46382189239332089</v>
      </c>
      <c r="AJ411" s="5">
        <f t="shared" si="111"/>
        <v>0</v>
      </c>
      <c r="AK411" s="5">
        <f t="shared" si="112"/>
        <v>0.11778821399554257</v>
      </c>
    </row>
    <row r="412" spans="1:37" hidden="1" x14ac:dyDescent="0.3">
      <c r="A412">
        <v>5356457</v>
      </c>
      <c r="B412" t="s">
        <v>42</v>
      </c>
      <c r="C412">
        <v>70.166666666666671</v>
      </c>
      <c r="D412">
        <v>132552.75145694069</v>
      </c>
      <c r="I412">
        <v>9947.983970219113</v>
      </c>
      <c r="J412">
        <v>14806.643972290711</v>
      </c>
      <c r="K412">
        <v>2961.422101572814</v>
      </c>
      <c r="L412">
        <v>2918.774795735686</v>
      </c>
      <c r="M412">
        <v>50760.080301487782</v>
      </c>
      <c r="N412">
        <v>32071.548372216908</v>
      </c>
      <c r="O412">
        <v>61480.868022699768</v>
      </c>
      <c r="P412" s="2">
        <v>44841.364583333343</v>
      </c>
      <c r="Q412" s="2">
        <v>44844.291666666657</v>
      </c>
      <c r="R412">
        <v>123004.0683800814</v>
      </c>
      <c r="S412">
        <v>8.406232016558473</v>
      </c>
      <c r="T412">
        <f t="shared" si="113"/>
        <v>1.1412764478334945</v>
      </c>
      <c r="U412">
        <f t="shared" si="114"/>
        <v>2156</v>
      </c>
      <c r="V412">
        <f t="shared" si="115"/>
        <v>0</v>
      </c>
      <c r="W412">
        <f t="shared" si="116"/>
        <v>0</v>
      </c>
      <c r="X412">
        <f t="shared" si="117"/>
        <v>0</v>
      </c>
      <c r="Y412">
        <f t="shared" si="118"/>
        <v>0</v>
      </c>
      <c r="Z412">
        <f t="shared" si="119"/>
        <v>161.80617304469661</v>
      </c>
      <c r="AA412">
        <f t="shared" si="120"/>
        <v>240.83335919759381</v>
      </c>
      <c r="AB412">
        <f t="shared" si="121"/>
        <v>48.16818950050294</v>
      </c>
      <c r="AC412">
        <f t="shared" si="122"/>
        <v>47.474521580567561</v>
      </c>
      <c r="AD412">
        <f t="shared" si="123"/>
        <v>825.62400196995122</v>
      </c>
      <c r="AE412">
        <f t="shared" si="124"/>
        <v>521.65087129829647</v>
      </c>
      <c r="AF412">
        <f t="shared" si="125"/>
        <v>1000</v>
      </c>
      <c r="AG412">
        <f t="shared" si="126"/>
        <v>155.31145515599701</v>
      </c>
      <c r="AH412">
        <f t="shared" si="127"/>
        <v>2000.688544844003</v>
      </c>
      <c r="AI412" s="5">
        <f t="shared" si="110"/>
        <v>0.463821892393321</v>
      </c>
      <c r="AJ412" s="5">
        <f t="shared" si="111"/>
        <v>0</v>
      </c>
      <c r="AK412" s="5">
        <f t="shared" si="112"/>
        <v>0.49982792303035434</v>
      </c>
    </row>
    <row r="413" spans="1:37" hidden="1" x14ac:dyDescent="0.3">
      <c r="A413">
        <v>5356520</v>
      </c>
      <c r="B413" t="s">
        <v>32</v>
      </c>
      <c r="C413">
        <v>29.583333333333339</v>
      </c>
      <c r="D413">
        <v>75806.535772288742</v>
      </c>
      <c r="I413">
        <v>6487.4430665759273</v>
      </c>
      <c r="J413">
        <v>6555.8920455826028</v>
      </c>
      <c r="K413">
        <v>0</v>
      </c>
      <c r="L413">
        <v>56.510119513532693</v>
      </c>
      <c r="M413">
        <v>27565.52092158037</v>
      </c>
      <c r="N413">
        <v>18619.2676611764</v>
      </c>
      <c r="O413">
        <v>35160.730877684953</v>
      </c>
      <c r="P413" s="2">
        <v>44845.388888888891</v>
      </c>
      <c r="Q413" s="2">
        <v>44846.663194444453</v>
      </c>
      <c r="R413">
        <v>74560.643384648094</v>
      </c>
      <c r="S413">
        <v>7.8733923074304846</v>
      </c>
      <c r="T413">
        <f t="shared" si="113"/>
        <v>0.8413742432216802</v>
      </c>
      <c r="U413">
        <f t="shared" si="114"/>
        <v>2155.9999999999995</v>
      </c>
      <c r="V413">
        <f t="shared" si="115"/>
        <v>0</v>
      </c>
      <c r="W413">
        <f t="shared" si="116"/>
        <v>0</v>
      </c>
      <c r="X413">
        <f t="shared" si="117"/>
        <v>0</v>
      </c>
      <c r="Y413">
        <f t="shared" si="118"/>
        <v>0</v>
      </c>
      <c r="Z413">
        <f t="shared" si="119"/>
        <v>184.50819720284133</v>
      </c>
      <c r="AA413">
        <f t="shared" si="120"/>
        <v>186.45494225898909</v>
      </c>
      <c r="AB413">
        <f t="shared" si="121"/>
        <v>0</v>
      </c>
      <c r="AC413">
        <f t="shared" si="122"/>
        <v>1.6071941083965722</v>
      </c>
      <c r="AD413">
        <f t="shared" si="123"/>
        <v>783.98600465597985</v>
      </c>
      <c r="AE413">
        <f t="shared" si="124"/>
        <v>529.5472305723107</v>
      </c>
      <c r="AF413">
        <f t="shared" si="125"/>
        <v>999.99999999999989</v>
      </c>
      <c r="AG413">
        <f t="shared" si="126"/>
        <v>35.434200499835242</v>
      </c>
      <c r="AH413">
        <f t="shared" si="127"/>
        <v>2120.5657995001643</v>
      </c>
      <c r="AI413" s="5">
        <f t="shared" si="110"/>
        <v>0.46382189239332106</v>
      </c>
      <c r="AJ413" s="5">
        <f t="shared" si="111"/>
        <v>0</v>
      </c>
      <c r="AK413" s="5">
        <f t="shared" si="112"/>
        <v>0.47157225691167365</v>
      </c>
    </row>
    <row r="414" spans="1:37" hidden="1" x14ac:dyDescent="0.3">
      <c r="A414">
        <v>5356816</v>
      </c>
      <c r="B414" t="s">
        <v>42</v>
      </c>
      <c r="C414">
        <v>31.166666666666661</v>
      </c>
      <c r="D414">
        <v>75951.41173875978</v>
      </c>
      <c r="I414">
        <v>-19380.68331685361</v>
      </c>
      <c r="J414">
        <v>8089.1844882517062</v>
      </c>
      <c r="K414">
        <v>0</v>
      </c>
      <c r="L414">
        <v>-41.817123694940513</v>
      </c>
      <c r="M414">
        <v>31116.955463635761</v>
      </c>
      <c r="N414">
        <v>19782.236426556221</v>
      </c>
      <c r="O414">
        <v>35227.92752261585</v>
      </c>
      <c r="P414" s="2">
        <v>44846.666666666657</v>
      </c>
      <c r="Q414" s="2">
        <v>44847.961805555547</v>
      </c>
      <c r="R414">
        <v>72063.105098567117</v>
      </c>
      <c r="S414">
        <v>5.9410476114063977</v>
      </c>
      <c r="T414">
        <f t="shared" si="113"/>
        <v>0.88471473794926159</v>
      </c>
      <c r="U414">
        <f t="shared" si="114"/>
        <v>2156.0000000000005</v>
      </c>
      <c r="V414">
        <f t="shared" si="115"/>
        <v>0</v>
      </c>
      <c r="W414">
        <f t="shared" si="116"/>
        <v>0</v>
      </c>
      <c r="X414">
        <f t="shared" si="117"/>
        <v>0</v>
      </c>
      <c r="Y414">
        <f t="shared" si="118"/>
        <v>0</v>
      </c>
      <c r="Z414">
        <f t="shared" si="119"/>
        <v>-550.15110680046314</v>
      </c>
      <c r="AA414">
        <f t="shared" si="120"/>
        <v>229.62419469775961</v>
      </c>
      <c r="AB414">
        <f t="shared" si="121"/>
        <v>0</v>
      </c>
      <c r="AC414">
        <f t="shared" si="122"/>
        <v>-1.1870446726704116</v>
      </c>
      <c r="AD414">
        <f t="shared" si="123"/>
        <v>883.30360744778693</v>
      </c>
      <c r="AE414">
        <f t="shared" si="124"/>
        <v>561.5498219092309</v>
      </c>
      <c r="AF414">
        <f t="shared" si="125"/>
        <v>1000</v>
      </c>
      <c r="AG414">
        <f t="shared" si="126"/>
        <v>110.37568524848461</v>
      </c>
      <c r="AH414">
        <f t="shared" si="127"/>
        <v>2045.6243147515158</v>
      </c>
      <c r="AI414" s="5">
        <f t="shared" si="110"/>
        <v>0.46382189239332094</v>
      </c>
      <c r="AJ414" s="5">
        <f t="shared" si="111"/>
        <v>0</v>
      </c>
      <c r="AK414" s="5">
        <f t="shared" si="112"/>
        <v>0.48884831529853562</v>
      </c>
    </row>
    <row r="415" spans="1:37" hidden="1" x14ac:dyDescent="0.3">
      <c r="A415">
        <v>5356935</v>
      </c>
      <c r="B415" t="s">
        <v>32</v>
      </c>
      <c r="C415">
        <v>38.083333333333329</v>
      </c>
      <c r="D415">
        <v>72970.409012709308</v>
      </c>
      <c r="I415">
        <v>7945.5763775834503</v>
      </c>
      <c r="J415">
        <v>7853.2644368684623</v>
      </c>
      <c r="K415">
        <v>5534.2443364073806</v>
      </c>
      <c r="L415">
        <v>5516.3294289200876</v>
      </c>
      <c r="M415">
        <v>23713.204404889559</v>
      </c>
      <c r="N415">
        <v>17589.202446059739</v>
      </c>
      <c r="O415">
        <v>33845.273196989467</v>
      </c>
      <c r="P415" s="2">
        <v>44847.958333333343</v>
      </c>
      <c r="Q415" s="2">
        <v>44849.552083333343</v>
      </c>
      <c r="R415">
        <v>91864.923135269622</v>
      </c>
      <c r="S415">
        <v>5.2150119729262503</v>
      </c>
      <c r="T415">
        <f t="shared" si="113"/>
        <v>1.1252186712063781</v>
      </c>
      <c r="U415">
        <f t="shared" si="114"/>
        <v>2156.0000000000005</v>
      </c>
      <c r="V415">
        <f t="shared" si="115"/>
        <v>0</v>
      </c>
      <c r="W415">
        <f t="shared" si="116"/>
        <v>0</v>
      </c>
      <c r="X415">
        <f t="shared" si="117"/>
        <v>0</v>
      </c>
      <c r="Y415">
        <f t="shared" si="118"/>
        <v>0</v>
      </c>
      <c r="Z415">
        <f t="shared" si="119"/>
        <v>234.76177401015067</v>
      </c>
      <c r="AA415">
        <f t="shared" si="120"/>
        <v>232.03430479524124</v>
      </c>
      <c r="AB415">
        <f t="shared" si="121"/>
        <v>163.51601903747229</v>
      </c>
      <c r="AC415">
        <f t="shared" si="122"/>
        <v>162.98670118020394</v>
      </c>
      <c r="AD415">
        <f t="shared" si="123"/>
        <v>700.63563283628173</v>
      </c>
      <c r="AE415">
        <f t="shared" si="124"/>
        <v>519.69450338561001</v>
      </c>
      <c r="AF415">
        <f t="shared" si="125"/>
        <v>1000.0000000000001</v>
      </c>
      <c r="AG415">
        <f t="shared" si="126"/>
        <v>-558.26153367380675</v>
      </c>
      <c r="AH415">
        <f t="shared" si="127"/>
        <v>2714.2615336738072</v>
      </c>
      <c r="AI415" s="5">
        <f t="shared" si="110"/>
        <v>0.46382189239332083</v>
      </c>
      <c r="AJ415" s="5">
        <f t="shared" si="111"/>
        <v>0</v>
      </c>
      <c r="AK415" s="5">
        <f t="shared" si="112"/>
        <v>0.36842433479373671</v>
      </c>
    </row>
    <row r="416" spans="1:37" hidden="1" x14ac:dyDescent="0.3">
      <c r="A416">
        <v>5357051</v>
      </c>
      <c r="B416" t="s">
        <v>46</v>
      </c>
      <c r="C416">
        <v>17.916666666666661</v>
      </c>
      <c r="D416">
        <v>32963.306595615468</v>
      </c>
      <c r="I416">
        <v>2847.1137698080752</v>
      </c>
      <c r="J416">
        <v>3112.3692405814322</v>
      </c>
      <c r="K416">
        <v>16958.68386901325</v>
      </c>
      <c r="L416">
        <v>15630.95723000207</v>
      </c>
      <c r="M416">
        <v>0</v>
      </c>
      <c r="N416">
        <v>16976.005788402101</v>
      </c>
      <c r="O416">
        <v>14226.718427110691</v>
      </c>
      <c r="P416" s="2">
        <v>44849.628472222219</v>
      </c>
      <c r="Q416" s="2">
        <v>44850.375</v>
      </c>
      <c r="R416">
        <v>31380.481281059288</v>
      </c>
      <c r="S416">
        <v>5.0730404934405167</v>
      </c>
      <c r="T416">
        <f t="shared" si="113"/>
        <v>1.2593674893097158</v>
      </c>
      <c r="U416">
        <f t="shared" si="114"/>
        <v>2317</v>
      </c>
      <c r="V416">
        <f t="shared" si="115"/>
        <v>0</v>
      </c>
      <c r="W416">
        <f t="shared" si="116"/>
        <v>0</v>
      </c>
      <c r="X416">
        <f t="shared" si="117"/>
        <v>0</v>
      </c>
      <c r="Y416">
        <f t="shared" si="118"/>
        <v>0</v>
      </c>
      <c r="Z416">
        <f t="shared" si="119"/>
        <v>200.12441972440843</v>
      </c>
      <c r="AA416">
        <f t="shared" si="120"/>
        <v>218.76930063158105</v>
      </c>
      <c r="AB416">
        <f t="shared" si="121"/>
        <v>1192.0306116902177</v>
      </c>
      <c r="AC416">
        <f t="shared" si="122"/>
        <v>1098.7043364979681</v>
      </c>
      <c r="AD416">
        <f t="shared" si="123"/>
        <v>0</v>
      </c>
      <c r="AE416">
        <f t="shared" si="124"/>
        <v>1193.2481742277487</v>
      </c>
      <c r="AF416">
        <f t="shared" si="125"/>
        <v>1000</v>
      </c>
      <c r="AG416">
        <f t="shared" si="126"/>
        <v>111.25723213442689</v>
      </c>
      <c r="AH416">
        <f t="shared" si="127"/>
        <v>2205.7427678655731</v>
      </c>
      <c r="AI416" s="5">
        <f t="shared" si="110"/>
        <v>0.43159257660768241</v>
      </c>
      <c r="AJ416" s="5">
        <f t="shared" si="111"/>
        <v>0</v>
      </c>
      <c r="AK416" s="5">
        <f t="shared" si="112"/>
        <v>0.45336202143265691</v>
      </c>
    </row>
    <row r="417" spans="1:37" hidden="1" x14ac:dyDescent="0.3">
      <c r="A417">
        <v>5357069</v>
      </c>
      <c r="B417" t="s">
        <v>34</v>
      </c>
      <c r="C417">
        <v>15.16666666666667</v>
      </c>
      <c r="D417">
        <v>25530.14338004723</v>
      </c>
      <c r="I417">
        <v>3436.3060227805058</v>
      </c>
      <c r="J417">
        <v>3142.7134965915038</v>
      </c>
      <c r="K417">
        <v>13767.79445704214</v>
      </c>
      <c r="L417">
        <v>15051.884895890549</v>
      </c>
      <c r="M417">
        <v>0</v>
      </c>
      <c r="N417">
        <v>11328.97337316518</v>
      </c>
      <c r="O417">
        <v>11018.620362558149</v>
      </c>
      <c r="P417" s="2">
        <v>44850.375</v>
      </c>
      <c r="Q417" s="2">
        <v>44851.006944444453</v>
      </c>
      <c r="R417">
        <v>26562.808292301761</v>
      </c>
      <c r="S417">
        <v>5.0332089395665411</v>
      </c>
      <c r="T417">
        <f t="shared" si="113"/>
        <v>1.3764578656511117</v>
      </c>
      <c r="U417">
        <f t="shared" si="114"/>
        <v>2316.9999999999995</v>
      </c>
      <c r="V417">
        <f t="shared" si="115"/>
        <v>0</v>
      </c>
      <c r="W417">
        <f t="shared" si="116"/>
        <v>0</v>
      </c>
      <c r="X417">
        <f t="shared" si="117"/>
        <v>0</v>
      </c>
      <c r="Y417">
        <f t="shared" si="118"/>
        <v>0</v>
      </c>
      <c r="Z417">
        <f t="shared" si="119"/>
        <v>311.86354640706691</v>
      </c>
      <c r="AA417">
        <f t="shared" si="120"/>
        <v>285.21842056294173</v>
      </c>
      <c r="AB417">
        <f t="shared" si="121"/>
        <v>1249.5025696525338</v>
      </c>
      <c r="AC417">
        <f t="shared" si="122"/>
        <v>1366.0407928235411</v>
      </c>
      <c r="AD417">
        <f t="shared" si="123"/>
        <v>0</v>
      </c>
      <c r="AE417">
        <f t="shared" si="124"/>
        <v>1028.1662313788054</v>
      </c>
      <c r="AF417">
        <f t="shared" si="125"/>
        <v>1000</v>
      </c>
      <c r="AG417">
        <f t="shared" si="126"/>
        <v>-93.719982926681041</v>
      </c>
      <c r="AH417">
        <f t="shared" si="127"/>
        <v>2410.7199829266806</v>
      </c>
      <c r="AI417" s="5">
        <f t="shared" si="110"/>
        <v>0.43159257660768241</v>
      </c>
      <c r="AJ417" s="5">
        <f t="shared" si="111"/>
        <v>0</v>
      </c>
      <c r="AK417" s="5">
        <f t="shared" si="112"/>
        <v>0.41481383449021408</v>
      </c>
    </row>
    <row r="418" spans="1:37" hidden="1" x14ac:dyDescent="0.3">
      <c r="A418">
        <v>5356939</v>
      </c>
      <c r="B418" t="s">
        <v>48</v>
      </c>
      <c r="C418">
        <v>61.916666666666657</v>
      </c>
      <c r="D418">
        <v>0</v>
      </c>
      <c r="E418">
        <v>114531.6533333332</v>
      </c>
      <c r="F418">
        <v>35232.221199999971</v>
      </c>
      <c r="G418">
        <v>79299.432133333263</v>
      </c>
      <c r="I418">
        <v>0</v>
      </c>
      <c r="J418">
        <v>23207.753445826591</v>
      </c>
      <c r="K418">
        <v>63852.259426744997</v>
      </c>
      <c r="L418">
        <v>0</v>
      </c>
      <c r="M418">
        <v>0</v>
      </c>
      <c r="N418">
        <v>57188.695110776389</v>
      </c>
      <c r="O418">
        <v>50410.058685445969</v>
      </c>
      <c r="P418" s="2">
        <v>44866.291666666657</v>
      </c>
      <c r="Q418" s="2">
        <v>44869.451388888891</v>
      </c>
      <c r="R418">
        <v>0</v>
      </c>
      <c r="S418">
        <v>5.0041453449093556</v>
      </c>
      <c r="T418">
        <f t="shared" si="113"/>
        <v>1.2282601584144315</v>
      </c>
      <c r="U418">
        <f t="shared" si="114"/>
        <v>0</v>
      </c>
      <c r="V418">
        <f t="shared" si="115"/>
        <v>2271.9999999999995</v>
      </c>
      <c r="W418">
        <f t="shared" si="116"/>
        <v>698.91252100787517</v>
      </c>
      <c r="X418">
        <f t="shared" si="117"/>
        <v>1573.0874789921249</v>
      </c>
      <c r="Y418">
        <f t="shared" si="118"/>
        <v>0</v>
      </c>
      <c r="Z418">
        <f t="shared" si="119"/>
        <v>0</v>
      </c>
      <c r="AA418">
        <f t="shared" si="120"/>
        <v>460.37941734289166</v>
      </c>
      <c r="AB418">
        <f t="shared" si="121"/>
        <v>1266.657113517306</v>
      </c>
      <c r="AC418">
        <f t="shared" si="122"/>
        <v>0</v>
      </c>
      <c r="AD418">
        <f t="shared" si="123"/>
        <v>0</v>
      </c>
      <c r="AE418">
        <f t="shared" si="124"/>
        <v>1134.4699173557499</v>
      </c>
      <c r="AF418">
        <f t="shared" si="125"/>
        <v>1000.0000000000001</v>
      </c>
      <c r="AG418">
        <f t="shared" si="126"/>
        <v>0</v>
      </c>
      <c r="AH418">
        <f t="shared" si="127"/>
        <v>0</v>
      </c>
      <c r="AI418" s="5">
        <f t="shared" si="110"/>
        <v>0</v>
      </c>
      <c r="AJ418" s="5">
        <f t="shared" si="111"/>
        <v>0.44014084507042267</v>
      </c>
      <c r="AK418" s="5">
        <f t="shared" si="112"/>
        <v>0</v>
      </c>
    </row>
    <row r="419" spans="1:37" hidden="1" x14ac:dyDescent="0.3">
      <c r="A419">
        <v>5358149</v>
      </c>
      <c r="B419">
        <v>120</v>
      </c>
      <c r="C419">
        <v>45.333333333333343</v>
      </c>
      <c r="D419">
        <v>0</v>
      </c>
      <c r="E419">
        <v>49565.153999999988</v>
      </c>
      <c r="F419">
        <v>14720.850737999999</v>
      </c>
      <c r="G419">
        <v>34844.303261999987</v>
      </c>
      <c r="H419">
        <v>16521.718000000001</v>
      </c>
      <c r="I419">
        <v>21752.645572608501</v>
      </c>
      <c r="J419">
        <v>13088.86149515264</v>
      </c>
      <c r="K419">
        <v>32331.918732105249</v>
      </c>
      <c r="L419">
        <v>7130.3029756460464</v>
      </c>
      <c r="M419">
        <v>0</v>
      </c>
      <c r="N419">
        <v>27630.475259739491</v>
      </c>
      <c r="O419">
        <v>29822.595667870031</v>
      </c>
      <c r="P419" s="2">
        <v>44869.447916666657</v>
      </c>
      <c r="Q419" s="2">
        <v>44871.340277777781</v>
      </c>
      <c r="R419">
        <v>42.578125</v>
      </c>
      <c r="S419">
        <v>5.0041666030883789</v>
      </c>
      <c r="T419">
        <f t="shared" si="113"/>
        <v>1.5201001897421731</v>
      </c>
      <c r="U419">
        <f t="shared" si="114"/>
        <v>0</v>
      </c>
      <c r="V419">
        <f t="shared" si="115"/>
        <v>1661.9999999999998</v>
      </c>
      <c r="W419">
        <f t="shared" si="116"/>
        <v>493.61400000000009</v>
      </c>
      <c r="X419">
        <f t="shared" si="117"/>
        <v>1168.3859999999997</v>
      </c>
      <c r="Y419">
        <f t="shared" si="118"/>
        <v>554.00000000000011</v>
      </c>
      <c r="Z419">
        <f t="shared" si="119"/>
        <v>729.40148519815625</v>
      </c>
      <c r="AA419">
        <f t="shared" si="120"/>
        <v>438.89075387405614</v>
      </c>
      <c r="AB419">
        <f t="shared" si="121"/>
        <v>1084.1416720456257</v>
      </c>
      <c r="AC419">
        <f t="shared" si="122"/>
        <v>239.09062293085441</v>
      </c>
      <c r="AD419">
        <f t="shared" si="123"/>
        <v>0</v>
      </c>
      <c r="AE419">
        <f t="shared" si="124"/>
        <v>926.49464746315618</v>
      </c>
      <c r="AF419">
        <f t="shared" si="125"/>
        <v>1000</v>
      </c>
      <c r="AG419">
        <f t="shared" si="126"/>
        <v>-1.4277135858389547</v>
      </c>
      <c r="AH419">
        <f t="shared" si="127"/>
        <v>1.4277135858389547</v>
      </c>
      <c r="AI419" s="5">
        <f t="shared" si="110"/>
        <v>0</v>
      </c>
      <c r="AJ419" s="5">
        <f t="shared" si="111"/>
        <v>0.45126353790613721</v>
      </c>
      <c r="AK419" s="5">
        <f t="shared" si="112"/>
        <v>700.42059550226861</v>
      </c>
    </row>
    <row r="420" spans="1:37" hidden="1" x14ac:dyDescent="0.3">
      <c r="A420">
        <v>5358578</v>
      </c>
      <c r="B420" t="s">
        <v>48</v>
      </c>
      <c r="C420">
        <v>227.75</v>
      </c>
      <c r="D420">
        <v>0</v>
      </c>
      <c r="E420">
        <v>441629.91457609629</v>
      </c>
      <c r="F420">
        <v>127653.2842037253</v>
      </c>
      <c r="G420">
        <v>313976.63037237112</v>
      </c>
      <c r="I420">
        <v>0</v>
      </c>
      <c r="J420">
        <v>90626.918289816924</v>
      </c>
      <c r="K420">
        <v>253756.62758749709</v>
      </c>
      <c r="L420">
        <v>0</v>
      </c>
      <c r="M420">
        <v>0</v>
      </c>
      <c r="N420">
        <v>221682.89901522151</v>
      </c>
      <c r="O420">
        <v>194379.36380990161</v>
      </c>
      <c r="P420" s="2">
        <v>44871.472222222219</v>
      </c>
      <c r="Q420" s="2">
        <v>44882.458333333343</v>
      </c>
      <c r="R420">
        <v>372.23529411764707</v>
      </c>
      <c r="S420">
        <v>5.0041958937955027</v>
      </c>
      <c r="T420">
        <f t="shared" si="113"/>
        <v>1.1716778753465522</v>
      </c>
      <c r="U420">
        <f t="shared" si="114"/>
        <v>0</v>
      </c>
      <c r="V420">
        <f t="shared" si="115"/>
        <v>2271.9999999999991</v>
      </c>
      <c r="W420">
        <f t="shared" si="116"/>
        <v>656.72240973361329</v>
      </c>
      <c r="X420">
        <f t="shared" si="117"/>
        <v>1615.2775902663866</v>
      </c>
      <c r="Y420">
        <f t="shared" si="118"/>
        <v>0</v>
      </c>
      <c r="Z420">
        <f t="shared" si="119"/>
        <v>0</v>
      </c>
      <c r="AA420">
        <f t="shared" si="120"/>
        <v>466.2373438903108</v>
      </c>
      <c r="AB420">
        <f t="shared" si="121"/>
        <v>1305.4710264185503</v>
      </c>
      <c r="AC420">
        <f t="shared" si="122"/>
        <v>0</v>
      </c>
      <c r="AD420">
        <f t="shared" si="123"/>
        <v>0</v>
      </c>
      <c r="AE420">
        <f t="shared" si="124"/>
        <v>1140.4651948136948</v>
      </c>
      <c r="AF420">
        <f t="shared" si="125"/>
        <v>999.99999999999989</v>
      </c>
      <c r="AG420">
        <f t="shared" si="126"/>
        <v>-1.9149938904095001</v>
      </c>
      <c r="AH420">
        <f t="shared" si="127"/>
        <v>1.9149938904095001</v>
      </c>
      <c r="AI420" s="5">
        <f t="shared" si="110"/>
        <v>0</v>
      </c>
      <c r="AJ420" s="5">
        <f t="shared" si="111"/>
        <v>0.44014084507042273</v>
      </c>
      <c r="AK420" s="5">
        <f t="shared" si="112"/>
        <v>522.19487749183429</v>
      </c>
    </row>
    <row r="421" spans="1:37" hidden="1" x14ac:dyDescent="0.3">
      <c r="A421">
        <v>5359015</v>
      </c>
      <c r="B421">
        <v>120</v>
      </c>
      <c r="C421">
        <v>71.333333333333343</v>
      </c>
      <c r="D421">
        <v>0</v>
      </c>
      <c r="E421">
        <v>77542.65649730216</v>
      </c>
      <c r="F421">
        <v>44577.633618435248</v>
      </c>
      <c r="G421">
        <v>32965.022878866897</v>
      </c>
      <c r="H421">
        <v>25847.552165767389</v>
      </c>
      <c r="I421">
        <v>31349.941268354789</v>
      </c>
      <c r="J421">
        <v>21916.86367603522</v>
      </c>
      <c r="K421">
        <v>52881.601762350867</v>
      </c>
      <c r="L421">
        <v>-2027.513517606614</v>
      </c>
      <c r="M421">
        <v>0</v>
      </c>
      <c r="N421">
        <v>44668.812185900511</v>
      </c>
      <c r="O421">
        <v>46656.231346150511</v>
      </c>
      <c r="P421" s="2">
        <v>44882.458333333343</v>
      </c>
      <c r="Q421" s="2">
        <v>44885.475694444453</v>
      </c>
      <c r="R421">
        <v>0</v>
      </c>
      <c r="S421">
        <v>5.0041824456856734</v>
      </c>
      <c r="T421">
        <f t="shared" si="113"/>
        <v>1.528913315010362</v>
      </c>
      <c r="U421">
        <f t="shared" si="114"/>
        <v>0</v>
      </c>
      <c r="V421">
        <f t="shared" si="115"/>
        <v>1662.0000000000002</v>
      </c>
      <c r="W421">
        <f t="shared" si="116"/>
        <v>955.44865781606336</v>
      </c>
      <c r="X421">
        <f t="shared" si="117"/>
        <v>706.55134218393653</v>
      </c>
      <c r="Y421">
        <f t="shared" si="118"/>
        <v>554.00000000000011</v>
      </c>
      <c r="Z421">
        <f t="shared" si="119"/>
        <v>671.93470976608126</v>
      </c>
      <c r="AA421">
        <f t="shared" si="120"/>
        <v>469.75212192837188</v>
      </c>
      <c r="AB421">
        <f t="shared" si="121"/>
        <v>1133.4306315915933</v>
      </c>
      <c r="AC421">
        <f t="shared" si="122"/>
        <v>-43.45643570232123</v>
      </c>
      <c r="AD421">
        <f t="shared" si="123"/>
        <v>0</v>
      </c>
      <c r="AE421">
        <f t="shared" si="124"/>
        <v>957.40292126243548</v>
      </c>
      <c r="AF421">
        <f t="shared" si="125"/>
        <v>1000</v>
      </c>
      <c r="AG421">
        <f t="shared" si="126"/>
        <v>0</v>
      </c>
      <c r="AH421">
        <f t="shared" si="127"/>
        <v>0</v>
      </c>
      <c r="AI421" s="5">
        <f t="shared" si="110"/>
        <v>0</v>
      </c>
      <c r="AJ421" s="5">
        <f t="shared" si="111"/>
        <v>0.4512635379061371</v>
      </c>
      <c r="AK421" s="5">
        <f t="shared" si="112"/>
        <v>0</v>
      </c>
    </row>
    <row r="422" spans="1:37" hidden="1" x14ac:dyDescent="0.3">
      <c r="A422">
        <v>5359508</v>
      </c>
      <c r="B422" t="s">
        <v>48</v>
      </c>
      <c r="C422">
        <v>27.583333333333329</v>
      </c>
      <c r="D422">
        <v>0</v>
      </c>
      <c r="E422">
        <v>55553.369999999974</v>
      </c>
      <c r="F422">
        <v>30199.016499999991</v>
      </c>
      <c r="G422">
        <v>25354.35349999999</v>
      </c>
      <c r="I422">
        <v>0</v>
      </c>
      <c r="J422">
        <v>11801.524423730771</v>
      </c>
      <c r="K422">
        <v>28932.17490818282</v>
      </c>
      <c r="L422">
        <v>0</v>
      </c>
      <c r="M422">
        <v>0</v>
      </c>
      <c r="N422">
        <v>28377.103900332841</v>
      </c>
      <c r="O422">
        <v>24451.307218309848</v>
      </c>
      <c r="P422" s="2">
        <v>44885.475694444453</v>
      </c>
      <c r="Q422" s="2">
        <v>44886.625</v>
      </c>
      <c r="R422">
        <v>0</v>
      </c>
      <c r="S422">
        <v>5.004320210575508</v>
      </c>
      <c r="T422">
        <f t="shared" si="113"/>
        <v>1.1280923791541961</v>
      </c>
      <c r="U422">
        <f t="shared" si="114"/>
        <v>0</v>
      </c>
      <c r="V422">
        <f t="shared" si="115"/>
        <v>2272</v>
      </c>
      <c r="W422">
        <f t="shared" si="116"/>
        <v>1235.06756634206</v>
      </c>
      <c r="X422">
        <f t="shared" si="117"/>
        <v>1036.93243365794</v>
      </c>
      <c r="Y422">
        <f t="shared" si="118"/>
        <v>0</v>
      </c>
      <c r="Z422">
        <f t="shared" si="119"/>
        <v>0</v>
      </c>
      <c r="AA422">
        <f t="shared" si="120"/>
        <v>482.65413044638552</v>
      </c>
      <c r="AB422">
        <f t="shared" si="121"/>
        <v>1183.2567743665486</v>
      </c>
      <c r="AC422">
        <f t="shared" si="122"/>
        <v>0</v>
      </c>
      <c r="AD422">
        <f t="shared" si="123"/>
        <v>0</v>
      </c>
      <c r="AE422">
        <f t="shared" si="124"/>
        <v>1160.5556973691469</v>
      </c>
      <c r="AF422">
        <f t="shared" si="125"/>
        <v>1000</v>
      </c>
      <c r="AG422">
        <f t="shared" si="126"/>
        <v>0</v>
      </c>
      <c r="AH422">
        <f t="shared" si="127"/>
        <v>0</v>
      </c>
      <c r="AI422" s="5">
        <f t="shared" si="110"/>
        <v>0</v>
      </c>
      <c r="AJ422" s="5">
        <f t="shared" si="111"/>
        <v>0.44014084507042256</v>
      </c>
      <c r="AK422" s="5">
        <f t="shared" si="112"/>
        <v>0</v>
      </c>
    </row>
    <row r="423" spans="1:37" hidden="1" x14ac:dyDescent="0.3">
      <c r="A423">
        <v>5359768</v>
      </c>
      <c r="B423">
        <v>120</v>
      </c>
      <c r="C423">
        <v>29.833333333333329</v>
      </c>
      <c r="D423">
        <v>0</v>
      </c>
      <c r="E423">
        <v>33000</v>
      </c>
      <c r="F423">
        <v>15408</v>
      </c>
      <c r="G423">
        <v>17592</v>
      </c>
      <c r="H423">
        <v>11000</v>
      </c>
      <c r="I423">
        <v>-9984.0982260405399</v>
      </c>
      <c r="J423">
        <v>10268.0743038451</v>
      </c>
      <c r="K423">
        <v>25405.89702397184</v>
      </c>
      <c r="L423">
        <v>15307.015049821661</v>
      </c>
      <c r="M423">
        <v>0</v>
      </c>
      <c r="N423">
        <v>19280.23013114581</v>
      </c>
      <c r="O423">
        <v>19855.595667870031</v>
      </c>
      <c r="P423" s="2">
        <v>44886.645833333343</v>
      </c>
      <c r="Q423" s="2">
        <v>44888.003472222219</v>
      </c>
      <c r="R423">
        <v>0</v>
      </c>
      <c r="S423">
        <v>5.0042602346184548</v>
      </c>
      <c r="T423">
        <f t="shared" si="113"/>
        <v>1.5025151515151516</v>
      </c>
      <c r="U423">
        <f t="shared" si="114"/>
        <v>0</v>
      </c>
      <c r="V423">
        <f t="shared" si="115"/>
        <v>1662.0000000000005</v>
      </c>
      <c r="W423">
        <f t="shared" si="116"/>
        <v>776.00290909090927</v>
      </c>
      <c r="X423">
        <f t="shared" si="117"/>
        <v>885.99709090909107</v>
      </c>
      <c r="Y423">
        <f t="shared" si="118"/>
        <v>554.00000000000011</v>
      </c>
      <c r="Z423">
        <f t="shared" si="119"/>
        <v>-502.83549247513281</v>
      </c>
      <c r="AA423">
        <f t="shared" si="120"/>
        <v>517.1375603936533</v>
      </c>
      <c r="AB423">
        <f t="shared" si="121"/>
        <v>1279.5333592073093</v>
      </c>
      <c r="AC423">
        <f t="shared" si="122"/>
        <v>770.91693978192745</v>
      </c>
      <c r="AD423">
        <f t="shared" si="123"/>
        <v>0</v>
      </c>
      <c r="AE423">
        <f t="shared" si="124"/>
        <v>971.02249933225278</v>
      </c>
      <c r="AF423">
        <f t="shared" si="125"/>
        <v>999.99999999999989</v>
      </c>
      <c r="AG423">
        <f t="shared" si="126"/>
        <v>0</v>
      </c>
      <c r="AH423">
        <f t="shared" si="127"/>
        <v>0</v>
      </c>
      <c r="AI423" s="5">
        <f t="shared" si="110"/>
        <v>0</v>
      </c>
      <c r="AJ423" s="5">
        <f t="shared" si="111"/>
        <v>0.4512635379061371</v>
      </c>
      <c r="AK423" s="5">
        <f t="shared" si="112"/>
        <v>0</v>
      </c>
    </row>
    <row r="424" spans="1:37" hidden="1" x14ac:dyDescent="0.3">
      <c r="A424">
        <v>5359823</v>
      </c>
      <c r="B424" t="s">
        <v>48</v>
      </c>
      <c r="C424">
        <v>15.91666666666667</v>
      </c>
      <c r="D424">
        <v>0</v>
      </c>
      <c r="E424">
        <v>32498.552253436861</v>
      </c>
      <c r="F424">
        <v>14984.348514046589</v>
      </c>
      <c r="G424">
        <v>17514.203739390268</v>
      </c>
      <c r="I424">
        <v>0</v>
      </c>
      <c r="J424">
        <v>6939.5867846575038</v>
      </c>
      <c r="K424">
        <v>18807.122280792129</v>
      </c>
      <c r="L424">
        <v>0</v>
      </c>
      <c r="M424">
        <v>0</v>
      </c>
      <c r="N424">
        <v>17434.368143899261</v>
      </c>
      <c r="O424">
        <v>14303.940252392989</v>
      </c>
      <c r="P424" s="2">
        <v>44888.048611111109</v>
      </c>
      <c r="Q424" s="2">
        <v>44888.715277777781</v>
      </c>
      <c r="R424">
        <v>0</v>
      </c>
      <c r="S424">
        <v>5.0041666030883789</v>
      </c>
      <c r="T424">
        <f t="shared" si="113"/>
        <v>1.1127470043790122</v>
      </c>
      <c r="U424">
        <f t="shared" si="114"/>
        <v>0</v>
      </c>
      <c r="V424">
        <f t="shared" si="115"/>
        <v>2271.9999999999991</v>
      </c>
      <c r="W424">
        <f t="shared" si="116"/>
        <v>1047.5678903608234</v>
      </c>
      <c r="X424">
        <f t="shared" si="117"/>
        <v>1224.4321096391755</v>
      </c>
      <c r="Y424">
        <f t="shared" si="118"/>
        <v>0</v>
      </c>
      <c r="Z424">
        <f t="shared" si="119"/>
        <v>0</v>
      </c>
      <c r="AA424">
        <f t="shared" si="120"/>
        <v>485.15210929355914</v>
      </c>
      <c r="AB424">
        <f t="shared" si="121"/>
        <v>1314.8210876821704</v>
      </c>
      <c r="AC424">
        <f t="shared" si="122"/>
        <v>0</v>
      </c>
      <c r="AD424">
        <f t="shared" si="123"/>
        <v>0</v>
      </c>
      <c r="AE424">
        <f t="shared" si="124"/>
        <v>1218.8507387663735</v>
      </c>
      <c r="AF424">
        <f t="shared" si="125"/>
        <v>1000</v>
      </c>
      <c r="AG424">
        <f t="shared" si="126"/>
        <v>0</v>
      </c>
      <c r="AH424">
        <f t="shared" si="127"/>
        <v>0</v>
      </c>
      <c r="AI424" s="5">
        <f t="shared" si="110"/>
        <v>0</v>
      </c>
      <c r="AJ424" s="5">
        <f t="shared" si="111"/>
        <v>0.44014084507042267</v>
      </c>
      <c r="AK424" s="5">
        <f t="shared" si="112"/>
        <v>0</v>
      </c>
    </row>
    <row r="425" spans="1:37" hidden="1" x14ac:dyDescent="0.3">
      <c r="A425">
        <v>5359610</v>
      </c>
      <c r="B425" t="s">
        <v>56</v>
      </c>
      <c r="C425">
        <v>9.75</v>
      </c>
      <c r="D425">
        <v>0</v>
      </c>
      <c r="E425">
        <v>12150</v>
      </c>
      <c r="F425">
        <v>5467.4999999999991</v>
      </c>
      <c r="G425">
        <v>6682.5000000000009</v>
      </c>
      <c r="H425">
        <v>1350</v>
      </c>
      <c r="I425">
        <v>1884.2869281602859</v>
      </c>
      <c r="J425">
        <v>3996.8564037047172</v>
      </c>
      <c r="K425">
        <v>8859.5482440207143</v>
      </c>
      <c r="L425">
        <v>-7451.1395980389916</v>
      </c>
      <c r="M425">
        <v>0</v>
      </c>
      <c r="N425">
        <v>9383.3376446938473</v>
      </c>
      <c r="O425">
        <v>5915.8632778264682</v>
      </c>
      <c r="P425" s="2">
        <v>44888.71875</v>
      </c>
      <c r="Q425" s="2">
        <v>44889.125</v>
      </c>
      <c r="R425">
        <v>0</v>
      </c>
      <c r="S425">
        <v>5.0041666030883789</v>
      </c>
      <c r="T425">
        <f t="shared" si="113"/>
        <v>1.6481111111111111</v>
      </c>
      <c r="U425">
        <f t="shared" si="114"/>
        <v>0</v>
      </c>
      <c r="V425">
        <f t="shared" si="115"/>
        <v>2053.7999999999997</v>
      </c>
      <c r="W425">
        <f t="shared" si="116"/>
        <v>924.20999999999981</v>
      </c>
      <c r="X425">
        <f t="shared" si="117"/>
        <v>1129.5900000000001</v>
      </c>
      <c r="Y425">
        <f t="shared" si="118"/>
        <v>228.2</v>
      </c>
      <c r="Z425">
        <f t="shared" si="119"/>
        <v>318.51427926383496</v>
      </c>
      <c r="AA425">
        <f t="shared" si="120"/>
        <v>675.61676394475296</v>
      </c>
      <c r="AB425">
        <f t="shared" si="121"/>
        <v>1497.5917846559457</v>
      </c>
      <c r="AC425">
        <f t="shared" si="122"/>
        <v>-1259.5185602018503</v>
      </c>
      <c r="AD425">
        <f t="shared" si="123"/>
        <v>0</v>
      </c>
      <c r="AE425">
        <f t="shared" si="124"/>
        <v>1586.1315929771379</v>
      </c>
      <c r="AF425">
        <f t="shared" si="125"/>
        <v>1000</v>
      </c>
      <c r="AG425">
        <f t="shared" si="126"/>
        <v>0</v>
      </c>
      <c r="AH425">
        <f t="shared" si="127"/>
        <v>0</v>
      </c>
      <c r="AI425" s="5">
        <f t="shared" si="110"/>
        <v>0</v>
      </c>
      <c r="AJ425" s="5">
        <f t="shared" si="111"/>
        <v>0.43821209465381245</v>
      </c>
      <c r="AK425" s="5">
        <f t="shared" si="112"/>
        <v>0</v>
      </c>
    </row>
    <row r="426" spans="1:37" hidden="1" x14ac:dyDescent="0.3">
      <c r="A426">
        <v>5360106</v>
      </c>
      <c r="B426" t="s">
        <v>32</v>
      </c>
      <c r="C426">
        <v>6</v>
      </c>
      <c r="D426">
        <v>8499.7833345444506</v>
      </c>
      <c r="I426">
        <v>1455.2469059639679</v>
      </c>
      <c r="J426">
        <v>1341.7943443302261</v>
      </c>
      <c r="K426">
        <v>695.38183038275577</v>
      </c>
      <c r="L426">
        <v>753.88309652325347</v>
      </c>
      <c r="M426">
        <v>0</v>
      </c>
      <c r="N426">
        <v>372.63287510601089</v>
      </c>
      <c r="O426">
        <v>3942.3855911616188</v>
      </c>
      <c r="P426" s="2">
        <v>44889.71875</v>
      </c>
      <c r="Q426" s="2">
        <v>44889.96875</v>
      </c>
      <c r="R426">
        <v>16061.48911696789</v>
      </c>
      <c r="S426">
        <v>6.1113670784882386</v>
      </c>
      <c r="T426">
        <f t="shared" si="113"/>
        <v>1.5219211467927742</v>
      </c>
      <c r="U426">
        <f t="shared" si="114"/>
        <v>2156</v>
      </c>
      <c r="V426">
        <f t="shared" si="115"/>
        <v>0</v>
      </c>
      <c r="W426">
        <f t="shared" si="116"/>
        <v>0</v>
      </c>
      <c r="X426">
        <f t="shared" si="117"/>
        <v>0</v>
      </c>
      <c r="Y426">
        <f t="shared" si="118"/>
        <v>0</v>
      </c>
      <c r="Z426">
        <f t="shared" si="119"/>
        <v>369.12850666521979</v>
      </c>
      <c r="AA426">
        <f t="shared" si="120"/>
        <v>340.35086454718606</v>
      </c>
      <c r="AB426">
        <f t="shared" si="121"/>
        <v>176.38605212583033</v>
      </c>
      <c r="AC426">
        <f t="shared" si="122"/>
        <v>191.22510446805961</v>
      </c>
      <c r="AD426">
        <f t="shared" si="123"/>
        <v>0</v>
      </c>
      <c r="AE426">
        <f t="shared" si="124"/>
        <v>94.519642102338111</v>
      </c>
      <c r="AF426">
        <f t="shared" si="125"/>
        <v>1000</v>
      </c>
      <c r="AG426">
        <f t="shared" si="126"/>
        <v>-1918.0533226825723</v>
      </c>
      <c r="AH426">
        <f t="shared" si="127"/>
        <v>4074.0533226825723</v>
      </c>
      <c r="AI426" s="5">
        <f t="shared" si="110"/>
        <v>0.46382189239332094</v>
      </c>
      <c r="AJ426" s="5">
        <f t="shared" si="111"/>
        <v>0</v>
      </c>
      <c r="AK426" s="5">
        <f t="shared" si="112"/>
        <v>0.24545579568937675</v>
      </c>
    </row>
    <row r="427" spans="1:37" hidden="1" x14ac:dyDescent="0.3">
      <c r="A427">
        <v>5360109</v>
      </c>
      <c r="B427" t="s">
        <v>42</v>
      </c>
      <c r="C427">
        <v>5</v>
      </c>
      <c r="D427">
        <v>13983.199289135689</v>
      </c>
      <c r="I427">
        <v>1424.6729256165761</v>
      </c>
      <c r="J427">
        <v>1540.153574699513</v>
      </c>
      <c r="K427">
        <v>2073.6354138330762</v>
      </c>
      <c r="L427">
        <v>2014.632676458561</v>
      </c>
      <c r="M427">
        <v>0</v>
      </c>
      <c r="N427">
        <v>722.37221434159164</v>
      </c>
      <c r="O427">
        <v>6485.7139559998559</v>
      </c>
      <c r="P427" s="2">
        <v>44889.895833333343</v>
      </c>
      <c r="Q427" s="2">
        <v>44890.104166666657</v>
      </c>
      <c r="R427">
        <v>13550.31112218421</v>
      </c>
      <c r="S427">
        <v>6.8416618486047138</v>
      </c>
      <c r="T427">
        <f t="shared" si="113"/>
        <v>0.77092514932370093</v>
      </c>
      <c r="U427">
        <f t="shared" si="114"/>
        <v>2156</v>
      </c>
      <c r="V427">
        <f t="shared" si="115"/>
        <v>0</v>
      </c>
      <c r="W427">
        <f t="shared" si="116"/>
        <v>0</v>
      </c>
      <c r="X427">
        <f t="shared" si="117"/>
        <v>0</v>
      </c>
      <c r="Y427">
        <f t="shared" si="118"/>
        <v>0</v>
      </c>
      <c r="Z427">
        <f t="shared" si="119"/>
        <v>219.66323758367855</v>
      </c>
      <c r="AA427">
        <f t="shared" si="120"/>
        <v>237.46862491133075</v>
      </c>
      <c r="AB427">
        <f t="shared" si="121"/>
        <v>319.72353821043572</v>
      </c>
      <c r="AC427">
        <f t="shared" si="122"/>
        <v>310.62619938624471</v>
      </c>
      <c r="AD427">
        <f t="shared" si="123"/>
        <v>0</v>
      </c>
      <c r="AE427">
        <f t="shared" si="124"/>
        <v>111.37898144171682</v>
      </c>
      <c r="AF427">
        <f t="shared" si="125"/>
        <v>1000</v>
      </c>
      <c r="AG427">
        <f t="shared" si="126"/>
        <v>66.744874949506539</v>
      </c>
      <c r="AH427">
        <f t="shared" si="127"/>
        <v>2089.2551250504935</v>
      </c>
      <c r="AI427" s="5">
        <f t="shared" si="110"/>
        <v>0.46382189239332094</v>
      </c>
      <c r="AJ427" s="5">
        <f t="shared" si="111"/>
        <v>0</v>
      </c>
      <c r="AK427" s="5">
        <f t="shared" si="112"/>
        <v>0.47863948639390402</v>
      </c>
    </row>
    <row r="428" spans="1:37" hidden="1" x14ac:dyDescent="0.3">
      <c r="A428">
        <v>5360112</v>
      </c>
      <c r="B428" t="s">
        <v>43</v>
      </c>
      <c r="C428">
        <v>47.833333333333329</v>
      </c>
      <c r="D428">
        <v>88512.261101911863</v>
      </c>
      <c r="I428">
        <v>9633.4837039702634</v>
      </c>
      <c r="J428">
        <v>9670.3806106379998</v>
      </c>
      <c r="K428">
        <v>17506.766193390271</v>
      </c>
      <c r="L428">
        <v>-10348.0282165437</v>
      </c>
      <c r="M428">
        <v>0</v>
      </c>
      <c r="N428">
        <v>9621.4109622470314</v>
      </c>
      <c r="O428">
        <v>38201.234830346068</v>
      </c>
      <c r="P428" s="2">
        <v>44890.15625</v>
      </c>
      <c r="Q428" s="2">
        <v>44892.149305555547</v>
      </c>
      <c r="R428">
        <v>83764.911422242134</v>
      </c>
      <c r="S428">
        <v>7.3782332988177064</v>
      </c>
      <c r="T428">
        <f t="shared" si="113"/>
        <v>1.2521410249109479</v>
      </c>
      <c r="U428">
        <f t="shared" si="114"/>
        <v>2317.0000000000005</v>
      </c>
      <c r="V428">
        <f t="shared" si="115"/>
        <v>0</v>
      </c>
      <c r="W428">
        <f t="shared" si="116"/>
        <v>0</v>
      </c>
      <c r="X428">
        <f t="shared" si="117"/>
        <v>0</v>
      </c>
      <c r="Y428">
        <f t="shared" si="118"/>
        <v>0</v>
      </c>
      <c r="Z428">
        <f t="shared" si="119"/>
        <v>252.17728554464617</v>
      </c>
      <c r="AA428">
        <f t="shared" si="120"/>
        <v>253.14314193205348</v>
      </c>
      <c r="AB428">
        <f t="shared" si="121"/>
        <v>458.27749472337354</v>
      </c>
      <c r="AC428">
        <f t="shared" si="122"/>
        <v>-270.88203463840642</v>
      </c>
      <c r="AD428">
        <f t="shared" si="123"/>
        <v>0</v>
      </c>
      <c r="AE428">
        <f t="shared" si="124"/>
        <v>251.86125540120059</v>
      </c>
      <c r="AF428">
        <f t="shared" si="125"/>
        <v>1000.0000000000001</v>
      </c>
      <c r="AG428">
        <f t="shared" si="126"/>
        <v>124.27215247760932</v>
      </c>
      <c r="AH428">
        <f t="shared" si="127"/>
        <v>2192.7278475223911</v>
      </c>
      <c r="AI428" s="5">
        <f t="shared" si="110"/>
        <v>0.43159257660768224</v>
      </c>
      <c r="AJ428" s="5">
        <f t="shared" si="111"/>
        <v>0</v>
      </c>
      <c r="AK428" s="5">
        <f t="shared" si="112"/>
        <v>0.45605294844497951</v>
      </c>
    </row>
    <row r="429" spans="1:37" hidden="1" x14ac:dyDescent="0.3">
      <c r="A429">
        <v>5360176</v>
      </c>
      <c r="B429" t="s">
        <v>42</v>
      </c>
      <c r="C429">
        <v>63.416666666666671</v>
      </c>
      <c r="D429">
        <v>143874.92625112561</v>
      </c>
      <c r="I429">
        <v>17289.401270402759</v>
      </c>
      <c r="J429">
        <v>17356.76008892641</v>
      </c>
      <c r="K429">
        <v>6961.6658913807078</v>
      </c>
      <c r="L429">
        <v>6983.7643669756126</v>
      </c>
      <c r="M429">
        <v>47958.757328747532</v>
      </c>
      <c r="N429">
        <v>34583.538627575697</v>
      </c>
      <c r="O429">
        <v>66732.340561746547</v>
      </c>
      <c r="P429" s="2">
        <v>44896.291666666657</v>
      </c>
      <c r="Q429" s="2">
        <v>44898.9375</v>
      </c>
      <c r="R429">
        <v>164964.89478410239</v>
      </c>
      <c r="S429">
        <v>9.302143587249283</v>
      </c>
      <c r="T429">
        <f t="shared" si="113"/>
        <v>0.95031383783082013</v>
      </c>
      <c r="U429">
        <f t="shared" si="114"/>
        <v>2156.0000000000009</v>
      </c>
      <c r="V429">
        <f t="shared" si="115"/>
        <v>0</v>
      </c>
      <c r="W429">
        <f t="shared" si="116"/>
        <v>0</v>
      </c>
      <c r="X429">
        <f t="shared" si="117"/>
        <v>0</v>
      </c>
      <c r="Y429">
        <f t="shared" si="118"/>
        <v>0</v>
      </c>
      <c r="Z429">
        <f t="shared" si="119"/>
        <v>259.08579145976614</v>
      </c>
      <c r="AA429">
        <f t="shared" si="120"/>
        <v>260.09517938107433</v>
      </c>
      <c r="AB429">
        <f t="shared" si="121"/>
        <v>104.32221967307098</v>
      </c>
      <c r="AC429">
        <f t="shared" si="122"/>
        <v>104.65337058743846</v>
      </c>
      <c r="AD429">
        <f t="shared" si="123"/>
        <v>718.67338872030018</v>
      </c>
      <c r="AE429">
        <f t="shared" si="124"/>
        <v>518.24255430657354</v>
      </c>
      <c r="AF429">
        <f t="shared" si="125"/>
        <v>1000</v>
      </c>
      <c r="AG429">
        <f t="shared" si="126"/>
        <v>-316.03819610466826</v>
      </c>
      <c r="AH429">
        <f t="shared" si="127"/>
        <v>2472.0381961046692</v>
      </c>
      <c r="AI429" s="5">
        <f t="shared" si="110"/>
        <v>0.46382189239332078</v>
      </c>
      <c r="AJ429" s="5">
        <f t="shared" si="111"/>
        <v>0</v>
      </c>
      <c r="AK429" s="5">
        <f t="shared" si="112"/>
        <v>0.40452449382689826</v>
      </c>
    </row>
    <row r="430" spans="1:37" hidden="1" x14ac:dyDescent="0.3">
      <c r="A430">
        <v>5360653</v>
      </c>
      <c r="B430" t="s">
        <v>32</v>
      </c>
      <c r="C430">
        <v>320.00000000000011</v>
      </c>
      <c r="D430">
        <v>667287.44866134739</v>
      </c>
      <c r="I430">
        <v>-44453.51591518247</v>
      </c>
      <c r="J430">
        <v>64525.703671147712</v>
      </c>
      <c r="K430">
        <v>9614.1768287063751</v>
      </c>
      <c r="L430">
        <v>9763.110856318699</v>
      </c>
      <c r="M430">
        <v>231205.2260959234</v>
      </c>
      <c r="N430">
        <v>157689.81179989781</v>
      </c>
      <c r="O430">
        <v>309502.52720841719</v>
      </c>
      <c r="P430" s="2">
        <v>44899.166666666657</v>
      </c>
      <c r="Q430" s="2">
        <v>44924.381944444453</v>
      </c>
      <c r="R430">
        <v>1526703.6737812189</v>
      </c>
      <c r="S430">
        <v>7.8001783523470323</v>
      </c>
      <c r="T430">
        <f t="shared" si="113"/>
        <v>1.0339172441862292</v>
      </c>
      <c r="U430">
        <f t="shared" si="114"/>
        <v>2156</v>
      </c>
      <c r="V430">
        <f t="shared" si="115"/>
        <v>0</v>
      </c>
      <c r="W430">
        <f t="shared" si="116"/>
        <v>0</v>
      </c>
      <c r="X430">
        <f t="shared" si="117"/>
        <v>0</v>
      </c>
      <c r="Y430">
        <f t="shared" si="118"/>
        <v>0</v>
      </c>
      <c r="Z430">
        <f t="shared" si="119"/>
        <v>-143.62892709191914</v>
      </c>
      <c r="AA430">
        <f t="shared" si="120"/>
        <v>208.4819928714071</v>
      </c>
      <c r="AB430">
        <f t="shared" si="121"/>
        <v>31.063322537047473</v>
      </c>
      <c r="AC430">
        <f t="shared" si="122"/>
        <v>31.544527097655255</v>
      </c>
      <c r="AD430">
        <f t="shared" si="123"/>
        <v>747.0220943954721</v>
      </c>
      <c r="AE430">
        <f t="shared" si="124"/>
        <v>509.49442391373566</v>
      </c>
      <c r="AF430">
        <f t="shared" si="125"/>
        <v>1000</v>
      </c>
      <c r="AG430">
        <f t="shared" si="126"/>
        <v>-2776.7664221402165</v>
      </c>
      <c r="AH430">
        <f t="shared" si="127"/>
        <v>4932.7664221402165</v>
      </c>
      <c r="AI430" s="5">
        <f t="shared" si="110"/>
        <v>0.463821892393321</v>
      </c>
      <c r="AJ430" s="5">
        <f t="shared" si="111"/>
        <v>0</v>
      </c>
      <c r="AK430" s="5">
        <f t="shared" si="112"/>
        <v>0.20272599884551651</v>
      </c>
    </row>
    <row r="431" spans="1:37" hidden="1" x14ac:dyDescent="0.3">
      <c r="A431" t="s">
        <v>25</v>
      </c>
      <c r="B431" t="s">
        <v>33</v>
      </c>
      <c r="C431">
        <v>0.5</v>
      </c>
      <c r="D431">
        <v>946.20138414823361</v>
      </c>
      <c r="I431">
        <v>90.633419239836144</v>
      </c>
      <c r="J431">
        <v>102.8453387203095</v>
      </c>
      <c r="K431">
        <v>0</v>
      </c>
      <c r="L431">
        <v>-10.262299471079929</v>
      </c>
      <c r="M431">
        <v>258.71710552189012</v>
      </c>
      <c r="N431">
        <v>277.17664372037149</v>
      </c>
      <c r="O431">
        <v>438.86891658081328</v>
      </c>
      <c r="P431" s="2">
        <v>44899.291666666657</v>
      </c>
      <c r="Q431" s="2">
        <v>44899.3125</v>
      </c>
      <c r="R431">
        <v>876.22658099240209</v>
      </c>
      <c r="S431">
        <v>8.812427653053593</v>
      </c>
      <c r="T431">
        <f t="shared" si="113"/>
        <v>1.1392923515646842</v>
      </c>
      <c r="U431">
        <f t="shared" si="114"/>
        <v>2156.0000000000005</v>
      </c>
      <c r="V431">
        <f t="shared" si="115"/>
        <v>0</v>
      </c>
      <c r="W431">
        <f t="shared" si="116"/>
        <v>0</v>
      </c>
      <c r="X431">
        <f t="shared" si="117"/>
        <v>0</v>
      </c>
      <c r="Y431">
        <f t="shared" si="118"/>
        <v>0</v>
      </c>
      <c r="Z431">
        <f t="shared" si="119"/>
        <v>206.51592267220164</v>
      </c>
      <c r="AA431">
        <f t="shared" si="120"/>
        <v>234.34181559625577</v>
      </c>
      <c r="AB431">
        <f t="shared" si="121"/>
        <v>0</v>
      </c>
      <c r="AC431">
        <f t="shared" si="122"/>
        <v>-23.383518593735335</v>
      </c>
      <c r="AD431">
        <f t="shared" si="123"/>
        <v>589.50883908008552</v>
      </c>
      <c r="AE431">
        <f t="shared" si="124"/>
        <v>631.57046044597735</v>
      </c>
      <c r="AF431">
        <f t="shared" si="125"/>
        <v>1000</v>
      </c>
      <c r="AG431">
        <f t="shared" si="126"/>
        <v>159.44351607536646</v>
      </c>
      <c r="AH431">
        <f t="shared" si="127"/>
        <v>1996.556483924634</v>
      </c>
      <c r="AI431" s="5">
        <f t="shared" si="110"/>
        <v>0.46382189239332089</v>
      </c>
      <c r="AJ431" s="5">
        <f t="shared" si="111"/>
        <v>0</v>
      </c>
      <c r="AK431" s="5">
        <f t="shared" si="112"/>
        <v>0.50086236380064664</v>
      </c>
    </row>
    <row r="432" spans="1:37" hidden="1" x14ac:dyDescent="0.3">
      <c r="A432">
        <v>5360859</v>
      </c>
      <c r="B432" t="s">
        <v>38</v>
      </c>
      <c r="C432">
        <v>1.75</v>
      </c>
      <c r="D432">
        <v>4457.1310788921546</v>
      </c>
      <c r="I432">
        <v>455.60392406435568</v>
      </c>
      <c r="J432">
        <v>462.58233351324537</v>
      </c>
      <c r="K432">
        <v>0</v>
      </c>
      <c r="L432">
        <v>15.09410331401995</v>
      </c>
      <c r="M432">
        <v>1655.70880185754</v>
      </c>
      <c r="N432">
        <v>1079.62407673702</v>
      </c>
      <c r="O432">
        <v>1970.4381427463111</v>
      </c>
      <c r="P432" s="2">
        <v>44900.927083333343</v>
      </c>
      <c r="Q432" s="2">
        <v>44901</v>
      </c>
      <c r="R432">
        <v>4240.9906848393948</v>
      </c>
      <c r="S432">
        <v>6.6559300813251792</v>
      </c>
      <c r="T432">
        <f t="shared" si="113"/>
        <v>0.88812734692646889</v>
      </c>
      <c r="U432">
        <f t="shared" si="114"/>
        <v>2261.9999999999995</v>
      </c>
      <c r="V432">
        <f t="shared" si="115"/>
        <v>0</v>
      </c>
      <c r="W432">
        <f t="shared" si="116"/>
        <v>0</v>
      </c>
      <c r="X432">
        <f t="shared" si="117"/>
        <v>0</v>
      </c>
      <c r="Y432">
        <f t="shared" si="118"/>
        <v>0</v>
      </c>
      <c r="Z432">
        <f t="shared" si="119"/>
        <v>231.21960247346547</v>
      </c>
      <c r="AA432">
        <f t="shared" si="120"/>
        <v>234.76115462752779</v>
      </c>
      <c r="AB432">
        <f t="shared" si="121"/>
        <v>0</v>
      </c>
      <c r="AC432">
        <f t="shared" si="122"/>
        <v>7.6602776745797483</v>
      </c>
      <c r="AD432">
        <f t="shared" si="123"/>
        <v>840.27443741516549</v>
      </c>
      <c r="AE432">
        <f t="shared" si="124"/>
        <v>547.91066682879307</v>
      </c>
      <c r="AF432">
        <f t="shared" si="125"/>
        <v>1000</v>
      </c>
      <c r="AG432">
        <f t="shared" si="126"/>
        <v>109.69153984783952</v>
      </c>
      <c r="AH432">
        <f t="shared" si="127"/>
        <v>2152.30846015216</v>
      </c>
      <c r="AI432" s="5">
        <f t="shared" si="110"/>
        <v>0.44208664898320083</v>
      </c>
      <c r="AJ432" s="5">
        <f t="shared" si="111"/>
        <v>0</v>
      </c>
      <c r="AK432" s="5">
        <f t="shared" si="112"/>
        <v>0.4646174182344216</v>
      </c>
    </row>
    <row r="433" spans="1:37" hidden="1" x14ac:dyDescent="0.3">
      <c r="A433">
        <v>5360856</v>
      </c>
      <c r="B433" t="s">
        <v>39</v>
      </c>
      <c r="C433">
        <v>10.33333333333333</v>
      </c>
      <c r="D433">
        <v>26601.265295146499</v>
      </c>
      <c r="I433">
        <v>3007.606161215755</v>
      </c>
      <c r="J433">
        <v>2988.694780562621</v>
      </c>
      <c r="K433">
        <v>0</v>
      </c>
      <c r="L433">
        <v>-24.804910261835289</v>
      </c>
      <c r="M433">
        <v>9792.5176608954735</v>
      </c>
      <c r="N433">
        <v>6430.4803156385406</v>
      </c>
      <c r="O433">
        <v>11760.06423304443</v>
      </c>
      <c r="P433" s="2">
        <v>44900.496527777781</v>
      </c>
      <c r="Q433" s="2">
        <v>44900.927083333343</v>
      </c>
      <c r="R433">
        <v>25301.73079929145</v>
      </c>
      <c r="S433">
        <v>7.0754767310455309</v>
      </c>
      <c r="T433">
        <f t="shared" si="113"/>
        <v>0.87868000791167877</v>
      </c>
      <c r="U433">
        <f t="shared" si="114"/>
        <v>2262</v>
      </c>
      <c r="V433">
        <f t="shared" si="115"/>
        <v>0</v>
      </c>
      <c r="W433">
        <f t="shared" si="116"/>
        <v>0</v>
      </c>
      <c r="X433">
        <f t="shared" si="117"/>
        <v>0</v>
      </c>
      <c r="Y433">
        <f t="shared" si="118"/>
        <v>0</v>
      </c>
      <c r="Z433">
        <f t="shared" si="119"/>
        <v>255.74742634183301</v>
      </c>
      <c r="AA433">
        <f t="shared" si="120"/>
        <v>254.1393245255185</v>
      </c>
      <c r="AB433">
        <f t="shared" si="121"/>
        <v>0</v>
      </c>
      <c r="AC433">
        <f t="shared" si="122"/>
        <v>-2.1092495559791535</v>
      </c>
      <c r="AD433">
        <f t="shared" si="123"/>
        <v>832.69253184686056</v>
      </c>
      <c r="AE433">
        <f t="shared" si="124"/>
        <v>546.806563995597</v>
      </c>
      <c r="AF433">
        <f t="shared" si="125"/>
        <v>1000.0000000000001</v>
      </c>
      <c r="AG433">
        <f t="shared" si="126"/>
        <v>110.50403042897551</v>
      </c>
      <c r="AH433">
        <f t="shared" si="127"/>
        <v>2151.4959695710245</v>
      </c>
      <c r="AI433" s="5">
        <f t="shared" si="110"/>
        <v>0.44208664898320071</v>
      </c>
      <c r="AJ433" s="5">
        <f t="shared" si="111"/>
        <v>0</v>
      </c>
      <c r="AK433" s="5">
        <f t="shared" si="112"/>
        <v>0.46479287627918953</v>
      </c>
    </row>
    <row r="434" spans="1:37" hidden="1" x14ac:dyDescent="0.3">
      <c r="A434">
        <v>5361278</v>
      </c>
      <c r="B434" t="s">
        <v>40</v>
      </c>
      <c r="C434">
        <v>12.08333333333333</v>
      </c>
      <c r="D434">
        <v>31008.030294892371</v>
      </c>
      <c r="I434">
        <v>2926.56967836379</v>
      </c>
      <c r="J434">
        <v>3011.5921223824939</v>
      </c>
      <c r="K434">
        <v>0</v>
      </c>
      <c r="L434">
        <v>18.096870956739512</v>
      </c>
      <c r="M434">
        <v>9225.9559083657241</v>
      </c>
      <c r="N434">
        <v>5912.8299730551425</v>
      </c>
      <c r="O434">
        <v>20108.96906283552</v>
      </c>
      <c r="P434" s="2">
        <v>44906.104166666657</v>
      </c>
      <c r="Q434" s="2">
        <v>44906.607638888891</v>
      </c>
      <c r="R434">
        <v>29493.186565585002</v>
      </c>
      <c r="S434">
        <v>7.3935803561143469</v>
      </c>
      <c r="T434">
        <f t="shared" si="113"/>
        <v>0.60089273077977912</v>
      </c>
      <c r="U434">
        <f t="shared" si="114"/>
        <v>1542</v>
      </c>
      <c r="V434">
        <f t="shared" si="115"/>
        <v>0</v>
      </c>
      <c r="W434">
        <f t="shared" si="116"/>
        <v>0</v>
      </c>
      <c r="X434">
        <f t="shared" si="117"/>
        <v>0</v>
      </c>
      <c r="Y434">
        <f t="shared" si="118"/>
        <v>0</v>
      </c>
      <c r="Z434">
        <f t="shared" si="119"/>
        <v>145.53554034615044</v>
      </c>
      <c r="AA434">
        <f t="shared" si="120"/>
        <v>149.76362602041004</v>
      </c>
      <c r="AB434">
        <f t="shared" si="121"/>
        <v>0</v>
      </c>
      <c r="AC434">
        <f t="shared" si="122"/>
        <v>0.89994026547016404</v>
      </c>
      <c r="AD434">
        <f t="shared" si="123"/>
        <v>458.7980557102112</v>
      </c>
      <c r="AE434">
        <f t="shared" si="124"/>
        <v>294.03943854998346</v>
      </c>
      <c r="AF434">
        <f t="shared" si="125"/>
        <v>1000.0000000000001</v>
      </c>
      <c r="AG434">
        <f t="shared" si="126"/>
        <v>75.331744982741839</v>
      </c>
      <c r="AH434">
        <f t="shared" si="127"/>
        <v>1466.6682550172582</v>
      </c>
      <c r="AI434" s="5">
        <f t="shared" si="110"/>
        <v>0.64850843060959795</v>
      </c>
      <c r="AJ434" s="5">
        <f t="shared" si="111"/>
        <v>0</v>
      </c>
      <c r="AK434" s="5">
        <f t="shared" si="112"/>
        <v>0.68181744343285944</v>
      </c>
    </row>
    <row r="435" spans="1:37" hidden="1" x14ac:dyDescent="0.3">
      <c r="A435">
        <v>5361281</v>
      </c>
      <c r="B435" t="s">
        <v>41</v>
      </c>
      <c r="C435">
        <v>27.666666666666671</v>
      </c>
      <c r="D435">
        <v>52145.204484202302</v>
      </c>
      <c r="I435">
        <v>5795.9293114360262</v>
      </c>
      <c r="J435">
        <v>5688.1774749175074</v>
      </c>
      <c r="K435">
        <v>0.11812499999999999</v>
      </c>
      <c r="L435">
        <v>-29450.37285901991</v>
      </c>
      <c r="M435">
        <v>17160.118690192608</v>
      </c>
      <c r="N435">
        <v>10040.293045509239</v>
      </c>
      <c r="O435">
        <v>24186.08742309939</v>
      </c>
      <c r="P435" s="2">
        <v>44906.9375</v>
      </c>
      <c r="Q435" s="2">
        <v>44908.447916666657</v>
      </c>
      <c r="R435">
        <v>65296.103139915351</v>
      </c>
      <c r="S435">
        <v>7.7076315662410142</v>
      </c>
      <c r="T435">
        <f t="shared" si="113"/>
        <v>1.1439083214527326</v>
      </c>
      <c r="U435">
        <f t="shared" si="114"/>
        <v>2156.0000000000009</v>
      </c>
      <c r="V435">
        <f t="shared" si="115"/>
        <v>0</v>
      </c>
      <c r="W435">
        <f t="shared" si="116"/>
        <v>0</v>
      </c>
      <c r="X435">
        <f t="shared" si="117"/>
        <v>0</v>
      </c>
      <c r="Y435">
        <f t="shared" si="118"/>
        <v>0</v>
      </c>
      <c r="Z435">
        <f t="shared" si="119"/>
        <v>239.6389796350654</v>
      </c>
      <c r="AA435">
        <f t="shared" si="120"/>
        <v>235.18386316113717</v>
      </c>
      <c r="AB435">
        <f t="shared" si="121"/>
        <v>4.8840061616242415E-3</v>
      </c>
      <c r="AC435">
        <f t="shared" si="122"/>
        <v>-1217.6575873488641</v>
      </c>
      <c r="AD435">
        <f t="shared" si="123"/>
        <v>709.50370723474305</v>
      </c>
      <c r="AE435">
        <f t="shared" si="124"/>
        <v>415.12679871983192</v>
      </c>
      <c r="AF435">
        <f t="shared" si="125"/>
        <v>1000</v>
      </c>
      <c r="AG435">
        <f t="shared" si="126"/>
        <v>-543.73815928379645</v>
      </c>
      <c r="AH435">
        <f t="shared" si="127"/>
        <v>2699.7381592837974</v>
      </c>
      <c r="AI435" s="5">
        <f t="shared" si="110"/>
        <v>0.46382189239332083</v>
      </c>
      <c r="AJ435" s="5">
        <f t="shared" si="111"/>
        <v>0</v>
      </c>
      <c r="AK435" s="5">
        <f t="shared" si="112"/>
        <v>0.37040629164766331</v>
      </c>
    </row>
    <row r="436" spans="1:37" hidden="1" x14ac:dyDescent="0.3">
      <c r="A436">
        <v>5361785</v>
      </c>
      <c r="B436" t="s">
        <v>41</v>
      </c>
      <c r="C436">
        <v>36.583333333333329</v>
      </c>
      <c r="D436">
        <v>76529.799312480725</v>
      </c>
      <c r="I436">
        <v>8309.8373423948287</v>
      </c>
      <c r="J436">
        <v>8293.8131209719359</v>
      </c>
      <c r="K436">
        <v>3591.9499146837838</v>
      </c>
      <c r="L436">
        <v>3621.842190669227</v>
      </c>
      <c r="M436">
        <v>22989.608084050149</v>
      </c>
      <c r="N436">
        <v>16086.776505911999</v>
      </c>
      <c r="O436">
        <v>35496.196341595882</v>
      </c>
      <c r="P436" s="2">
        <v>44912.399305555547</v>
      </c>
      <c r="Q436" s="2">
        <v>44914.041666666657</v>
      </c>
      <c r="R436">
        <v>103335.9804021642</v>
      </c>
      <c r="S436">
        <v>7.4474319880551629</v>
      </c>
      <c r="T436">
        <f t="shared" si="113"/>
        <v>1.0306268587562295</v>
      </c>
      <c r="U436">
        <f t="shared" si="114"/>
        <v>2156</v>
      </c>
      <c r="V436">
        <f t="shared" si="115"/>
        <v>0</v>
      </c>
      <c r="W436">
        <f t="shared" si="116"/>
        <v>0</v>
      </c>
      <c r="X436">
        <f t="shared" si="117"/>
        <v>0</v>
      </c>
      <c r="Y436">
        <f t="shared" si="118"/>
        <v>0</v>
      </c>
      <c r="Z436">
        <f t="shared" si="119"/>
        <v>234.10500839091384</v>
      </c>
      <c r="AA436">
        <f t="shared" si="120"/>
        <v>233.65357350282935</v>
      </c>
      <c r="AB436">
        <f t="shared" si="121"/>
        <v>101.19253004228489</v>
      </c>
      <c r="AC436">
        <f t="shared" si="122"/>
        <v>102.03465621540428</v>
      </c>
      <c r="AD436">
        <f t="shared" si="123"/>
        <v>647.66398807384314</v>
      </c>
      <c r="AE436">
        <f t="shared" si="124"/>
        <v>453.19719192168378</v>
      </c>
      <c r="AF436">
        <f t="shared" si="125"/>
        <v>1000</v>
      </c>
      <c r="AG436">
        <f t="shared" si="126"/>
        <v>-755.18460715383526</v>
      </c>
      <c r="AH436">
        <f t="shared" si="127"/>
        <v>2911.1846071538353</v>
      </c>
      <c r="AI436" s="5">
        <f t="shared" si="110"/>
        <v>0.46382189239332094</v>
      </c>
      <c r="AJ436" s="5">
        <f t="shared" si="111"/>
        <v>0</v>
      </c>
      <c r="AK436" s="5">
        <f t="shared" si="112"/>
        <v>0.3435027780590203</v>
      </c>
    </row>
    <row r="437" spans="1:37" hidden="1" x14ac:dyDescent="0.3">
      <c r="A437">
        <v>5362203</v>
      </c>
      <c r="B437" t="s">
        <v>40</v>
      </c>
      <c r="C437">
        <v>15.33333333333333</v>
      </c>
      <c r="D437">
        <v>34381.748604185152</v>
      </c>
      <c r="I437">
        <v>4034.945815219437</v>
      </c>
      <c r="J437">
        <v>4001.6892313334602</v>
      </c>
      <c r="K437">
        <v>0</v>
      </c>
      <c r="L437">
        <v>53.69742935734223</v>
      </c>
      <c r="M437">
        <v>13382.9039060294</v>
      </c>
      <c r="N437">
        <v>8842.3027545940622</v>
      </c>
      <c r="O437">
        <v>22296.853828913849</v>
      </c>
      <c r="P437" s="2">
        <v>44916.947916666657</v>
      </c>
      <c r="Q437" s="2">
        <v>44917.590277777781</v>
      </c>
      <c r="R437">
        <v>41064.773116145938</v>
      </c>
      <c r="S437">
        <v>8.2428977923256266</v>
      </c>
      <c r="T437">
        <f t="shared" si="113"/>
        <v>0.68769044507299737</v>
      </c>
      <c r="U437">
        <f t="shared" si="114"/>
        <v>1541.9999999999998</v>
      </c>
      <c r="V437">
        <f t="shared" si="115"/>
        <v>0</v>
      </c>
      <c r="W437">
        <f t="shared" si="116"/>
        <v>0</v>
      </c>
      <c r="X437">
        <f t="shared" si="117"/>
        <v>0</v>
      </c>
      <c r="Y437">
        <f t="shared" si="118"/>
        <v>0</v>
      </c>
      <c r="Z437">
        <f t="shared" si="119"/>
        <v>180.96480544654457</v>
      </c>
      <c r="AA437">
        <f t="shared" si="120"/>
        <v>179.47326838301274</v>
      </c>
      <c r="AB437">
        <f t="shared" si="121"/>
        <v>0</v>
      </c>
      <c r="AC437">
        <f t="shared" si="122"/>
        <v>2.4082962452625991</v>
      </c>
      <c r="AD437">
        <f t="shared" si="123"/>
        <v>600.21490066346837</v>
      </c>
      <c r="AE437">
        <f t="shared" si="124"/>
        <v>396.57176848545538</v>
      </c>
      <c r="AF437">
        <f t="shared" si="125"/>
        <v>1000</v>
      </c>
      <c r="AG437">
        <f t="shared" si="126"/>
        <v>-299.72948485200436</v>
      </c>
      <c r="AH437">
        <f t="shared" si="127"/>
        <v>1841.7294848520041</v>
      </c>
      <c r="AI437" s="5">
        <f t="shared" si="110"/>
        <v>0.64850843060959795</v>
      </c>
      <c r="AJ437" s="5">
        <f t="shared" si="111"/>
        <v>0</v>
      </c>
      <c r="AK437" s="5">
        <f t="shared" si="112"/>
        <v>0.54296790501801462</v>
      </c>
    </row>
    <row r="438" spans="1:37" hidden="1" x14ac:dyDescent="0.3">
      <c r="A438">
        <v>5362415</v>
      </c>
      <c r="B438" t="s">
        <v>41</v>
      </c>
      <c r="C438">
        <v>32.833333333333343</v>
      </c>
      <c r="D438">
        <v>82639.62438336105</v>
      </c>
      <c r="I438">
        <v>10193.80061885828</v>
      </c>
      <c r="J438">
        <v>10107.286135957889</v>
      </c>
      <c r="K438">
        <v>0</v>
      </c>
      <c r="L438">
        <v>1.6771494801730571</v>
      </c>
      <c r="M438">
        <v>31128.343239868562</v>
      </c>
      <c r="N438">
        <v>22696.072945824191</v>
      </c>
      <c r="O438">
        <v>38330.066968163752</v>
      </c>
      <c r="P438" s="2">
        <v>44918.767361111109</v>
      </c>
      <c r="Q438" s="2">
        <v>44920.131944444453</v>
      </c>
      <c r="R438">
        <v>82379.401500709675</v>
      </c>
      <c r="S438">
        <v>8.9788137661455441</v>
      </c>
      <c r="T438">
        <f t="shared" si="113"/>
        <v>0.85659472916142065</v>
      </c>
      <c r="U438">
        <f t="shared" si="114"/>
        <v>2156</v>
      </c>
      <c r="V438">
        <f t="shared" si="115"/>
        <v>0</v>
      </c>
      <c r="W438">
        <f t="shared" si="116"/>
        <v>0</v>
      </c>
      <c r="X438">
        <f t="shared" si="117"/>
        <v>0</v>
      </c>
      <c r="Y438">
        <f t="shared" si="118"/>
        <v>0</v>
      </c>
      <c r="Z438">
        <f t="shared" si="119"/>
        <v>265.94789482953587</v>
      </c>
      <c r="AA438">
        <f t="shared" si="120"/>
        <v>263.69080294988305</v>
      </c>
      <c r="AB438">
        <f t="shared" si="121"/>
        <v>0</v>
      </c>
      <c r="AC438">
        <f t="shared" si="122"/>
        <v>4.3755453951230157E-2</v>
      </c>
      <c r="AD438">
        <f t="shared" si="123"/>
        <v>812.11293645072919</v>
      </c>
      <c r="AE438">
        <f t="shared" si="124"/>
        <v>592.1219225803892</v>
      </c>
      <c r="AF438">
        <f t="shared" si="125"/>
        <v>1000</v>
      </c>
      <c r="AG438">
        <f t="shared" si="126"/>
        <v>6.789001513290259</v>
      </c>
      <c r="AH438">
        <f t="shared" si="127"/>
        <v>2149.2109984867097</v>
      </c>
      <c r="AI438" s="5">
        <f t="shared" si="110"/>
        <v>0.46382189239332094</v>
      </c>
      <c r="AJ438" s="5">
        <f t="shared" si="111"/>
        <v>0</v>
      </c>
      <c r="AK438" s="5">
        <f t="shared" si="112"/>
        <v>0.46528702891624613</v>
      </c>
    </row>
    <row r="439" spans="1:37" hidden="1" x14ac:dyDescent="0.3">
      <c r="A439">
        <v>5362420</v>
      </c>
      <c r="B439" t="s">
        <v>38</v>
      </c>
      <c r="C439">
        <v>8.1666666666666679</v>
      </c>
      <c r="D439">
        <v>12698.17824090351</v>
      </c>
      <c r="I439">
        <v>2878.1545740609572</v>
      </c>
      <c r="J439">
        <v>3018.3382604402059</v>
      </c>
      <c r="K439">
        <v>6.0821899965265713E-3</v>
      </c>
      <c r="L439">
        <v>143.26348514143211</v>
      </c>
      <c r="M439">
        <v>6319.3753786127336</v>
      </c>
      <c r="N439">
        <v>3986.7095859547589</v>
      </c>
      <c r="O439">
        <v>5613.6950667124274</v>
      </c>
      <c r="P439" s="2">
        <v>44920.163194444453</v>
      </c>
      <c r="Q439" s="2">
        <v>44921.583333333343</v>
      </c>
      <c r="R439">
        <v>49363.372081821122</v>
      </c>
      <c r="S439">
        <v>5.0043674032372163</v>
      </c>
      <c r="T439">
        <f t="shared" si="113"/>
        <v>1.4547756102914489</v>
      </c>
      <c r="U439">
        <f t="shared" si="114"/>
        <v>2262</v>
      </c>
      <c r="V439">
        <f t="shared" si="115"/>
        <v>0</v>
      </c>
      <c r="W439">
        <f t="shared" si="116"/>
        <v>0</v>
      </c>
      <c r="X439">
        <f t="shared" si="117"/>
        <v>0</v>
      </c>
      <c r="Y439">
        <f t="shared" si="118"/>
        <v>0</v>
      </c>
      <c r="Z439">
        <f t="shared" si="119"/>
        <v>512.70233595828415</v>
      </c>
      <c r="AA439">
        <f t="shared" si="120"/>
        <v>537.67406753852208</v>
      </c>
      <c r="AB439">
        <f t="shared" si="121"/>
        <v>1.0834557139721005E-3</v>
      </c>
      <c r="AC439">
        <f t="shared" si="122"/>
        <v>25.520353962747773</v>
      </c>
      <c r="AD439">
        <f t="shared" si="123"/>
        <v>1125.7069191529094</v>
      </c>
      <c r="AE439">
        <f t="shared" si="124"/>
        <v>710.17565766882899</v>
      </c>
      <c r="AF439">
        <f t="shared" si="125"/>
        <v>1000.0000000000001</v>
      </c>
      <c r="AG439">
        <f t="shared" si="126"/>
        <v>-6531.3832342500227</v>
      </c>
      <c r="AH439">
        <f t="shared" si="127"/>
        <v>8793.3832342500227</v>
      </c>
      <c r="AI439" s="5">
        <f t="shared" si="110"/>
        <v>0.44208664898320077</v>
      </c>
      <c r="AJ439" s="5">
        <f t="shared" si="111"/>
        <v>0</v>
      </c>
      <c r="AK439" s="5">
        <f t="shared" si="112"/>
        <v>0.11372187170292128</v>
      </c>
    </row>
    <row r="440" spans="1:37" hidden="1" x14ac:dyDescent="0.3">
      <c r="A440">
        <v>5362423</v>
      </c>
      <c r="B440" t="s">
        <v>49</v>
      </c>
      <c r="C440">
        <v>19.333333333333329</v>
      </c>
      <c r="D440">
        <v>24288.00263331801</v>
      </c>
      <c r="I440">
        <v>4375.7758781573348</v>
      </c>
      <c r="J440">
        <v>4397.6748161298592</v>
      </c>
      <c r="K440">
        <v>3.789941576086957</v>
      </c>
      <c r="L440">
        <v>20.582734382259101</v>
      </c>
      <c r="M440">
        <v>10535.653078763189</v>
      </c>
      <c r="N440">
        <v>5011.5084795065404</v>
      </c>
      <c r="O440">
        <v>10482.521637167891</v>
      </c>
      <c r="P440" s="2">
        <v>44922.489583333343</v>
      </c>
      <c r="Q440" s="2">
        <v>44923.295138888891</v>
      </c>
      <c r="R440">
        <v>23589.485713755272</v>
      </c>
      <c r="S440">
        <v>5.0043045700780606</v>
      </c>
      <c r="T440">
        <f t="shared" si="113"/>
        <v>1.8443399405714656</v>
      </c>
      <c r="U440">
        <f t="shared" si="114"/>
        <v>2317.0000000000009</v>
      </c>
      <c r="V440">
        <f t="shared" si="115"/>
        <v>0</v>
      </c>
      <c r="W440">
        <f t="shared" si="116"/>
        <v>0</v>
      </c>
      <c r="X440">
        <f t="shared" si="117"/>
        <v>0</v>
      </c>
      <c r="Y440">
        <f t="shared" si="118"/>
        <v>0</v>
      </c>
      <c r="Z440">
        <f t="shared" si="119"/>
        <v>417.43542533145268</v>
      </c>
      <c r="AA440">
        <f t="shared" si="120"/>
        <v>419.52451598449539</v>
      </c>
      <c r="AB440">
        <f t="shared" si="121"/>
        <v>0.36154865282118342</v>
      </c>
      <c r="AC440">
        <f t="shared" si="122"/>
        <v>1.9635289193469321</v>
      </c>
      <c r="AD440">
        <f t="shared" si="123"/>
        <v>1005.0685744741904</v>
      </c>
      <c r="AE440">
        <f t="shared" si="124"/>
        <v>478.08234058274945</v>
      </c>
      <c r="AF440">
        <f t="shared" si="125"/>
        <v>1000.0000000000001</v>
      </c>
      <c r="AG440">
        <f t="shared" si="126"/>
        <v>66.636344167991865</v>
      </c>
      <c r="AH440">
        <f t="shared" si="127"/>
        <v>2250.363655832009</v>
      </c>
      <c r="AI440" s="5">
        <f t="shared" si="110"/>
        <v>0.43159257660768219</v>
      </c>
      <c r="AJ440" s="5">
        <f t="shared" si="111"/>
        <v>0</v>
      </c>
      <c r="AK440" s="5">
        <f t="shared" si="112"/>
        <v>0.44437262280183687</v>
      </c>
    </row>
    <row r="441" spans="1:37" hidden="1" x14ac:dyDescent="0.3">
      <c r="A441">
        <v>5362754</v>
      </c>
      <c r="B441" t="s">
        <v>38</v>
      </c>
      <c r="C441">
        <v>13.91666666666667</v>
      </c>
      <c r="D441">
        <v>23062.807596823968</v>
      </c>
      <c r="I441">
        <v>-24166.943670622531</v>
      </c>
      <c r="J441">
        <v>2583.9692339823901</v>
      </c>
      <c r="K441">
        <v>0</v>
      </c>
      <c r="L441">
        <v>-38.460483868931313</v>
      </c>
      <c r="M441">
        <v>13651.14670262216</v>
      </c>
      <c r="N441">
        <v>5053.2014204101624</v>
      </c>
      <c r="O441">
        <v>10195.759326624209</v>
      </c>
      <c r="P441" s="2">
        <v>44923.295138888891</v>
      </c>
      <c r="Q441" s="2">
        <v>44923.875</v>
      </c>
      <c r="R441">
        <v>22428.347269302019</v>
      </c>
      <c r="S441">
        <v>5.0044420809785199</v>
      </c>
      <c r="T441">
        <f t="shared" si="113"/>
        <v>1.3649465646296737</v>
      </c>
      <c r="U441">
        <f t="shared" si="114"/>
        <v>2262.0000000000005</v>
      </c>
      <c r="V441">
        <f t="shared" si="115"/>
        <v>0</v>
      </c>
      <c r="W441">
        <f t="shared" si="116"/>
        <v>0</v>
      </c>
      <c r="X441">
        <f t="shared" si="117"/>
        <v>0</v>
      </c>
      <c r="Y441">
        <f t="shared" si="118"/>
        <v>0</v>
      </c>
      <c r="Z441">
        <f t="shared" si="119"/>
        <v>-2370.2936580226387</v>
      </c>
      <c r="AA441">
        <f t="shared" si="120"/>
        <v>253.43568352333168</v>
      </c>
      <c r="AB441">
        <f t="shared" si="121"/>
        <v>0</v>
      </c>
      <c r="AC441">
        <f t="shared" si="122"/>
        <v>-3.7722039758725341</v>
      </c>
      <c r="AD441">
        <f t="shared" si="123"/>
        <v>1338.9043685029806</v>
      </c>
      <c r="AE441">
        <f t="shared" si="124"/>
        <v>495.6179582637584</v>
      </c>
      <c r="AF441">
        <f t="shared" si="125"/>
        <v>1000</v>
      </c>
      <c r="AG441">
        <f t="shared" si="126"/>
        <v>62.227864271490034</v>
      </c>
      <c r="AH441">
        <f t="shared" si="127"/>
        <v>2199.7721357285104</v>
      </c>
      <c r="AI441" s="5">
        <f t="shared" si="110"/>
        <v>0.4420866489832006</v>
      </c>
      <c r="AJ441" s="5">
        <f t="shared" si="111"/>
        <v>0</v>
      </c>
      <c r="AK441" s="5">
        <f t="shared" si="112"/>
        <v>0.45459253881712819</v>
      </c>
    </row>
    <row r="442" spans="1:37" x14ac:dyDescent="0.3">
      <c r="A442">
        <v>5360983</v>
      </c>
      <c r="B442" t="s">
        <v>32</v>
      </c>
      <c r="C442">
        <v>86.25</v>
      </c>
      <c r="D442">
        <v>197922.28622098899</v>
      </c>
      <c r="I442">
        <v>-2369.546764090454</v>
      </c>
      <c r="J442">
        <v>24261.761780115499</v>
      </c>
      <c r="K442">
        <v>36934.966457954171</v>
      </c>
      <c r="L442">
        <v>28745.3890835893</v>
      </c>
      <c r="M442">
        <v>42887.636890247537</v>
      </c>
      <c r="N442">
        <v>47276.680749991632</v>
      </c>
      <c r="O442">
        <v>91800.689341831603</v>
      </c>
      <c r="P442" s="2">
        <v>44928.777777777781</v>
      </c>
      <c r="Q442" s="2">
        <v>44935.614583333343</v>
      </c>
      <c r="R442">
        <v>373426.72803858161</v>
      </c>
      <c r="S442">
        <v>9.5096619965054945</v>
      </c>
      <c r="T442">
        <f t="shared" si="113"/>
        <v>0.93953542852861482</v>
      </c>
      <c r="U442">
        <f t="shared" si="114"/>
        <v>2156.0000000000005</v>
      </c>
      <c r="V442">
        <f t="shared" si="115"/>
        <v>0</v>
      </c>
      <c r="W442">
        <f t="shared" si="116"/>
        <v>0</v>
      </c>
      <c r="X442">
        <f t="shared" si="117"/>
        <v>0</v>
      </c>
      <c r="Y442">
        <f t="shared" si="118"/>
        <v>0</v>
      </c>
      <c r="Z442">
        <f t="shared" si="119"/>
        <v>-25.811862428038459</v>
      </c>
      <c r="AA442">
        <f t="shared" si="120"/>
        <v>264.28735943118824</v>
      </c>
      <c r="AB442">
        <f t="shared" si="121"/>
        <v>402.33866131900271</v>
      </c>
      <c r="AC442">
        <f t="shared" si="122"/>
        <v>313.12824870576048</v>
      </c>
      <c r="AD442">
        <f t="shared" si="123"/>
        <v>467.18207888995192</v>
      </c>
      <c r="AE442">
        <f t="shared" si="124"/>
        <v>514.99265516352352</v>
      </c>
      <c r="AF442">
        <f t="shared" si="125"/>
        <v>1000.0000000000001</v>
      </c>
      <c r="AG442">
        <f t="shared" si="126"/>
        <v>-1911.7987356726635</v>
      </c>
      <c r="AH442">
        <f t="shared" si="127"/>
        <v>4067.798735672664</v>
      </c>
      <c r="AI442" s="5">
        <f t="shared" si="110"/>
        <v>0.46382189239332083</v>
      </c>
      <c r="AJ442" s="5">
        <f t="shared" si="111"/>
        <v>0</v>
      </c>
      <c r="AK442" s="5">
        <f t="shared" si="112"/>
        <v>0.24583320488068267</v>
      </c>
    </row>
    <row r="443" spans="1:37" hidden="1" x14ac:dyDescent="0.3">
      <c r="A443">
        <v>5362428</v>
      </c>
      <c r="B443" t="s">
        <v>42</v>
      </c>
      <c r="C443">
        <v>13.08333333333333</v>
      </c>
      <c r="D443">
        <v>31014.094779545791</v>
      </c>
      <c r="I443">
        <v>3601.5233274586999</v>
      </c>
      <c r="J443">
        <v>3521.6905650541489</v>
      </c>
      <c r="K443">
        <v>1228.9740553191491</v>
      </c>
      <c r="L443">
        <v>1238.858482779051</v>
      </c>
      <c r="M443">
        <v>8361.6558613361558</v>
      </c>
      <c r="N443">
        <v>6120.5833993932238</v>
      </c>
      <c r="O443">
        <v>14385.01613151474</v>
      </c>
      <c r="P443" s="2">
        <v>44924.385416666657</v>
      </c>
      <c r="Q443" s="2">
        <v>44924.930555555547</v>
      </c>
      <c r="R443">
        <v>31555.83146991779</v>
      </c>
      <c r="S443">
        <v>8.0726655626539863</v>
      </c>
      <c r="T443">
        <f t="shared" si="113"/>
        <v>0.90951120344386138</v>
      </c>
      <c r="U443">
        <f t="shared" si="114"/>
        <v>2156.0000000000009</v>
      </c>
      <c r="V443">
        <f t="shared" si="115"/>
        <v>0</v>
      </c>
      <c r="W443">
        <f t="shared" si="116"/>
        <v>0</v>
      </c>
      <c r="X443">
        <f t="shared" si="117"/>
        <v>0</v>
      </c>
      <c r="Y443">
        <f t="shared" si="118"/>
        <v>0</v>
      </c>
      <c r="Z443">
        <f t="shared" si="119"/>
        <v>250.36630439144736</v>
      </c>
      <c r="AA443">
        <f t="shared" si="120"/>
        <v>244.81658782007327</v>
      </c>
      <c r="AB443">
        <f t="shared" si="121"/>
        <v>85.434318883154305</v>
      </c>
      <c r="AC443">
        <f t="shared" si="122"/>
        <v>86.121452451134601</v>
      </c>
      <c r="AD443">
        <f t="shared" si="123"/>
        <v>581.27538995367638</v>
      </c>
      <c r="AE443">
        <f t="shared" si="124"/>
        <v>425.48324891928553</v>
      </c>
      <c r="AF443">
        <f t="shared" si="125"/>
        <v>1000</v>
      </c>
      <c r="AG443">
        <f t="shared" si="126"/>
        <v>-37.659790258083831</v>
      </c>
      <c r="AH443">
        <f t="shared" si="127"/>
        <v>2193.6597902580847</v>
      </c>
      <c r="AI443" s="5">
        <f t="shared" si="110"/>
        <v>0.46382189239332078</v>
      </c>
      <c r="AJ443" s="5">
        <f t="shared" si="111"/>
        <v>0</v>
      </c>
      <c r="AK443" s="5">
        <f t="shared" si="112"/>
        <v>0.45585920134058239</v>
      </c>
    </row>
    <row r="444" spans="1:37" hidden="1" x14ac:dyDescent="0.3">
      <c r="A444">
        <v>5362961</v>
      </c>
      <c r="B444" t="s">
        <v>40</v>
      </c>
      <c r="C444">
        <v>17.083333333333329</v>
      </c>
      <c r="D444">
        <v>31618.28708856973</v>
      </c>
      <c r="I444">
        <v>3801.3693461430048</v>
      </c>
      <c r="J444">
        <v>3874.0639054098242</v>
      </c>
      <c r="K444">
        <v>0</v>
      </c>
      <c r="L444">
        <v>6.7088335672949029</v>
      </c>
      <c r="M444">
        <v>14833.867814513171</v>
      </c>
      <c r="N444">
        <v>8351.8320388497632</v>
      </c>
      <c r="O444">
        <v>20504.725738372061</v>
      </c>
      <c r="P444" s="2">
        <v>44926.513888888891</v>
      </c>
      <c r="Q444" s="2">
        <v>44927.225694444453</v>
      </c>
      <c r="R444">
        <v>30059.612941923791</v>
      </c>
      <c r="S444">
        <v>5.0041666030883789</v>
      </c>
      <c r="T444">
        <f t="shared" si="113"/>
        <v>0.83314127442163155</v>
      </c>
      <c r="U444">
        <f t="shared" si="114"/>
        <v>1542.0000000000007</v>
      </c>
      <c r="V444">
        <f t="shared" si="115"/>
        <v>0</v>
      </c>
      <c r="W444">
        <f t="shared" si="116"/>
        <v>0</v>
      </c>
      <c r="X444">
        <f t="shared" si="117"/>
        <v>0</v>
      </c>
      <c r="Y444">
        <f t="shared" si="118"/>
        <v>0</v>
      </c>
      <c r="Z444">
        <f t="shared" si="119"/>
        <v>185.38991423958487</v>
      </c>
      <c r="AA444">
        <f t="shared" si="120"/>
        <v>188.93517303476983</v>
      </c>
      <c r="AB444">
        <f t="shared" si="121"/>
        <v>0</v>
      </c>
      <c r="AC444">
        <f t="shared" si="122"/>
        <v>0.32718475013494819</v>
      </c>
      <c r="AD444">
        <f t="shared" si="123"/>
        <v>723.43653866842124</v>
      </c>
      <c r="AE444">
        <f t="shared" si="124"/>
        <v>407.31254567430483</v>
      </c>
      <c r="AF444">
        <f t="shared" si="125"/>
        <v>1000</v>
      </c>
      <c r="AG444">
        <f t="shared" si="126"/>
        <v>76.015361850418458</v>
      </c>
      <c r="AH444">
        <f t="shared" si="127"/>
        <v>1465.9846381495822</v>
      </c>
      <c r="AI444" s="5">
        <f t="shared" si="110"/>
        <v>0.64850843060959762</v>
      </c>
      <c r="AJ444" s="5">
        <f t="shared" si="111"/>
        <v>0</v>
      </c>
      <c r="AK444" s="5">
        <f t="shared" si="112"/>
        <v>0.68213538803669549</v>
      </c>
    </row>
    <row r="445" spans="1:37" x14ac:dyDescent="0.3">
      <c r="A445">
        <v>5362964</v>
      </c>
      <c r="B445" t="s">
        <v>42</v>
      </c>
      <c r="C445">
        <v>18.166666666666661</v>
      </c>
      <c r="D445">
        <v>33359.37626213672</v>
      </c>
      <c r="I445">
        <v>5686.9831493173924</v>
      </c>
      <c r="J445">
        <v>5738.6263848809776</v>
      </c>
      <c r="K445">
        <v>0</v>
      </c>
      <c r="L445">
        <v>208.40181753674611</v>
      </c>
      <c r="M445">
        <v>14924.26414354095</v>
      </c>
      <c r="N445">
        <v>9721.0169329783675</v>
      </c>
      <c r="O445">
        <v>15472.80902696508</v>
      </c>
      <c r="P445" s="2">
        <v>44927.291666666657</v>
      </c>
      <c r="Q445" s="2">
        <v>44928.458333333343</v>
      </c>
      <c r="R445">
        <v>49262.064354016293</v>
      </c>
      <c r="S445">
        <v>5.0043619126081467</v>
      </c>
      <c r="T445">
        <f t="shared" si="113"/>
        <v>1.1741026878187979</v>
      </c>
      <c r="U445">
        <f t="shared" si="114"/>
        <v>2156.0000000000005</v>
      </c>
      <c r="V445">
        <f t="shared" si="115"/>
        <v>0</v>
      </c>
      <c r="W445">
        <f t="shared" si="116"/>
        <v>0</v>
      </c>
      <c r="X445">
        <f t="shared" si="117"/>
        <v>0</v>
      </c>
      <c r="Y445">
        <f t="shared" si="118"/>
        <v>0</v>
      </c>
      <c r="Z445">
        <f t="shared" si="119"/>
        <v>367.54691015745493</v>
      </c>
      <c r="AA445">
        <f t="shared" si="120"/>
        <v>370.88458694733743</v>
      </c>
      <c r="AB445">
        <f t="shared" si="121"/>
        <v>0</v>
      </c>
      <c r="AC445">
        <f t="shared" si="122"/>
        <v>13.468906465112831</v>
      </c>
      <c r="AD445">
        <f t="shared" si="123"/>
        <v>964.54781530178786</v>
      </c>
      <c r="AE445">
        <f t="shared" si="124"/>
        <v>628.26451978029093</v>
      </c>
      <c r="AF445">
        <f t="shared" si="125"/>
        <v>1000</v>
      </c>
      <c r="AG445">
        <f t="shared" si="126"/>
        <v>-1027.7828714983375</v>
      </c>
      <c r="AH445">
        <f t="shared" si="127"/>
        <v>3183.782871498338</v>
      </c>
      <c r="AI445" s="5">
        <f t="shared" si="110"/>
        <v>0.46382189239332083</v>
      </c>
      <c r="AJ445" s="5">
        <f t="shared" si="111"/>
        <v>0</v>
      </c>
      <c r="AK445" s="5">
        <f t="shared" si="112"/>
        <v>0.31409177081519518</v>
      </c>
    </row>
    <row r="446" spans="1:37" x14ac:dyDescent="0.3">
      <c r="A446">
        <v>5363167</v>
      </c>
      <c r="B446" t="s">
        <v>40</v>
      </c>
      <c r="C446">
        <v>16</v>
      </c>
      <c r="D446">
        <v>34862.377896062193</v>
      </c>
      <c r="I446">
        <v>-23040.32603008482</v>
      </c>
      <c r="J446">
        <v>3758.878136048284</v>
      </c>
      <c r="K446">
        <v>3197.5583917222871</v>
      </c>
      <c r="L446">
        <v>3164.8137465813661</v>
      </c>
      <c r="M446">
        <v>0</v>
      </c>
      <c r="N446">
        <v>2893.8192868414599</v>
      </c>
      <c r="O446">
        <v>22608.545976694029</v>
      </c>
      <c r="P446" s="2">
        <v>44929.21875</v>
      </c>
      <c r="Q446" s="2">
        <v>44929.899305555547</v>
      </c>
      <c r="R446">
        <v>41360.95600625845</v>
      </c>
      <c r="S446">
        <v>7.190454263918399</v>
      </c>
      <c r="T446">
        <f t="shared" si="113"/>
        <v>0.70769699283154097</v>
      </c>
      <c r="U446">
        <f t="shared" si="114"/>
        <v>1542</v>
      </c>
      <c r="V446">
        <f t="shared" si="115"/>
        <v>0</v>
      </c>
      <c r="W446">
        <f t="shared" si="116"/>
        <v>0</v>
      </c>
      <c r="X446">
        <f t="shared" si="117"/>
        <v>0</v>
      </c>
      <c r="Y446">
        <f t="shared" si="118"/>
        <v>0</v>
      </c>
      <c r="Z446">
        <f t="shared" si="119"/>
        <v>-1019.0980903343315</v>
      </c>
      <c r="AA446">
        <f t="shared" si="120"/>
        <v>166.2591720813499</v>
      </c>
      <c r="AB446">
        <f t="shared" si="121"/>
        <v>141.43140363907008</v>
      </c>
      <c r="AC446">
        <f t="shared" si="122"/>
        <v>139.98307320797224</v>
      </c>
      <c r="AD446">
        <f t="shared" si="123"/>
        <v>0</v>
      </c>
      <c r="AE446">
        <f t="shared" si="124"/>
        <v>127.99670044347599</v>
      </c>
      <c r="AF446">
        <f t="shared" si="125"/>
        <v>1000</v>
      </c>
      <c r="AG446">
        <f t="shared" si="126"/>
        <v>-287.43901164167323</v>
      </c>
      <c r="AH446">
        <f t="shared" si="127"/>
        <v>1829.4390116416732</v>
      </c>
      <c r="AI446" s="5">
        <f t="shared" si="110"/>
        <v>0.64850843060959795</v>
      </c>
      <c r="AJ446" s="5">
        <f t="shared" si="111"/>
        <v>0</v>
      </c>
      <c r="AK446" s="5">
        <f t="shared" si="112"/>
        <v>0.54661565301520265</v>
      </c>
    </row>
    <row r="447" spans="1:37" x14ac:dyDescent="0.3">
      <c r="A447" t="s">
        <v>26</v>
      </c>
      <c r="B447" t="s">
        <v>38</v>
      </c>
      <c r="C447">
        <v>3.916666666666667</v>
      </c>
      <c r="D447">
        <v>9553.7278641506455</v>
      </c>
      <c r="I447">
        <v>1175.7947666511011</v>
      </c>
      <c r="J447">
        <v>1182.0197021658339</v>
      </c>
      <c r="K447">
        <v>0</v>
      </c>
      <c r="L447">
        <v>-6.4136817729973927</v>
      </c>
      <c r="M447">
        <v>3746.2440083361739</v>
      </c>
      <c r="N447">
        <v>1983.7987022333291</v>
      </c>
      <c r="O447">
        <v>4222.0735633380173</v>
      </c>
      <c r="P447" s="2">
        <v>44928.291666666657</v>
      </c>
      <c r="Q447" s="2">
        <v>44928.354166666657</v>
      </c>
      <c r="R447">
        <v>0</v>
      </c>
      <c r="S447">
        <v>5.0041666030883789</v>
      </c>
      <c r="T447">
        <f t="shared" si="113"/>
        <v>0.92766424078364651</v>
      </c>
      <c r="U447">
        <f t="shared" si="114"/>
        <v>2262.8046908300112</v>
      </c>
      <c r="V447">
        <f t="shared" si="115"/>
        <v>0</v>
      </c>
      <c r="W447">
        <f t="shared" si="116"/>
        <v>0</v>
      </c>
      <c r="X447">
        <f t="shared" si="117"/>
        <v>0</v>
      </c>
      <c r="Y447">
        <f t="shared" si="118"/>
        <v>0</v>
      </c>
      <c r="Z447">
        <f t="shared" si="119"/>
        <v>278.48751306964556</v>
      </c>
      <c r="AA447">
        <f t="shared" si="120"/>
        <v>279.96189181301622</v>
      </c>
      <c r="AB447">
        <f t="shared" si="121"/>
        <v>0</v>
      </c>
      <c r="AC447">
        <f t="shared" si="122"/>
        <v>-1.5190833785299245</v>
      </c>
      <c r="AD447">
        <f t="shared" si="123"/>
        <v>887.29955841279866</v>
      </c>
      <c r="AE447">
        <f t="shared" si="124"/>
        <v>469.86360433400796</v>
      </c>
      <c r="AF447">
        <f t="shared" si="125"/>
        <v>1000</v>
      </c>
      <c r="AG447">
        <f t="shared" si="126"/>
        <v>2262.8046908300112</v>
      </c>
      <c r="AH447">
        <f t="shared" si="127"/>
        <v>0</v>
      </c>
      <c r="AI447" s="5">
        <f t="shared" si="110"/>
        <v>0.44192943564793197</v>
      </c>
      <c r="AJ447" s="5">
        <f t="shared" si="111"/>
        <v>0</v>
      </c>
      <c r="AK447" s="5">
        <f t="shared" si="112"/>
        <v>0</v>
      </c>
    </row>
    <row r="448" spans="1:37" x14ac:dyDescent="0.3">
      <c r="A448">
        <v>5363631</v>
      </c>
      <c r="B448" t="s">
        <v>42</v>
      </c>
      <c r="C448">
        <v>16.083333333333339</v>
      </c>
      <c r="D448">
        <v>38642.225388876061</v>
      </c>
      <c r="I448">
        <v>4842.540401439891</v>
      </c>
      <c r="J448">
        <v>4826.0308211963111</v>
      </c>
      <c r="K448">
        <v>7205.074074232909</v>
      </c>
      <c r="L448">
        <v>7306.7249561828976</v>
      </c>
      <c r="M448">
        <v>0</v>
      </c>
      <c r="N448">
        <v>3165.9762570502971</v>
      </c>
      <c r="O448">
        <v>17923.110106157721</v>
      </c>
      <c r="P448" s="2">
        <v>44930.28125</v>
      </c>
      <c r="Q448" s="2">
        <v>44930.951388888891</v>
      </c>
      <c r="R448">
        <v>36940.655806983763</v>
      </c>
      <c r="S448">
        <v>9.8528117938199191</v>
      </c>
      <c r="T448">
        <f t="shared" si="113"/>
        <v>0.89735170057386959</v>
      </c>
      <c r="U448">
        <f t="shared" si="114"/>
        <v>2156.0000000000005</v>
      </c>
      <c r="V448">
        <f t="shared" si="115"/>
        <v>0</v>
      </c>
      <c r="W448">
        <f t="shared" si="116"/>
        <v>0</v>
      </c>
      <c r="X448">
        <f t="shared" si="117"/>
        <v>0</v>
      </c>
      <c r="Y448">
        <f t="shared" si="118"/>
        <v>0</v>
      </c>
      <c r="Z448">
        <f t="shared" si="119"/>
        <v>270.18415736765309</v>
      </c>
      <c r="AA448">
        <f t="shared" si="120"/>
        <v>269.26302369465805</v>
      </c>
      <c r="AB448">
        <f t="shared" si="121"/>
        <v>401.99909678385063</v>
      </c>
      <c r="AC448">
        <f t="shared" si="122"/>
        <v>407.67059471852355</v>
      </c>
      <c r="AD448">
        <f t="shared" si="123"/>
        <v>0</v>
      </c>
      <c r="AE448">
        <f t="shared" si="124"/>
        <v>176.64212507195302</v>
      </c>
      <c r="AF448">
        <f t="shared" si="125"/>
        <v>1000</v>
      </c>
      <c r="AG448">
        <f t="shared" si="126"/>
        <v>94.937182878081785</v>
      </c>
      <c r="AH448">
        <f t="shared" si="127"/>
        <v>2061.0628171219187</v>
      </c>
      <c r="AI448" s="5">
        <f t="shared" si="110"/>
        <v>0.46382189239332078</v>
      </c>
      <c r="AJ448" s="5">
        <f t="shared" si="111"/>
        <v>0</v>
      </c>
      <c r="AK448" s="5">
        <f t="shared" si="112"/>
        <v>0.48518657058517334</v>
      </c>
    </row>
    <row r="449" spans="1:37" x14ac:dyDescent="0.3">
      <c r="A449">
        <v>5362969</v>
      </c>
      <c r="B449" t="s">
        <v>38</v>
      </c>
      <c r="C449">
        <v>12.08333333333333</v>
      </c>
      <c r="D449">
        <v>27260.405871604009</v>
      </c>
      <c r="I449">
        <v>3193.6254782888868</v>
      </c>
      <c r="J449">
        <v>3230.8915963878549</v>
      </c>
      <c r="K449">
        <v>248.86535019476179</v>
      </c>
      <c r="L449">
        <v>205.59986636833119</v>
      </c>
      <c r="M449">
        <v>12276.692293096299</v>
      </c>
      <c r="N449">
        <v>6156.8543640883217</v>
      </c>
      <c r="O449">
        <v>12051.46148169938</v>
      </c>
      <c r="P449" s="2">
        <v>44931.673611111109</v>
      </c>
      <c r="Q449" s="2">
        <v>44932.177083333343</v>
      </c>
      <c r="R449">
        <v>26030.820757700039</v>
      </c>
      <c r="S449">
        <v>11.738375879666251</v>
      </c>
      <c r="T449">
        <f t="shared" si="113"/>
        <v>1.0026446461852241</v>
      </c>
      <c r="U449">
        <f t="shared" si="114"/>
        <v>2262.0000000000009</v>
      </c>
      <c r="V449">
        <f t="shared" si="115"/>
        <v>0</v>
      </c>
      <c r="W449">
        <f t="shared" si="116"/>
        <v>0</v>
      </c>
      <c r="X449">
        <f t="shared" si="117"/>
        <v>0</v>
      </c>
      <c r="Y449">
        <f t="shared" si="118"/>
        <v>0</v>
      </c>
      <c r="Z449">
        <f t="shared" si="119"/>
        <v>264.99901967396511</v>
      </c>
      <c r="AA449">
        <f t="shared" si="120"/>
        <v>268.09126853984401</v>
      </c>
      <c r="AB449">
        <f t="shared" si="121"/>
        <v>20.650221599485974</v>
      </c>
      <c r="AC449">
        <f t="shared" si="122"/>
        <v>17.060160436187985</v>
      </c>
      <c r="AD449">
        <f t="shared" si="123"/>
        <v>1018.6890869409441</v>
      </c>
      <c r="AE449">
        <f t="shared" si="124"/>
        <v>510.8803088685757</v>
      </c>
      <c r="AF449">
        <f t="shared" si="125"/>
        <v>999.99999999999989</v>
      </c>
      <c r="AG449">
        <f t="shared" si="126"/>
        <v>102.02788398495431</v>
      </c>
      <c r="AH449">
        <f t="shared" si="127"/>
        <v>2159.9721160150466</v>
      </c>
      <c r="AI449" s="5">
        <f t="shared" si="110"/>
        <v>0.44208664898320049</v>
      </c>
      <c r="AJ449" s="5">
        <f t="shared" si="111"/>
        <v>0</v>
      </c>
      <c r="AK449" s="5">
        <f t="shared" si="112"/>
        <v>0.46296893954580748</v>
      </c>
    </row>
    <row r="450" spans="1:37" x14ac:dyDescent="0.3">
      <c r="A450">
        <v>5363371</v>
      </c>
      <c r="B450" t="s">
        <v>39</v>
      </c>
      <c r="C450">
        <v>8.0833333333333339</v>
      </c>
      <c r="D450">
        <v>18128.2985111491</v>
      </c>
      <c r="I450">
        <v>1931.972125967171</v>
      </c>
      <c r="J450">
        <v>1946.5791569488731</v>
      </c>
      <c r="K450">
        <v>1600.2633981056319</v>
      </c>
      <c r="L450">
        <v>1635.7253829008509</v>
      </c>
      <c r="M450">
        <v>3957.335048134943</v>
      </c>
      <c r="N450">
        <v>2990.9791892708781</v>
      </c>
      <c r="O450">
        <v>8014.2787405610507</v>
      </c>
      <c r="P450" s="2">
        <v>44931.340277777781</v>
      </c>
      <c r="Q450" s="2">
        <v>44931.677083333343</v>
      </c>
      <c r="R450">
        <v>17279.096222136919</v>
      </c>
      <c r="S450">
        <v>13.02209913132009</v>
      </c>
      <c r="T450">
        <f t="shared" si="113"/>
        <v>1.0086164450985204</v>
      </c>
      <c r="U450">
        <f t="shared" si="114"/>
        <v>2262.0000000000005</v>
      </c>
      <c r="V450">
        <f t="shared" si="115"/>
        <v>0</v>
      </c>
      <c r="W450">
        <f t="shared" si="116"/>
        <v>0</v>
      </c>
      <c r="X450">
        <f t="shared" si="117"/>
        <v>0</v>
      </c>
      <c r="Y450">
        <f t="shared" si="118"/>
        <v>0</v>
      </c>
      <c r="Z450">
        <f t="shared" si="119"/>
        <v>241.06625043988933</v>
      </c>
      <c r="AA450">
        <f t="shared" si="120"/>
        <v>242.88887621253363</v>
      </c>
      <c r="AB450">
        <f t="shared" si="121"/>
        <v>199.67653358580381</v>
      </c>
      <c r="AC450">
        <f t="shared" si="122"/>
        <v>204.101384023778</v>
      </c>
      <c r="AD450">
        <f t="shared" si="123"/>
        <v>493.78555154395644</v>
      </c>
      <c r="AE450">
        <f t="shared" si="124"/>
        <v>373.2062841953873</v>
      </c>
      <c r="AF450">
        <f t="shared" si="125"/>
        <v>1000</v>
      </c>
      <c r="AG450">
        <f t="shared" si="126"/>
        <v>105.96116213356618</v>
      </c>
      <c r="AH450">
        <f t="shared" si="127"/>
        <v>2156.0388378664343</v>
      </c>
      <c r="AI450" s="5">
        <f t="shared" si="110"/>
        <v>0.4420866489832006</v>
      </c>
      <c r="AJ450" s="5">
        <f t="shared" si="111"/>
        <v>0</v>
      </c>
      <c r="AK450" s="5">
        <f t="shared" si="112"/>
        <v>0.46381353732457647</v>
      </c>
    </row>
    <row r="451" spans="1:37" x14ac:dyDescent="0.3">
      <c r="A451">
        <v>5363536</v>
      </c>
      <c r="B451" t="s">
        <v>42</v>
      </c>
      <c r="C451">
        <v>18.5</v>
      </c>
      <c r="D451">
        <v>38719.153168617508</v>
      </c>
      <c r="I451">
        <v>4179.0721213286379</v>
      </c>
      <c r="J451">
        <v>4050.508391234152</v>
      </c>
      <c r="K451">
        <v>0</v>
      </c>
      <c r="L451">
        <v>-19200.355067369881</v>
      </c>
      <c r="M451">
        <v>14005.48475176869</v>
      </c>
      <c r="N451">
        <v>12152.745281719081</v>
      </c>
      <c r="O451">
        <v>17958.790894535021</v>
      </c>
      <c r="P451" s="2">
        <v>44932.527777777781</v>
      </c>
      <c r="Q451" s="2">
        <v>44933.295138888891</v>
      </c>
      <c r="R451">
        <v>44772.574435343573</v>
      </c>
      <c r="S451">
        <v>9.365521981415764</v>
      </c>
      <c r="T451">
        <f t="shared" si="113"/>
        <v>1.0301361661062423</v>
      </c>
      <c r="U451">
        <f t="shared" si="114"/>
        <v>2156.0000000000005</v>
      </c>
      <c r="V451">
        <f t="shared" si="115"/>
        <v>0</v>
      </c>
      <c r="W451">
        <f t="shared" si="116"/>
        <v>0</v>
      </c>
      <c r="X451">
        <f t="shared" si="117"/>
        <v>0</v>
      </c>
      <c r="Y451">
        <f t="shared" si="118"/>
        <v>0</v>
      </c>
      <c r="Z451">
        <f t="shared" si="119"/>
        <v>232.70342340253859</v>
      </c>
      <c r="AA451">
        <f t="shared" si="120"/>
        <v>225.54460459065473</v>
      </c>
      <c r="AB451">
        <f t="shared" si="121"/>
        <v>0</v>
      </c>
      <c r="AC451">
        <f t="shared" si="122"/>
        <v>-1069.1340625394039</v>
      </c>
      <c r="AD451">
        <f t="shared" si="123"/>
        <v>779.86791171061805</v>
      </c>
      <c r="AE451">
        <f t="shared" si="124"/>
        <v>676.70175309058482</v>
      </c>
      <c r="AF451">
        <f t="shared" si="125"/>
        <v>1000</v>
      </c>
      <c r="AG451">
        <f t="shared" si="126"/>
        <v>-337.07287435303624</v>
      </c>
      <c r="AH451">
        <f t="shared" si="127"/>
        <v>2493.0728743530367</v>
      </c>
      <c r="AI451" s="5">
        <f t="shared" ref="AI451:AI519" si="128">IFERROR(O451/D451,0)</f>
        <v>0.46382189239332094</v>
      </c>
      <c r="AJ451" s="5">
        <f t="shared" ref="AJ451:AJ519" si="129">IFERROR(O451/(E451+H451),0)</f>
        <v>0</v>
      </c>
      <c r="AK451" s="5">
        <f t="shared" ref="AK451:AK514" si="130">IFERROR(O451/R451,0)</f>
        <v>0.40111141968102487</v>
      </c>
    </row>
    <row r="452" spans="1:37" x14ac:dyDescent="0.3">
      <c r="A452" t="s">
        <v>27</v>
      </c>
      <c r="B452" t="s">
        <v>38</v>
      </c>
      <c r="C452">
        <v>0.33333333333333331</v>
      </c>
      <c r="D452">
        <v>864.70757248228813</v>
      </c>
      <c r="I452">
        <v>117.8001332167327</v>
      </c>
      <c r="J452">
        <v>107.71129653127031</v>
      </c>
      <c r="K452">
        <v>446.91304421317778</v>
      </c>
      <c r="L452">
        <v>401.37622324187561</v>
      </c>
      <c r="M452">
        <v>0</v>
      </c>
      <c r="N452">
        <v>332.45979066822872</v>
      </c>
      <c r="O452">
        <v>382.27567306909287</v>
      </c>
      <c r="P452" s="2">
        <v>44935.614583333343</v>
      </c>
      <c r="Q452" s="2">
        <v>44935.628472222219</v>
      </c>
      <c r="R452">
        <v>822.32502070255669</v>
      </c>
      <c r="S452">
        <v>13.79148236840172</v>
      </c>
      <c r="T452">
        <f t="shared" ref="T452:T515" si="131">1000*C452/$O452</f>
        <v>0.87197108478594276</v>
      </c>
      <c r="U452">
        <f t="shared" ref="U452:U515" si="132">1000*D452/$O452</f>
        <v>2262</v>
      </c>
      <c r="V452">
        <f t="shared" ref="V452:V515" si="133">1000*E452/$O452</f>
        <v>0</v>
      </c>
      <c r="W452">
        <f t="shared" ref="W452:W515" si="134">1000*F452/$O452</f>
        <v>0</v>
      </c>
      <c r="X452">
        <f t="shared" ref="X452:X515" si="135">1000*G452/$O452</f>
        <v>0</v>
      </c>
      <c r="Y452">
        <f t="shared" ref="Y452:Y515" si="136">1000*H452/$O452</f>
        <v>0</v>
      </c>
      <c r="Z452">
        <f t="shared" ref="Z452:Z515" si="137">1000*I452/$O452</f>
        <v>308.15492984676899</v>
      </c>
      <c r="AA452">
        <f t="shared" ref="AA452:AA515" si="138">1000*J452/$O452</f>
        <v>281.76340824021639</v>
      </c>
      <c r="AB452">
        <f t="shared" ref="AB452:AB515" si="139">1000*K452/$O452</f>
        <v>1169.0857559026581</v>
      </c>
      <c r="AC452">
        <f t="shared" ref="AC452:AC515" si="140">1000*L452/$O452</f>
        <v>1049.965382362509</v>
      </c>
      <c r="AD452">
        <f t="shared" ref="AD452:AD515" si="141">1000*M452/$O452</f>
        <v>0</v>
      </c>
      <c r="AE452">
        <f t="shared" ref="AE452:AE515" si="142">1000*N452/$O452</f>
        <v>869.68597295004849</v>
      </c>
      <c r="AF452">
        <f t="shared" ref="AF452:AF515" si="143">1000*O452/$O452</f>
        <v>999.99999999999989</v>
      </c>
      <c r="AG452">
        <f t="shared" ref="AG452:AG515" si="144">U452-AH452</f>
        <v>110.8690789541065</v>
      </c>
      <c r="AH452">
        <f t="shared" ref="AH452:AH515" si="145">1000*R452/O452</f>
        <v>2151.1309210458935</v>
      </c>
      <c r="AI452" s="5">
        <f t="shared" si="128"/>
        <v>0.44208664898320066</v>
      </c>
      <c r="AJ452" s="5">
        <f t="shared" si="129"/>
        <v>0</v>
      </c>
      <c r="AK452" s="5">
        <f t="shared" si="130"/>
        <v>0.46487175197769626</v>
      </c>
    </row>
    <row r="453" spans="1:37" x14ac:dyDescent="0.3">
      <c r="A453">
        <v>5363846</v>
      </c>
      <c r="B453" t="s">
        <v>43</v>
      </c>
      <c r="C453">
        <v>3.166666666666667</v>
      </c>
      <c r="D453">
        <v>3827.264057521576</v>
      </c>
      <c r="I453">
        <v>3173.0307930298309</v>
      </c>
      <c r="J453">
        <v>3066.558164700411</v>
      </c>
      <c r="K453">
        <v>3210.7299507915109</v>
      </c>
      <c r="L453">
        <v>3480.2091481650841</v>
      </c>
      <c r="M453">
        <v>0</v>
      </c>
      <c r="N453">
        <v>812.29811230159351</v>
      </c>
      <c r="O453">
        <v>1651.8187559437099</v>
      </c>
      <c r="P453" s="2">
        <v>44935.631944444453</v>
      </c>
      <c r="Q453" s="2">
        <v>44935.763888888891</v>
      </c>
      <c r="R453">
        <v>5525.6909565599008</v>
      </c>
      <c r="S453">
        <v>13.42264546317737</v>
      </c>
      <c r="T453">
        <f t="shared" si="131"/>
        <v>1.9170787686434161</v>
      </c>
      <c r="U453">
        <f t="shared" si="132"/>
        <v>2317</v>
      </c>
      <c r="V453">
        <f t="shared" si="133"/>
        <v>0</v>
      </c>
      <c r="W453">
        <f t="shared" si="134"/>
        <v>0</v>
      </c>
      <c r="X453">
        <f t="shared" si="135"/>
        <v>0</v>
      </c>
      <c r="Y453">
        <f t="shared" si="136"/>
        <v>0</v>
      </c>
      <c r="Z453">
        <f t="shared" si="137"/>
        <v>1920.9315680745062</v>
      </c>
      <c r="AA453">
        <f t="shared" si="138"/>
        <v>1856.4737527444033</v>
      </c>
      <c r="AB453">
        <f t="shared" si="139"/>
        <v>1943.7543854241869</v>
      </c>
      <c r="AC453">
        <f t="shared" si="140"/>
        <v>2106.8952847534329</v>
      </c>
      <c r="AD453">
        <f t="shared" si="141"/>
        <v>0</v>
      </c>
      <c r="AE453">
        <f t="shared" si="142"/>
        <v>491.75983102184534</v>
      </c>
      <c r="AF453">
        <f t="shared" si="143"/>
        <v>1000</v>
      </c>
      <c r="AG453">
        <f t="shared" si="144"/>
        <v>-1028.21625733871</v>
      </c>
      <c r="AH453">
        <f t="shared" si="145"/>
        <v>3345.21625733871</v>
      </c>
      <c r="AI453" s="5">
        <f t="shared" si="128"/>
        <v>0.43159257660768235</v>
      </c>
      <c r="AJ453" s="5">
        <f t="shared" si="129"/>
        <v>0</v>
      </c>
      <c r="AK453" s="5">
        <f t="shared" si="130"/>
        <v>0.29893433580152184</v>
      </c>
    </row>
    <row r="454" spans="1:37" x14ac:dyDescent="0.3">
      <c r="A454" t="s">
        <v>28</v>
      </c>
      <c r="B454" t="s">
        <v>34</v>
      </c>
      <c r="C454">
        <v>6.25</v>
      </c>
      <c r="D454">
        <v>11580.820865753871</v>
      </c>
      <c r="I454">
        <v>4302.4935553824052</v>
      </c>
      <c r="J454">
        <v>4346.7673429388542</v>
      </c>
      <c r="K454">
        <v>7429.0408486976448</v>
      </c>
      <c r="L454">
        <v>7321.7111951390734</v>
      </c>
      <c r="M454">
        <v>0</v>
      </c>
      <c r="N454">
        <v>4287.8734351709199</v>
      </c>
      <c r="O454">
        <v>4998.1963166827218</v>
      </c>
      <c r="P454" s="2">
        <v>44935.291666666657</v>
      </c>
      <c r="Q454" s="2">
        <v>44935.552083333343</v>
      </c>
      <c r="R454">
        <v>13268.44206446842</v>
      </c>
      <c r="S454">
        <v>12.51315261378433</v>
      </c>
      <c r="T454">
        <f t="shared" si="131"/>
        <v>1.2504510835516949</v>
      </c>
      <c r="U454">
        <f t="shared" si="132"/>
        <v>2317.0000000000009</v>
      </c>
      <c r="V454">
        <f t="shared" si="133"/>
        <v>0</v>
      </c>
      <c r="W454">
        <f t="shared" si="134"/>
        <v>0</v>
      </c>
      <c r="X454">
        <f t="shared" si="135"/>
        <v>0</v>
      </c>
      <c r="Y454">
        <f t="shared" si="136"/>
        <v>0</v>
      </c>
      <c r="Z454">
        <f t="shared" si="137"/>
        <v>860.80923652833815</v>
      </c>
      <c r="AA454">
        <f t="shared" si="138"/>
        <v>869.66718942800196</v>
      </c>
      <c r="AB454">
        <f t="shared" si="139"/>
        <v>1486.3443486406036</v>
      </c>
      <c r="AC454">
        <f t="shared" si="140"/>
        <v>1464.8706715862768</v>
      </c>
      <c r="AD454">
        <f t="shared" si="141"/>
        <v>0</v>
      </c>
      <c r="AE454">
        <f t="shared" si="142"/>
        <v>857.88415730272072</v>
      </c>
      <c r="AF454">
        <f t="shared" si="143"/>
        <v>1000</v>
      </c>
      <c r="AG454">
        <f t="shared" si="144"/>
        <v>-337.64604104918681</v>
      </c>
      <c r="AH454">
        <f t="shared" si="145"/>
        <v>2654.6460410491877</v>
      </c>
      <c r="AI454" s="5">
        <f t="shared" si="128"/>
        <v>0.43159257660768219</v>
      </c>
      <c r="AJ454" s="5">
        <f t="shared" si="129"/>
        <v>0</v>
      </c>
      <c r="AK454" s="5">
        <f t="shared" si="130"/>
        <v>0.3766980548581057</v>
      </c>
    </row>
    <row r="455" spans="1:37" x14ac:dyDescent="0.3">
      <c r="A455">
        <v>5365846</v>
      </c>
      <c r="B455" t="s">
        <v>48</v>
      </c>
      <c r="C455">
        <v>89.666666666666657</v>
      </c>
      <c r="D455">
        <v>0</v>
      </c>
      <c r="E455">
        <v>164869.22416666671</v>
      </c>
      <c r="F455">
        <v>40545.690485000006</v>
      </c>
      <c r="G455">
        <v>124323.5336816667</v>
      </c>
      <c r="I455">
        <v>0</v>
      </c>
      <c r="J455">
        <v>46877.77728946117</v>
      </c>
      <c r="K455">
        <v>104411.9260428415</v>
      </c>
      <c r="L455">
        <v>0</v>
      </c>
      <c r="M455">
        <v>0</v>
      </c>
      <c r="N455">
        <v>93795.922433709318</v>
      </c>
      <c r="O455">
        <v>72565.679650821636</v>
      </c>
      <c r="P455" s="2">
        <v>44986.291666666657</v>
      </c>
      <c r="Q455" s="2">
        <v>44991.076388888891</v>
      </c>
      <c r="R455">
        <v>0</v>
      </c>
      <c r="S455">
        <v>5.0042499351501464</v>
      </c>
      <c r="T455">
        <f t="shared" si="131"/>
        <v>1.2356621904202256</v>
      </c>
      <c r="U455">
        <f t="shared" si="132"/>
        <v>0</v>
      </c>
      <c r="V455">
        <f t="shared" si="133"/>
        <v>2271.9999999999995</v>
      </c>
      <c r="W455">
        <f t="shared" si="134"/>
        <v>558.74472174865002</v>
      </c>
      <c r="X455">
        <f t="shared" si="135"/>
        <v>1713.2552782513494</v>
      </c>
      <c r="Y455">
        <f t="shared" si="136"/>
        <v>0</v>
      </c>
      <c r="Z455">
        <f t="shared" si="137"/>
        <v>0</v>
      </c>
      <c r="AA455">
        <f t="shared" si="138"/>
        <v>646.00479889435439</v>
      </c>
      <c r="AB455">
        <f t="shared" si="139"/>
        <v>1438.8609952426632</v>
      </c>
      <c r="AC455">
        <f t="shared" si="140"/>
        <v>0</v>
      </c>
      <c r="AD455">
        <f t="shared" si="141"/>
        <v>0</v>
      </c>
      <c r="AE455">
        <f t="shared" si="142"/>
        <v>1292.5658918244185</v>
      </c>
      <c r="AF455">
        <f t="shared" si="143"/>
        <v>1000.0000000000001</v>
      </c>
      <c r="AG455">
        <f t="shared" si="144"/>
        <v>0</v>
      </c>
      <c r="AH455">
        <f t="shared" si="145"/>
        <v>0</v>
      </c>
      <c r="AI455" s="5">
        <f t="shared" si="128"/>
        <v>0</v>
      </c>
      <c r="AJ455" s="5">
        <f t="shared" si="129"/>
        <v>0.44014084507042267</v>
      </c>
      <c r="AK455" s="5">
        <f t="shared" si="130"/>
        <v>0</v>
      </c>
    </row>
    <row r="456" spans="1:37" x14ac:dyDescent="0.3">
      <c r="A456">
        <v>5367586</v>
      </c>
      <c r="B456" t="s">
        <v>32</v>
      </c>
      <c r="C456">
        <v>72.666666666666671</v>
      </c>
      <c r="D456">
        <v>133412.4802255579</v>
      </c>
      <c r="I456">
        <v>-36385.569752966752</v>
      </c>
      <c r="J456">
        <v>19206.19240839026</v>
      </c>
      <c r="K456">
        <v>5657.2504900916292</v>
      </c>
      <c r="L456">
        <v>-22465.44016114304</v>
      </c>
      <c r="M456">
        <v>33763.544686585323</v>
      </c>
      <c r="N456">
        <v>18437.33756058817</v>
      </c>
      <c r="O456">
        <v>61879.629047104791</v>
      </c>
      <c r="P456" s="2">
        <v>44992.864583333343</v>
      </c>
      <c r="Q456" s="2">
        <v>45005.829861111109</v>
      </c>
      <c r="R456">
        <v>725463.9079612369</v>
      </c>
      <c r="S456">
        <v>7.6441895268741993</v>
      </c>
      <c r="T456">
        <f t="shared" si="131"/>
        <v>1.1743229199281469</v>
      </c>
      <c r="U456">
        <f t="shared" si="132"/>
        <v>2155.9999999999995</v>
      </c>
      <c r="V456">
        <f t="shared" si="133"/>
        <v>0</v>
      </c>
      <c r="W456">
        <f t="shared" si="134"/>
        <v>0</v>
      </c>
      <c r="X456">
        <f t="shared" si="135"/>
        <v>0</v>
      </c>
      <c r="Y456">
        <f t="shared" si="136"/>
        <v>0</v>
      </c>
      <c r="Z456">
        <f t="shared" si="137"/>
        <v>-588.0056217736676</v>
      </c>
      <c r="AA456">
        <f t="shared" si="138"/>
        <v>310.37988921636685</v>
      </c>
      <c r="AB456">
        <f t="shared" si="139"/>
        <v>91.423471297559743</v>
      </c>
      <c r="AC456">
        <f t="shared" si="140"/>
        <v>-363.05065991978745</v>
      </c>
      <c r="AD456">
        <f t="shared" si="141"/>
        <v>545.63262913039466</v>
      </c>
      <c r="AE456">
        <f t="shared" si="142"/>
        <v>297.95488183280912</v>
      </c>
      <c r="AF456">
        <f t="shared" si="143"/>
        <v>1000</v>
      </c>
      <c r="AG456">
        <f t="shared" si="144"/>
        <v>-9567.7921288925336</v>
      </c>
      <c r="AH456">
        <f t="shared" si="145"/>
        <v>11723.792128892534</v>
      </c>
      <c r="AI456" s="5">
        <f t="shared" si="128"/>
        <v>0.46382189239332106</v>
      </c>
      <c r="AJ456" s="5">
        <f t="shared" si="129"/>
        <v>0</v>
      </c>
      <c r="AK456" s="5">
        <f t="shared" si="130"/>
        <v>8.5296633461758864E-2</v>
      </c>
    </row>
    <row r="457" spans="1:37" x14ac:dyDescent="0.3">
      <c r="A457">
        <v>5367591</v>
      </c>
      <c r="B457" t="s">
        <v>43</v>
      </c>
      <c r="C457">
        <v>6.75</v>
      </c>
      <c r="D457">
        <v>11934.63461561067</v>
      </c>
      <c r="I457">
        <v>1546.051736600127</v>
      </c>
      <c r="J457">
        <v>1515.895303206953</v>
      </c>
      <c r="K457">
        <v>3927.058957111672</v>
      </c>
      <c r="L457">
        <v>3904.5720480898331</v>
      </c>
      <c r="M457">
        <v>0</v>
      </c>
      <c r="N457">
        <v>1624.1630360125371</v>
      </c>
      <c r="O457">
        <v>5150.8997046226468</v>
      </c>
      <c r="P457" s="2">
        <v>44994.819444444453</v>
      </c>
      <c r="Q457" s="2">
        <v>44995.100694444453</v>
      </c>
      <c r="R457">
        <v>12167.76396240832</v>
      </c>
      <c r="S457">
        <v>6.9608036761705714</v>
      </c>
      <c r="T457">
        <f t="shared" si="131"/>
        <v>1.3104506760134058</v>
      </c>
      <c r="U457">
        <f t="shared" si="132"/>
        <v>2316.9999999999995</v>
      </c>
      <c r="V457">
        <f t="shared" si="133"/>
        <v>0</v>
      </c>
      <c r="W457">
        <f t="shared" si="134"/>
        <v>0</v>
      </c>
      <c r="X457">
        <f t="shared" si="135"/>
        <v>0</v>
      </c>
      <c r="Y457">
        <f t="shared" si="136"/>
        <v>0</v>
      </c>
      <c r="Z457">
        <f t="shared" si="137"/>
        <v>300.15178420434614</v>
      </c>
      <c r="AA457">
        <f t="shared" si="138"/>
        <v>294.29718886712567</v>
      </c>
      <c r="AB457">
        <f t="shared" si="139"/>
        <v>762.40252816170243</v>
      </c>
      <c r="AC457">
        <f t="shared" si="140"/>
        <v>758.036900735166</v>
      </c>
      <c r="AD457">
        <f t="shared" si="141"/>
        <v>0</v>
      </c>
      <c r="AE457">
        <f t="shared" si="142"/>
        <v>315.31637755535036</v>
      </c>
      <c r="AF457">
        <f t="shared" si="143"/>
        <v>1000</v>
      </c>
      <c r="AG457">
        <f t="shared" si="144"/>
        <v>-45.259927423636327</v>
      </c>
      <c r="AH457">
        <f t="shared" si="145"/>
        <v>2362.2599274236359</v>
      </c>
      <c r="AI457" s="5">
        <f t="shared" si="128"/>
        <v>0.43159257660768247</v>
      </c>
      <c r="AJ457" s="5">
        <f t="shared" si="129"/>
        <v>0</v>
      </c>
      <c r="AK457" s="5">
        <f t="shared" si="130"/>
        <v>0.4233234405710109</v>
      </c>
    </row>
    <row r="458" spans="1:37" x14ac:dyDescent="0.3">
      <c r="A458">
        <v>5367594</v>
      </c>
      <c r="B458" t="s">
        <v>34</v>
      </c>
      <c r="C458">
        <v>62.416666666666671</v>
      </c>
      <c r="D458">
        <v>99873.533578501854</v>
      </c>
      <c r="I458">
        <v>12699.39163984152</v>
      </c>
      <c r="J458">
        <v>12741.504080125909</v>
      </c>
      <c r="K458">
        <v>20091.144860413569</v>
      </c>
      <c r="L458">
        <v>20072.560140456451</v>
      </c>
      <c r="M458">
        <v>0</v>
      </c>
      <c r="N458">
        <v>11194.9578536183</v>
      </c>
      <c r="O458">
        <v>43104.675692059493</v>
      </c>
      <c r="P458" s="2">
        <v>44995.100694444453</v>
      </c>
      <c r="Q458" s="2">
        <v>44998.201388888891</v>
      </c>
      <c r="R458">
        <v>134230.69507796669</v>
      </c>
      <c r="S458">
        <v>7.2857228857644021</v>
      </c>
      <c r="T458">
        <f t="shared" si="131"/>
        <v>1.4480254326136766</v>
      </c>
      <c r="U458">
        <f t="shared" si="132"/>
        <v>2317</v>
      </c>
      <c r="V458">
        <f t="shared" si="133"/>
        <v>0</v>
      </c>
      <c r="W458">
        <f t="shared" si="134"/>
        <v>0</v>
      </c>
      <c r="X458">
        <f t="shared" si="135"/>
        <v>0</v>
      </c>
      <c r="Y458">
        <f t="shared" si="136"/>
        <v>0</v>
      </c>
      <c r="Z458">
        <f t="shared" si="137"/>
        <v>294.61749650005913</v>
      </c>
      <c r="AA458">
        <f t="shared" si="138"/>
        <v>295.59447729409732</v>
      </c>
      <c r="AB458">
        <f t="shared" si="139"/>
        <v>466.10128803531751</v>
      </c>
      <c r="AC458">
        <f t="shared" si="140"/>
        <v>465.67013480985565</v>
      </c>
      <c r="AD458">
        <f t="shared" si="141"/>
        <v>0</v>
      </c>
      <c r="AE458">
        <f t="shared" si="142"/>
        <v>259.71562652727658</v>
      </c>
      <c r="AF458">
        <f t="shared" si="143"/>
        <v>1000</v>
      </c>
      <c r="AG458">
        <f t="shared" si="144"/>
        <v>-797.06344956433441</v>
      </c>
      <c r="AH458">
        <f t="shared" si="145"/>
        <v>3114.0634495643344</v>
      </c>
      <c r="AI458" s="5">
        <f t="shared" si="128"/>
        <v>0.4315925766076823</v>
      </c>
      <c r="AJ458" s="5">
        <f t="shared" si="129"/>
        <v>0</v>
      </c>
      <c r="AK458" s="5">
        <f t="shared" si="130"/>
        <v>0.32112383584859283</v>
      </c>
    </row>
    <row r="459" spans="1:37" x14ac:dyDescent="0.3">
      <c r="A459">
        <v>5368007</v>
      </c>
      <c r="B459" t="s">
        <v>42</v>
      </c>
      <c r="C459">
        <v>115</v>
      </c>
      <c r="D459">
        <v>237167.64027830589</v>
      </c>
      <c r="I459">
        <v>6631.2611634661171</v>
      </c>
      <c r="J459">
        <v>33571.470567025972</v>
      </c>
      <c r="K459">
        <v>3830.5797870282659</v>
      </c>
      <c r="L459">
        <v>3911.233676458914</v>
      </c>
      <c r="M459">
        <v>81394.774747881282</v>
      </c>
      <c r="N459">
        <v>45509.354005218069</v>
      </c>
      <c r="O459">
        <v>110003.54372834229</v>
      </c>
      <c r="P459" s="2">
        <v>44998.340277777781</v>
      </c>
      <c r="Q459" s="2">
        <v>45008.659722222219</v>
      </c>
      <c r="R459">
        <v>644886.35025377944</v>
      </c>
      <c r="S459">
        <v>7.8305767079743749</v>
      </c>
      <c r="T459">
        <f t="shared" si="131"/>
        <v>1.0454208664767803</v>
      </c>
      <c r="U459">
        <f t="shared" si="132"/>
        <v>2155.9999999999991</v>
      </c>
      <c r="V459">
        <f t="shared" si="133"/>
        <v>0</v>
      </c>
      <c r="W459">
        <f t="shared" si="134"/>
        <v>0</v>
      </c>
      <c r="X459">
        <f t="shared" si="135"/>
        <v>0</v>
      </c>
      <c r="Y459">
        <f t="shared" si="136"/>
        <v>0</v>
      </c>
      <c r="Z459">
        <f t="shared" si="137"/>
        <v>60.282250359518009</v>
      </c>
      <c r="AA459">
        <f t="shared" si="138"/>
        <v>305.1853552093915</v>
      </c>
      <c r="AB459">
        <f t="shared" si="139"/>
        <v>34.822330783161135</v>
      </c>
      <c r="AC459">
        <f t="shared" si="140"/>
        <v>35.555524339450791</v>
      </c>
      <c r="AD459">
        <f t="shared" si="141"/>
        <v>739.92866037923829</v>
      </c>
      <c r="AE459">
        <f t="shared" si="142"/>
        <v>413.70807214724874</v>
      </c>
      <c r="AF459">
        <f t="shared" si="143"/>
        <v>1000</v>
      </c>
      <c r="AG459">
        <f t="shared" si="144"/>
        <v>-3706.4143222726489</v>
      </c>
      <c r="AH459">
        <f t="shared" si="145"/>
        <v>5862.414322272648</v>
      </c>
      <c r="AI459" s="5">
        <f t="shared" si="128"/>
        <v>0.46382189239332117</v>
      </c>
      <c r="AJ459" s="5">
        <f t="shared" si="129"/>
        <v>0</v>
      </c>
      <c r="AK459" s="5">
        <f t="shared" si="130"/>
        <v>0.17057818588508356</v>
      </c>
    </row>
    <row r="460" spans="1:37" x14ac:dyDescent="0.3">
      <c r="A460" t="s">
        <v>29</v>
      </c>
      <c r="B460" t="s">
        <v>38</v>
      </c>
      <c r="C460">
        <v>1.083333333333333</v>
      </c>
      <c r="D460">
        <v>1032.1152902027379</v>
      </c>
      <c r="I460">
        <v>309.4243495033524</v>
      </c>
      <c r="J460">
        <v>322.45538176728752</v>
      </c>
      <c r="K460">
        <v>0</v>
      </c>
      <c r="L460">
        <v>-4.5696663000995841</v>
      </c>
      <c r="M460">
        <v>170.95740440098029</v>
      </c>
      <c r="N460">
        <v>88.201606088485093</v>
      </c>
      <c r="O460">
        <v>456.28439001005222</v>
      </c>
      <c r="P460" s="2">
        <v>45001.291666666657</v>
      </c>
      <c r="Q460" s="2">
        <v>45001.336805555547</v>
      </c>
      <c r="R460">
        <v>0</v>
      </c>
      <c r="S460">
        <v>8.509108666741886</v>
      </c>
      <c r="T460">
        <f t="shared" si="131"/>
        <v>2.3742502637652509</v>
      </c>
      <c r="U460">
        <f t="shared" si="132"/>
        <v>2261.9999999999995</v>
      </c>
      <c r="V460">
        <f t="shared" si="133"/>
        <v>0</v>
      </c>
      <c r="W460">
        <f t="shared" si="134"/>
        <v>0</v>
      </c>
      <c r="X460">
        <f t="shared" si="135"/>
        <v>0</v>
      </c>
      <c r="Y460">
        <f t="shared" si="136"/>
        <v>0</v>
      </c>
      <c r="Z460">
        <f t="shared" si="137"/>
        <v>678.13924008343918</v>
      </c>
      <c r="AA460">
        <f t="shared" si="138"/>
        <v>706.6982540432374</v>
      </c>
      <c r="AB460">
        <f t="shared" si="139"/>
        <v>0</v>
      </c>
      <c r="AC460">
        <f t="shared" si="140"/>
        <v>-10.014952078459032</v>
      </c>
      <c r="AD460">
        <f t="shared" si="141"/>
        <v>374.67291922306174</v>
      </c>
      <c r="AE460">
        <f t="shared" si="142"/>
        <v>193.30401832625034</v>
      </c>
      <c r="AF460">
        <f t="shared" si="143"/>
        <v>1000</v>
      </c>
      <c r="AG460">
        <f t="shared" si="144"/>
        <v>2261.9999999999995</v>
      </c>
      <c r="AH460">
        <f t="shared" si="145"/>
        <v>0</v>
      </c>
      <c r="AI460" s="5">
        <f t="shared" si="128"/>
        <v>0.44208664898320077</v>
      </c>
      <c r="AJ460" s="5">
        <f t="shared" si="129"/>
        <v>0</v>
      </c>
      <c r="AK460" s="5">
        <f t="shared" si="130"/>
        <v>0</v>
      </c>
    </row>
    <row r="461" spans="1:37" x14ac:dyDescent="0.3">
      <c r="A461">
        <v>5368630</v>
      </c>
      <c r="B461" t="s">
        <v>39</v>
      </c>
      <c r="C461">
        <v>15.58333333333333</v>
      </c>
      <c r="D461">
        <v>33064.696030342609</v>
      </c>
      <c r="I461">
        <v>5156.6372512776434</v>
      </c>
      <c r="J461">
        <v>5174.8734654674436</v>
      </c>
      <c r="K461">
        <v>0.32906249999999998</v>
      </c>
      <c r="L461">
        <v>70.610557126400408</v>
      </c>
      <c r="M461">
        <v>10441.09396891866</v>
      </c>
      <c r="N461">
        <v>6830.7968869599481</v>
      </c>
      <c r="O461">
        <v>14617.4606677023</v>
      </c>
      <c r="P461" s="2">
        <v>45001.9375</v>
      </c>
      <c r="Q461" s="2">
        <v>45002.697916666657</v>
      </c>
      <c r="R461">
        <v>45625.557723569043</v>
      </c>
      <c r="S461">
        <v>7.9812057235624074</v>
      </c>
      <c r="T461">
        <f t="shared" si="131"/>
        <v>1.0660766385891602</v>
      </c>
      <c r="U461">
        <f t="shared" si="132"/>
        <v>2262.0000000000005</v>
      </c>
      <c r="V461">
        <f t="shared" si="133"/>
        <v>0</v>
      </c>
      <c r="W461">
        <f t="shared" si="134"/>
        <v>0</v>
      </c>
      <c r="X461">
        <f t="shared" si="135"/>
        <v>0</v>
      </c>
      <c r="Y461">
        <f t="shared" si="136"/>
        <v>0</v>
      </c>
      <c r="Z461">
        <f t="shared" si="137"/>
        <v>352.7724389689231</v>
      </c>
      <c r="AA461">
        <f t="shared" si="138"/>
        <v>354.02000272875546</v>
      </c>
      <c r="AB461">
        <f t="shared" si="139"/>
        <v>2.2511604955235014E-2</v>
      </c>
      <c r="AC461">
        <f t="shared" si="140"/>
        <v>4.8305624849339575</v>
      </c>
      <c r="AD461">
        <f t="shared" si="141"/>
        <v>714.28917828310341</v>
      </c>
      <c r="AE461">
        <f t="shared" si="142"/>
        <v>467.30393481083826</v>
      </c>
      <c r="AF461">
        <f t="shared" si="143"/>
        <v>1000</v>
      </c>
      <c r="AG461">
        <f t="shared" si="144"/>
        <v>-859.30531839774449</v>
      </c>
      <c r="AH461">
        <f t="shared" si="145"/>
        <v>3121.3053183977449</v>
      </c>
      <c r="AI461" s="5">
        <f t="shared" si="128"/>
        <v>0.4420866489832006</v>
      </c>
      <c r="AJ461" s="5">
        <f t="shared" si="129"/>
        <v>0</v>
      </c>
      <c r="AK461" s="5">
        <f t="shared" si="130"/>
        <v>0.32037878323076979</v>
      </c>
    </row>
    <row r="462" spans="1:37" x14ac:dyDescent="0.3">
      <c r="A462">
        <v>5368633</v>
      </c>
      <c r="B462" t="s">
        <v>38</v>
      </c>
      <c r="C462">
        <v>8</v>
      </c>
      <c r="D462">
        <v>19436.094524278269</v>
      </c>
      <c r="I462">
        <v>2637.5295725408141</v>
      </c>
      <c r="J462">
        <v>2633.334373627963</v>
      </c>
      <c r="K462">
        <v>0</v>
      </c>
      <c r="L462">
        <v>0.94437379536316257</v>
      </c>
      <c r="M462">
        <v>6559.1340946278397</v>
      </c>
      <c r="N462">
        <v>3944.4173921533879</v>
      </c>
      <c r="O462">
        <v>8592.437897558917</v>
      </c>
      <c r="P462" s="2">
        <v>45002.6875</v>
      </c>
      <c r="Q462" s="2">
        <v>45003.020833333343</v>
      </c>
      <c r="R462">
        <v>20037.060176263869</v>
      </c>
      <c r="S462">
        <v>7.8297996914113748</v>
      </c>
      <c r="T462">
        <f t="shared" si="131"/>
        <v>0.93105124475473644</v>
      </c>
      <c r="U462">
        <f t="shared" si="132"/>
        <v>2261.9999999999995</v>
      </c>
      <c r="V462">
        <f t="shared" si="133"/>
        <v>0</v>
      </c>
      <c r="W462">
        <f t="shared" si="134"/>
        <v>0</v>
      </c>
      <c r="X462">
        <f t="shared" si="135"/>
        <v>0</v>
      </c>
      <c r="Y462">
        <f t="shared" si="136"/>
        <v>0</v>
      </c>
      <c r="Z462">
        <f t="shared" si="137"/>
        <v>306.95939894894411</v>
      </c>
      <c r="AA462">
        <f t="shared" si="138"/>
        <v>306.47115580271861</v>
      </c>
      <c r="AB462">
        <f t="shared" si="139"/>
        <v>0</v>
      </c>
      <c r="AC462">
        <f t="shared" si="140"/>
        <v>0.1099075497108284</v>
      </c>
      <c r="AD462">
        <f t="shared" si="141"/>
        <v>763.36124541456013</v>
      </c>
      <c r="AE462">
        <f t="shared" si="142"/>
        <v>459.0568403495804</v>
      </c>
      <c r="AF462">
        <f t="shared" si="143"/>
        <v>999.99999999999989</v>
      </c>
      <c r="AG462">
        <f t="shared" si="144"/>
        <v>-69.941227292004442</v>
      </c>
      <c r="AH462">
        <f t="shared" si="145"/>
        <v>2331.941227292004</v>
      </c>
      <c r="AI462" s="5">
        <f t="shared" si="128"/>
        <v>0.44208664898320071</v>
      </c>
      <c r="AJ462" s="5">
        <f t="shared" si="129"/>
        <v>0</v>
      </c>
      <c r="AK462" s="5">
        <f t="shared" si="130"/>
        <v>0.42882727415959043</v>
      </c>
    </row>
    <row r="463" spans="1:37" x14ac:dyDescent="0.3">
      <c r="A463">
        <v>5368720</v>
      </c>
      <c r="B463" t="s">
        <v>32</v>
      </c>
      <c r="C463">
        <v>120.6666666666667</v>
      </c>
      <c r="D463">
        <v>268626.52485047688</v>
      </c>
      <c r="I463">
        <v>-27848.548020585869</v>
      </c>
      <c r="J463">
        <v>29607.07031716124</v>
      </c>
      <c r="K463">
        <v>3731.0864930103971</v>
      </c>
      <c r="L463">
        <v>3731.0496307207259</v>
      </c>
      <c r="M463">
        <v>101285.1156976277</v>
      </c>
      <c r="N463">
        <v>65039.97087867884</v>
      </c>
      <c r="O463">
        <v>124594.86310318969</v>
      </c>
      <c r="P463" s="2">
        <v>45008.888888888891</v>
      </c>
      <c r="Q463" s="2">
        <v>45016.447916666657</v>
      </c>
      <c r="R463">
        <v>426143.52916238282</v>
      </c>
      <c r="S463">
        <v>7.3624857275101334</v>
      </c>
      <c r="T463">
        <f t="shared" si="131"/>
        <v>0.96847224405014476</v>
      </c>
      <c r="U463">
        <f t="shared" si="132"/>
        <v>2155.9999999999991</v>
      </c>
      <c r="V463">
        <f t="shared" si="133"/>
        <v>0</v>
      </c>
      <c r="W463">
        <f t="shared" si="134"/>
        <v>0</v>
      </c>
      <c r="X463">
        <f t="shared" si="135"/>
        <v>0</v>
      </c>
      <c r="Y463">
        <f t="shared" si="136"/>
        <v>0</v>
      </c>
      <c r="Z463">
        <f t="shared" si="137"/>
        <v>-223.51281045609119</v>
      </c>
      <c r="AA463">
        <f t="shared" si="138"/>
        <v>237.62673339622845</v>
      </c>
      <c r="AB463">
        <f t="shared" si="139"/>
        <v>29.945748966554941</v>
      </c>
      <c r="AC463">
        <f t="shared" si="140"/>
        <v>29.945453109336167</v>
      </c>
      <c r="AD463">
        <f t="shared" si="141"/>
        <v>812.91566261237574</v>
      </c>
      <c r="AE463">
        <f t="shared" si="142"/>
        <v>522.01165649030509</v>
      </c>
      <c r="AF463">
        <f t="shared" si="143"/>
        <v>1000</v>
      </c>
      <c r="AG463">
        <f t="shared" si="144"/>
        <v>-1264.2335357072475</v>
      </c>
      <c r="AH463">
        <f t="shared" si="145"/>
        <v>3420.2335357072466</v>
      </c>
      <c r="AI463" s="5">
        <f t="shared" si="128"/>
        <v>0.46382189239332111</v>
      </c>
      <c r="AJ463" s="5">
        <f t="shared" si="129"/>
        <v>0</v>
      </c>
      <c r="AK463" s="5">
        <f t="shared" si="130"/>
        <v>0.29237769572165107</v>
      </c>
    </row>
    <row r="464" spans="1:37" x14ac:dyDescent="0.3">
      <c r="A464">
        <v>5368204</v>
      </c>
      <c r="B464" t="s">
        <v>41</v>
      </c>
      <c r="C464">
        <v>15.41666666666667</v>
      </c>
      <c r="D464">
        <v>34703.559792091757</v>
      </c>
      <c r="I464">
        <v>6265.4796570142107</v>
      </c>
      <c r="J464">
        <v>4298.1208554482964</v>
      </c>
      <c r="K464">
        <v>0.68343750000000003</v>
      </c>
      <c r="L464">
        <v>11.084518582570981</v>
      </c>
      <c r="M464">
        <v>14443.7317150974</v>
      </c>
      <c r="N464">
        <v>8881.2192621475024</v>
      </c>
      <c r="O464">
        <v>16096.27077555277</v>
      </c>
      <c r="P464" s="2">
        <v>45009.190972222219</v>
      </c>
      <c r="Q464" s="2">
        <v>45009.833333333343</v>
      </c>
      <c r="R464">
        <v>36579.693238783613</v>
      </c>
      <c r="S464">
        <v>8.1251252976790909</v>
      </c>
      <c r="T464">
        <f t="shared" si="131"/>
        <v>0.95777878501408586</v>
      </c>
      <c r="U464">
        <f t="shared" si="132"/>
        <v>2155.9999999999991</v>
      </c>
      <c r="V464">
        <f t="shared" si="133"/>
        <v>0</v>
      </c>
      <c r="W464">
        <f t="shared" si="134"/>
        <v>0</v>
      </c>
      <c r="X464">
        <f t="shared" si="135"/>
        <v>0</v>
      </c>
      <c r="Y464">
        <f t="shared" si="136"/>
        <v>0</v>
      </c>
      <c r="Z464">
        <f t="shared" si="137"/>
        <v>389.25038876273777</v>
      </c>
      <c r="AA464">
        <f t="shared" si="138"/>
        <v>267.0258791854036</v>
      </c>
      <c r="AB464">
        <f t="shared" si="139"/>
        <v>4.2459368976198758E-2</v>
      </c>
      <c r="AC464">
        <f t="shared" si="140"/>
        <v>0.68863892370686852</v>
      </c>
      <c r="AD464">
        <f t="shared" si="141"/>
        <v>897.33404193440458</v>
      </c>
      <c r="AE464">
        <f t="shared" si="142"/>
        <v>551.75632828172957</v>
      </c>
      <c r="AF464">
        <f t="shared" si="143"/>
        <v>1000</v>
      </c>
      <c r="AG464">
        <f t="shared" si="144"/>
        <v>-116.55702571438815</v>
      </c>
      <c r="AH464">
        <f t="shared" si="145"/>
        <v>2272.5570257143872</v>
      </c>
      <c r="AI464" s="5">
        <f t="shared" si="128"/>
        <v>0.46382189239332117</v>
      </c>
      <c r="AJ464" s="5">
        <f t="shared" si="129"/>
        <v>0</v>
      </c>
      <c r="AK464" s="5">
        <f t="shared" si="130"/>
        <v>0.44003296229085653</v>
      </c>
    </row>
    <row r="465" spans="1:37" x14ac:dyDescent="0.3">
      <c r="A465">
        <v>5369400</v>
      </c>
      <c r="B465" t="s">
        <v>42</v>
      </c>
      <c r="C465">
        <v>40.416666666666657</v>
      </c>
      <c r="D465">
        <v>79515.035078142071</v>
      </c>
      <c r="I465">
        <v>7399.0400551032317</v>
      </c>
      <c r="J465">
        <v>10355.600958986941</v>
      </c>
      <c r="K465">
        <v>1842.784071712038</v>
      </c>
      <c r="L465">
        <v>1808.1303809650251</v>
      </c>
      <c r="M465">
        <v>27505.087587937462</v>
      </c>
      <c r="N465">
        <v>17129.417904346908</v>
      </c>
      <c r="O465">
        <v>36880.814043665152</v>
      </c>
      <c r="P465" s="2">
        <v>45009.833333333343</v>
      </c>
      <c r="Q465" s="2">
        <v>45011.559027777781</v>
      </c>
      <c r="R465">
        <v>101506.696728561</v>
      </c>
      <c r="S465">
        <v>7.6006028180006071</v>
      </c>
      <c r="T465">
        <f t="shared" si="131"/>
        <v>1.0958724126537778</v>
      </c>
      <c r="U465">
        <f t="shared" si="132"/>
        <v>2156.0000000000005</v>
      </c>
      <c r="V465">
        <f t="shared" si="133"/>
        <v>0</v>
      </c>
      <c r="W465">
        <f t="shared" si="134"/>
        <v>0</v>
      </c>
      <c r="X465">
        <f t="shared" si="135"/>
        <v>0</v>
      </c>
      <c r="Y465">
        <f t="shared" si="136"/>
        <v>0</v>
      </c>
      <c r="Z465">
        <f t="shared" si="137"/>
        <v>200.62030209916503</v>
      </c>
      <c r="AA465">
        <f t="shared" si="138"/>
        <v>280.78558533785065</v>
      </c>
      <c r="AB465">
        <f t="shared" si="139"/>
        <v>49.965927257740795</v>
      </c>
      <c r="AC465">
        <f t="shared" si="140"/>
        <v>49.026314300554311</v>
      </c>
      <c r="AD465">
        <f t="shared" si="141"/>
        <v>745.78309349063534</v>
      </c>
      <c r="AE465">
        <f t="shared" si="142"/>
        <v>464.45335734906729</v>
      </c>
      <c r="AF465">
        <f t="shared" si="143"/>
        <v>999.99999999999989</v>
      </c>
      <c r="AG465">
        <f t="shared" si="144"/>
        <v>-596.29002831612706</v>
      </c>
      <c r="AH465">
        <f t="shared" si="145"/>
        <v>2752.2900283161275</v>
      </c>
      <c r="AI465" s="5">
        <f t="shared" si="128"/>
        <v>0.46382189239332094</v>
      </c>
      <c r="AJ465" s="5">
        <f t="shared" si="129"/>
        <v>0</v>
      </c>
      <c r="AK465" s="5">
        <f t="shared" si="130"/>
        <v>0.36333380192922754</v>
      </c>
    </row>
    <row r="466" spans="1:37" x14ac:dyDescent="0.3">
      <c r="A466">
        <v>5369879</v>
      </c>
      <c r="B466" t="s">
        <v>39</v>
      </c>
      <c r="C466">
        <v>4.416666666666667</v>
      </c>
      <c r="D466">
        <v>9856.058553143208</v>
      </c>
      <c r="I466">
        <v>869.1122240156019</v>
      </c>
      <c r="J466">
        <v>798.92690487646757</v>
      </c>
      <c r="K466">
        <v>4232.576921692108</v>
      </c>
      <c r="L466">
        <v>4383.8457967352933</v>
      </c>
      <c r="M466">
        <v>0</v>
      </c>
      <c r="N466">
        <v>5362.7086020688203</v>
      </c>
      <c r="O466">
        <v>4357.2318979412948</v>
      </c>
      <c r="P466" s="2">
        <v>45017.291666666657</v>
      </c>
      <c r="Q466" s="2">
        <v>45017.475694444453</v>
      </c>
      <c r="R466">
        <v>10598.211510417461</v>
      </c>
      <c r="S466">
        <v>8.6150218002252643</v>
      </c>
      <c r="T466">
        <f t="shared" si="131"/>
        <v>1.0136404878412493</v>
      </c>
      <c r="U466">
        <f t="shared" si="132"/>
        <v>2262</v>
      </c>
      <c r="V466">
        <f t="shared" si="133"/>
        <v>0</v>
      </c>
      <c r="W466">
        <f t="shared" si="134"/>
        <v>0</v>
      </c>
      <c r="X466">
        <f t="shared" si="135"/>
        <v>0</v>
      </c>
      <c r="Y466">
        <f t="shared" si="136"/>
        <v>0</v>
      </c>
      <c r="Z466">
        <f t="shared" si="137"/>
        <v>199.46430311093613</v>
      </c>
      <c r="AA466">
        <f t="shared" si="138"/>
        <v>183.35652625097703</v>
      </c>
      <c r="AB466">
        <f t="shared" si="139"/>
        <v>971.39124582557008</v>
      </c>
      <c r="AC466">
        <f t="shared" si="140"/>
        <v>1006.1079830996769</v>
      </c>
      <c r="AD466">
        <f t="shared" si="141"/>
        <v>0</v>
      </c>
      <c r="AE466">
        <f t="shared" si="142"/>
        <v>1230.7604294833591</v>
      </c>
      <c r="AF466">
        <f t="shared" si="143"/>
        <v>1000</v>
      </c>
      <c r="AG466">
        <f t="shared" si="144"/>
        <v>-170.32670618814336</v>
      </c>
      <c r="AH466">
        <f t="shared" si="145"/>
        <v>2432.3267061881434</v>
      </c>
      <c r="AI466" s="5">
        <f t="shared" si="128"/>
        <v>0.44208664898320077</v>
      </c>
      <c r="AJ466" s="5">
        <f t="shared" si="129"/>
        <v>0</v>
      </c>
      <c r="AK466" s="5">
        <f t="shared" si="130"/>
        <v>0.41112898092837408</v>
      </c>
    </row>
    <row r="467" spans="1:37" x14ac:dyDescent="0.3">
      <c r="A467">
        <v>5369886</v>
      </c>
      <c r="B467" t="s">
        <v>36</v>
      </c>
      <c r="C467">
        <v>11.75</v>
      </c>
      <c r="D467">
        <v>20336.377294453239</v>
      </c>
      <c r="I467">
        <v>2015.036925414563</v>
      </c>
      <c r="J467">
        <v>2111.9909575752731</v>
      </c>
      <c r="K467">
        <v>5395.289416475538</v>
      </c>
      <c r="L467">
        <v>5847.6274533312062</v>
      </c>
      <c r="M467">
        <v>0</v>
      </c>
      <c r="N467">
        <v>4146.972085925604</v>
      </c>
      <c r="O467">
        <v>11768.736860216</v>
      </c>
      <c r="P467" s="2">
        <v>45018.041666666657</v>
      </c>
      <c r="Q467" s="2">
        <v>45018.534722222219</v>
      </c>
      <c r="R467">
        <v>20480.79471825693</v>
      </c>
      <c r="S467">
        <v>7.0395796819890109</v>
      </c>
      <c r="T467">
        <f t="shared" si="131"/>
        <v>0.99840791238358473</v>
      </c>
      <c r="U467">
        <f t="shared" si="132"/>
        <v>1727.9999999999993</v>
      </c>
      <c r="V467">
        <f t="shared" si="133"/>
        <v>0</v>
      </c>
      <c r="W467">
        <f t="shared" si="134"/>
        <v>0</v>
      </c>
      <c r="X467">
        <f t="shared" si="135"/>
        <v>0</v>
      </c>
      <c r="Y467">
        <f t="shared" si="136"/>
        <v>0</v>
      </c>
      <c r="Z467">
        <f t="shared" si="137"/>
        <v>171.21947319821197</v>
      </c>
      <c r="AA467">
        <f t="shared" si="138"/>
        <v>179.45774322772226</v>
      </c>
      <c r="AB467">
        <f t="shared" si="139"/>
        <v>458.44252280924178</v>
      </c>
      <c r="AC467">
        <f t="shared" si="140"/>
        <v>496.87808664488063</v>
      </c>
      <c r="AD467">
        <f t="shared" si="141"/>
        <v>0</v>
      </c>
      <c r="AE467">
        <f t="shared" si="142"/>
        <v>352.37189302314744</v>
      </c>
      <c r="AF467">
        <f t="shared" si="143"/>
        <v>1000</v>
      </c>
      <c r="AG467">
        <f t="shared" si="144"/>
        <v>-12.271276477587662</v>
      </c>
      <c r="AH467">
        <f t="shared" si="145"/>
        <v>1740.271276477587</v>
      </c>
      <c r="AI467" s="5">
        <f t="shared" si="128"/>
        <v>0.57870370370370394</v>
      </c>
      <c r="AJ467" s="5">
        <f t="shared" si="129"/>
        <v>0</v>
      </c>
      <c r="AK467" s="5">
        <f t="shared" si="130"/>
        <v>0.57462305648350387</v>
      </c>
    </row>
    <row r="468" spans="1:37" x14ac:dyDescent="0.3">
      <c r="A468">
        <v>5368217</v>
      </c>
      <c r="B468" t="s">
        <v>46</v>
      </c>
      <c r="C468">
        <v>13.66666666666667</v>
      </c>
      <c r="D468">
        <v>23876.24168367208</v>
      </c>
      <c r="I468">
        <v>2539.7653209601708</v>
      </c>
      <c r="J468">
        <v>2307.4090477465302</v>
      </c>
      <c r="K468">
        <v>12546.281268057721</v>
      </c>
      <c r="L468">
        <v>13185.390554864531</v>
      </c>
      <c r="M468">
        <v>0</v>
      </c>
      <c r="N468">
        <v>16601.154042609411</v>
      </c>
      <c r="O468">
        <v>10304.80866796378</v>
      </c>
      <c r="P468" s="2">
        <v>45017.489583333343</v>
      </c>
      <c r="Q468" s="2">
        <v>45018.059027777781</v>
      </c>
      <c r="R468">
        <v>23656.105378478082</v>
      </c>
      <c r="S468">
        <v>8.2733456929383795</v>
      </c>
      <c r="T468">
        <f t="shared" si="131"/>
        <v>1.3262416709544971</v>
      </c>
      <c r="U468">
        <f t="shared" si="132"/>
        <v>2317.0000000000005</v>
      </c>
      <c r="V468">
        <f t="shared" si="133"/>
        <v>0</v>
      </c>
      <c r="W468">
        <f t="shared" si="134"/>
        <v>0</v>
      </c>
      <c r="X468">
        <f t="shared" si="135"/>
        <v>0</v>
      </c>
      <c r="Y468">
        <f t="shared" si="136"/>
        <v>0</v>
      </c>
      <c r="Z468">
        <f t="shared" si="137"/>
        <v>246.46409290993907</v>
      </c>
      <c r="AA468">
        <f t="shared" si="138"/>
        <v>223.91575837016217</v>
      </c>
      <c r="AB468">
        <f t="shared" si="139"/>
        <v>1217.5171487717544</v>
      </c>
      <c r="AC468">
        <f t="shared" si="140"/>
        <v>1279.5376391466714</v>
      </c>
      <c r="AD468">
        <f t="shared" si="141"/>
        <v>0</v>
      </c>
      <c r="AE468">
        <f t="shared" si="142"/>
        <v>1611.0104105299979</v>
      </c>
      <c r="AF468">
        <f t="shared" si="143"/>
        <v>1000</v>
      </c>
      <c r="AG468">
        <f t="shared" si="144"/>
        <v>21.362483505237378</v>
      </c>
      <c r="AH468">
        <f t="shared" si="145"/>
        <v>2295.6375164947631</v>
      </c>
      <c r="AI468" s="5">
        <f t="shared" si="128"/>
        <v>0.4315925766076823</v>
      </c>
      <c r="AJ468" s="5">
        <f t="shared" si="129"/>
        <v>0</v>
      </c>
      <c r="AK468" s="5">
        <f t="shared" si="130"/>
        <v>0.4356088419076336</v>
      </c>
    </row>
    <row r="469" spans="1:37" x14ac:dyDescent="0.3">
      <c r="A469">
        <v>5369889</v>
      </c>
      <c r="B469" t="s">
        <v>34</v>
      </c>
      <c r="C469">
        <v>12.91666666666667</v>
      </c>
      <c r="D469">
        <v>21167.9791091201</v>
      </c>
      <c r="I469">
        <v>2915.6943270951738</v>
      </c>
      <c r="J469">
        <v>3261.969669335725</v>
      </c>
      <c r="K469">
        <v>6566.9788074641056</v>
      </c>
      <c r="L469">
        <v>5964.4547453684527</v>
      </c>
      <c r="M469">
        <v>0</v>
      </c>
      <c r="N469">
        <v>2358.4677719559891</v>
      </c>
      <c r="O469">
        <v>9135.9426452827338</v>
      </c>
      <c r="P469" s="2">
        <v>45018.538194444453</v>
      </c>
      <c r="Q469" s="2">
        <v>45019.076388888891</v>
      </c>
      <c r="R469">
        <v>22355.76939580416</v>
      </c>
      <c r="S469">
        <v>7.3111781723324558</v>
      </c>
      <c r="T469">
        <f t="shared" si="131"/>
        <v>1.4138296581071554</v>
      </c>
      <c r="U469">
        <f t="shared" si="132"/>
        <v>2317.0000000000009</v>
      </c>
      <c r="V469">
        <f t="shared" si="133"/>
        <v>0</v>
      </c>
      <c r="W469">
        <f t="shared" si="134"/>
        <v>0</v>
      </c>
      <c r="X469">
        <f t="shared" si="135"/>
        <v>0</v>
      </c>
      <c r="Y469">
        <f t="shared" si="136"/>
        <v>0</v>
      </c>
      <c r="Z469">
        <f t="shared" si="137"/>
        <v>319.14542815137611</v>
      </c>
      <c r="AA469">
        <f t="shared" si="138"/>
        <v>357.04795837570362</v>
      </c>
      <c r="AB469">
        <f t="shared" si="139"/>
        <v>718.80692145707701</v>
      </c>
      <c r="AC469">
        <f t="shared" si="140"/>
        <v>652.85597523405511</v>
      </c>
      <c r="AD469">
        <f t="shared" si="141"/>
        <v>0</v>
      </c>
      <c r="AE469">
        <f t="shared" si="142"/>
        <v>258.15264647855071</v>
      </c>
      <c r="AF469">
        <f t="shared" si="143"/>
        <v>1000</v>
      </c>
      <c r="AG469">
        <f t="shared" si="144"/>
        <v>-130.01288786520172</v>
      </c>
      <c r="AH469">
        <f t="shared" si="145"/>
        <v>2447.0128878652026</v>
      </c>
      <c r="AI469" s="5">
        <f t="shared" si="128"/>
        <v>0.43159257660768224</v>
      </c>
      <c r="AJ469" s="5">
        <f t="shared" si="129"/>
        <v>0</v>
      </c>
      <c r="AK469" s="5">
        <f t="shared" si="130"/>
        <v>0.40866151746033896</v>
      </c>
    </row>
    <row r="470" spans="1:37" x14ac:dyDescent="0.3">
      <c r="A470">
        <v>5371714</v>
      </c>
      <c r="B470" t="s">
        <v>48</v>
      </c>
      <c r="C470">
        <v>21.916666666666671</v>
      </c>
      <c r="D470">
        <v>0</v>
      </c>
      <c r="E470">
        <v>38075.218333333338</v>
      </c>
      <c r="F470">
        <v>2665.2652833333332</v>
      </c>
      <c r="G470">
        <v>35409.953049999996</v>
      </c>
      <c r="I470">
        <v>0</v>
      </c>
      <c r="J470">
        <v>11961.70589692109</v>
      </c>
      <c r="K470">
        <v>29364.84133822691</v>
      </c>
      <c r="L470">
        <v>0</v>
      </c>
      <c r="M470">
        <v>0</v>
      </c>
      <c r="N470">
        <v>18318.060131433351</v>
      </c>
      <c r="O470">
        <v>16758.45877347418</v>
      </c>
      <c r="P470" s="2">
        <v>45042.565972222219</v>
      </c>
      <c r="Q470" s="2">
        <v>45045.3125</v>
      </c>
      <c r="R470">
        <v>0</v>
      </c>
      <c r="S470">
        <v>5.0041666030883789</v>
      </c>
      <c r="T470">
        <f t="shared" si="131"/>
        <v>1.3077972719876285</v>
      </c>
      <c r="U470">
        <f t="shared" si="132"/>
        <v>0</v>
      </c>
      <c r="V470">
        <f t="shared" si="133"/>
        <v>2272</v>
      </c>
      <c r="W470">
        <f t="shared" si="134"/>
        <v>159.04</v>
      </c>
      <c r="X470">
        <f t="shared" si="135"/>
        <v>2112.9599999999996</v>
      </c>
      <c r="Y470">
        <f t="shared" si="136"/>
        <v>0</v>
      </c>
      <c r="Z470">
        <f t="shared" si="137"/>
        <v>0</v>
      </c>
      <c r="AA470">
        <f t="shared" si="138"/>
        <v>713.77123986213212</v>
      </c>
      <c r="AB470">
        <f t="shared" si="139"/>
        <v>1752.2399723718336</v>
      </c>
      <c r="AC470">
        <f t="shared" si="140"/>
        <v>0</v>
      </c>
      <c r="AD470">
        <f t="shared" si="141"/>
        <v>0</v>
      </c>
      <c r="AE470">
        <f t="shared" si="142"/>
        <v>1093.0635316194921</v>
      </c>
      <c r="AF470">
        <f t="shared" si="143"/>
        <v>1000</v>
      </c>
      <c r="AG470">
        <f t="shared" si="144"/>
        <v>0</v>
      </c>
      <c r="AH470">
        <f t="shared" si="145"/>
        <v>0</v>
      </c>
      <c r="AI470" s="5">
        <f t="shared" si="128"/>
        <v>0</v>
      </c>
      <c r="AJ470" s="5">
        <f t="shared" si="129"/>
        <v>0.4401408450704225</v>
      </c>
      <c r="AK470" s="5">
        <f t="shared" si="130"/>
        <v>0</v>
      </c>
    </row>
    <row r="471" spans="1:37" x14ac:dyDescent="0.3">
      <c r="A471">
        <v>5371929</v>
      </c>
      <c r="B471" t="s">
        <v>56</v>
      </c>
      <c r="C471">
        <v>301.18666666666672</v>
      </c>
      <c r="D471">
        <v>0</v>
      </c>
      <c r="E471">
        <v>450595.53638653911</v>
      </c>
      <c r="F471">
        <v>35233.952893557733</v>
      </c>
      <c r="G471">
        <v>415361.58349298133</v>
      </c>
      <c r="H471">
        <v>50066.170709615457</v>
      </c>
      <c r="I471">
        <v>3920.4425699113708</v>
      </c>
      <c r="J471">
        <v>94786.289907378523</v>
      </c>
      <c r="K471">
        <v>304498.0286574944</v>
      </c>
      <c r="L471">
        <v>19566.01863440848</v>
      </c>
      <c r="M471">
        <v>0</v>
      </c>
      <c r="N471">
        <v>273092.92538115132</v>
      </c>
      <c r="O471">
        <v>219396.01537955939</v>
      </c>
      <c r="P471" s="2">
        <v>45049.625</v>
      </c>
      <c r="Q471" s="2">
        <v>45070.5</v>
      </c>
      <c r="R471">
        <v>157037.14653612909</v>
      </c>
      <c r="S471">
        <v>5.1208689657792652</v>
      </c>
      <c r="T471">
        <f t="shared" si="131"/>
        <v>1.372799164768822</v>
      </c>
      <c r="U471">
        <f t="shared" si="132"/>
        <v>0</v>
      </c>
      <c r="V471">
        <f t="shared" si="133"/>
        <v>2053.8000000000002</v>
      </c>
      <c r="W471">
        <f t="shared" si="134"/>
        <v>160.59522700356388</v>
      </c>
      <c r="X471">
        <f t="shared" si="135"/>
        <v>1893.2047729964358</v>
      </c>
      <c r="Y471">
        <f t="shared" si="136"/>
        <v>228.2</v>
      </c>
      <c r="Z471">
        <f t="shared" si="137"/>
        <v>17.869251468076705</v>
      </c>
      <c r="AA471">
        <f t="shared" si="138"/>
        <v>432.03286870728436</v>
      </c>
      <c r="AB471">
        <f t="shared" si="139"/>
        <v>1387.8922464963955</v>
      </c>
      <c r="AC471">
        <f t="shared" si="140"/>
        <v>89.181285268827182</v>
      </c>
      <c r="AD471">
        <f t="shared" si="141"/>
        <v>0</v>
      </c>
      <c r="AE471">
        <f t="shared" si="142"/>
        <v>1244.7487932207666</v>
      </c>
      <c r="AF471">
        <f t="shared" si="143"/>
        <v>1000</v>
      </c>
      <c r="AG471">
        <f t="shared" si="144"/>
        <v>-715.77027624887239</v>
      </c>
      <c r="AH471">
        <f t="shared" si="145"/>
        <v>715.77027624887239</v>
      </c>
      <c r="AI471" s="5">
        <f t="shared" si="128"/>
        <v>0</v>
      </c>
      <c r="AJ471" s="5">
        <f t="shared" si="129"/>
        <v>0.43821209465381245</v>
      </c>
      <c r="AK471" s="5">
        <f t="shared" si="130"/>
        <v>1.3970962935771607</v>
      </c>
    </row>
    <row r="472" spans="1:37" x14ac:dyDescent="0.3">
      <c r="A472">
        <v>5372229</v>
      </c>
      <c r="B472" t="s">
        <v>48</v>
      </c>
      <c r="C472">
        <v>162.33333333333329</v>
      </c>
      <c r="D472">
        <v>0</v>
      </c>
      <c r="E472">
        <v>307276.11499999999</v>
      </c>
      <c r="F472">
        <v>29916.80330000001</v>
      </c>
      <c r="G472">
        <v>277359.31170000002</v>
      </c>
      <c r="I472">
        <v>0</v>
      </c>
      <c r="J472">
        <v>62012.918154714243</v>
      </c>
      <c r="K472">
        <v>169940.4911152198</v>
      </c>
      <c r="L472">
        <v>0</v>
      </c>
      <c r="M472">
        <v>0</v>
      </c>
      <c r="N472">
        <v>156231.50166614621</v>
      </c>
      <c r="O472">
        <v>135244.76892605639</v>
      </c>
      <c r="P472" s="2">
        <v>45070.5</v>
      </c>
      <c r="Q472" s="2">
        <v>45077.493055555547</v>
      </c>
      <c r="R472">
        <v>10190.041782736969</v>
      </c>
      <c r="S472">
        <v>5.0041984092188248</v>
      </c>
      <c r="T472">
        <f t="shared" si="131"/>
        <v>1.2002928809918503</v>
      </c>
      <c r="U472">
        <f t="shared" si="132"/>
        <v>0</v>
      </c>
      <c r="V472">
        <f t="shared" si="133"/>
        <v>2271.9999999999991</v>
      </c>
      <c r="W472">
        <f t="shared" si="134"/>
        <v>221.20488309870748</v>
      </c>
      <c r="X472">
        <f t="shared" si="135"/>
        <v>2050.7951169012922</v>
      </c>
      <c r="Y472">
        <f t="shared" si="136"/>
        <v>0</v>
      </c>
      <c r="Z472">
        <f t="shared" si="137"/>
        <v>0</v>
      </c>
      <c r="AA472">
        <f t="shared" si="138"/>
        <v>458.52359871026977</v>
      </c>
      <c r="AB472">
        <f t="shared" si="139"/>
        <v>1256.5402156746848</v>
      </c>
      <c r="AC472">
        <f t="shared" si="140"/>
        <v>0</v>
      </c>
      <c r="AD472">
        <f t="shared" si="141"/>
        <v>0</v>
      </c>
      <c r="AE472">
        <f t="shared" si="142"/>
        <v>1155.1759295885529</v>
      </c>
      <c r="AF472">
        <f t="shared" si="143"/>
        <v>999.99999999999989</v>
      </c>
      <c r="AG472">
        <f t="shared" si="144"/>
        <v>-75.345182395248614</v>
      </c>
      <c r="AH472">
        <f t="shared" si="145"/>
        <v>75.345182395248614</v>
      </c>
      <c r="AI472" s="5">
        <f t="shared" si="128"/>
        <v>0</v>
      </c>
      <c r="AJ472" s="5">
        <f t="shared" si="129"/>
        <v>0.44014084507042273</v>
      </c>
      <c r="AK472" s="5">
        <f t="shared" si="130"/>
        <v>13.272248711990134</v>
      </c>
    </row>
    <row r="473" spans="1:37" x14ac:dyDescent="0.3">
      <c r="A473">
        <v>5373955</v>
      </c>
      <c r="B473">
        <v>120</v>
      </c>
      <c r="C473">
        <v>28.5</v>
      </c>
      <c r="D473">
        <v>0</v>
      </c>
      <c r="E473">
        <v>26717.83450000003</v>
      </c>
      <c r="F473">
        <v>7213.8153150000071</v>
      </c>
      <c r="G473">
        <v>19504.019185000019</v>
      </c>
      <c r="H473">
        <v>8905.9448333333421</v>
      </c>
      <c r="I473">
        <v>-8423.558040815713</v>
      </c>
      <c r="J473">
        <v>7986.1216907580929</v>
      </c>
      <c r="K473">
        <v>26017.15831517048</v>
      </c>
      <c r="L473">
        <v>12421.21027544901</v>
      </c>
      <c r="M473">
        <v>0</v>
      </c>
      <c r="N473">
        <v>14096.579883812819</v>
      </c>
      <c r="O473">
        <v>16075.712695547551</v>
      </c>
      <c r="P473" s="2">
        <v>45079.291666666657</v>
      </c>
      <c r="Q473" s="2">
        <v>45081.625</v>
      </c>
      <c r="R473">
        <v>1868.030763582083</v>
      </c>
      <c r="S473">
        <v>5.0039061903953552</v>
      </c>
      <c r="T473">
        <f t="shared" si="131"/>
        <v>1.7728607458811809</v>
      </c>
      <c r="U473">
        <f t="shared" si="132"/>
        <v>0</v>
      </c>
      <c r="V473">
        <f t="shared" si="133"/>
        <v>1662</v>
      </c>
      <c r="W473">
        <f t="shared" si="134"/>
        <v>448.73999999999995</v>
      </c>
      <c r="X473">
        <f t="shared" si="135"/>
        <v>1213.26</v>
      </c>
      <c r="Y473">
        <f t="shared" si="136"/>
        <v>553.99999999999989</v>
      </c>
      <c r="Z473">
        <f t="shared" si="137"/>
        <v>-523.99282074434961</v>
      </c>
      <c r="AA473">
        <f t="shared" si="138"/>
        <v>496.78181253948321</v>
      </c>
      <c r="AB473">
        <f t="shared" si="139"/>
        <v>1618.4139893453298</v>
      </c>
      <c r="AC473">
        <f t="shared" si="140"/>
        <v>772.66933732208838</v>
      </c>
      <c r="AD473">
        <f t="shared" si="141"/>
        <v>0</v>
      </c>
      <c r="AE473">
        <f t="shared" si="142"/>
        <v>876.88677639263312</v>
      </c>
      <c r="AF473">
        <f t="shared" si="143"/>
        <v>1000</v>
      </c>
      <c r="AG473">
        <f t="shared" si="144"/>
        <v>-116.2020495737938</v>
      </c>
      <c r="AH473">
        <f t="shared" si="145"/>
        <v>116.2020495737938</v>
      </c>
      <c r="AI473" s="5">
        <f t="shared" si="128"/>
        <v>0</v>
      </c>
      <c r="AJ473" s="5">
        <f t="shared" si="129"/>
        <v>0.45126353790613721</v>
      </c>
      <c r="AK473" s="5">
        <f t="shared" si="130"/>
        <v>8.6057001891774085</v>
      </c>
    </row>
    <row r="474" spans="1:37" x14ac:dyDescent="0.3">
      <c r="A474">
        <v>5374272</v>
      </c>
      <c r="B474" t="s">
        <v>48</v>
      </c>
      <c r="C474">
        <v>69.916666666666671</v>
      </c>
      <c r="D474">
        <v>0</v>
      </c>
      <c r="E474">
        <v>122978.27</v>
      </c>
      <c r="F474">
        <v>33204.13289999999</v>
      </c>
      <c r="G474">
        <v>89774.137099999964</v>
      </c>
      <c r="I474">
        <v>0</v>
      </c>
      <c r="J474">
        <v>31161.655448786281</v>
      </c>
      <c r="K474">
        <v>72825.095314148159</v>
      </c>
      <c r="L474">
        <v>0</v>
      </c>
      <c r="M474">
        <v>0</v>
      </c>
      <c r="N474">
        <v>64636.44905587488</v>
      </c>
      <c r="O474">
        <v>54127.759683098571</v>
      </c>
      <c r="P474" s="2">
        <v>45081.625</v>
      </c>
      <c r="Q474" s="2">
        <v>45085.211805555547</v>
      </c>
      <c r="R474">
        <v>6625.551668407501</v>
      </c>
      <c r="S474">
        <v>5.0040508641137018</v>
      </c>
      <c r="T474">
        <f t="shared" si="131"/>
        <v>1.2916970344977754</v>
      </c>
      <c r="U474">
        <f t="shared" si="132"/>
        <v>0</v>
      </c>
      <c r="V474">
        <f t="shared" si="133"/>
        <v>2272.0000000000009</v>
      </c>
      <c r="W474">
        <f t="shared" si="134"/>
        <v>613.44000000000005</v>
      </c>
      <c r="X474">
        <f t="shared" si="135"/>
        <v>1658.56</v>
      </c>
      <c r="Y474">
        <f t="shared" si="136"/>
        <v>0</v>
      </c>
      <c r="Z474">
        <f t="shared" si="137"/>
        <v>0</v>
      </c>
      <c r="AA474">
        <f t="shared" si="138"/>
        <v>575.70562002248414</v>
      </c>
      <c r="AB474">
        <f t="shared" si="139"/>
        <v>1345.429697081807</v>
      </c>
      <c r="AC474">
        <f t="shared" si="140"/>
        <v>0</v>
      </c>
      <c r="AD474">
        <f t="shared" si="141"/>
        <v>0</v>
      </c>
      <c r="AE474">
        <f t="shared" si="142"/>
        <v>1194.1460247810267</v>
      </c>
      <c r="AF474">
        <f t="shared" si="143"/>
        <v>1000</v>
      </c>
      <c r="AG474">
        <f t="shared" si="144"/>
        <v>-122.40579893197267</v>
      </c>
      <c r="AH474">
        <f t="shared" si="145"/>
        <v>122.40579893197267</v>
      </c>
      <c r="AI474" s="5">
        <f t="shared" si="128"/>
        <v>0</v>
      </c>
      <c r="AJ474" s="5">
        <f t="shared" si="129"/>
        <v>0.44014084507042234</v>
      </c>
      <c r="AK474" s="5">
        <f t="shared" si="130"/>
        <v>8.169547592722731</v>
      </c>
    </row>
    <row r="475" spans="1:37" x14ac:dyDescent="0.3">
      <c r="A475">
        <v>5374593</v>
      </c>
      <c r="B475" t="s">
        <v>56</v>
      </c>
      <c r="C475">
        <v>110</v>
      </c>
      <c r="D475">
        <v>0</v>
      </c>
      <c r="E475">
        <v>160662.30750000011</v>
      </c>
      <c r="F475">
        <v>120482.25750000001</v>
      </c>
      <c r="G475">
        <v>40180.050000000003</v>
      </c>
      <c r="H475">
        <v>17851.3675</v>
      </c>
      <c r="I475">
        <v>-12074.96845205293</v>
      </c>
      <c r="J475">
        <v>37785.75475232902</v>
      </c>
      <c r="K475">
        <v>111050.91972573291</v>
      </c>
      <c r="L475">
        <v>35939.23573501085</v>
      </c>
      <c r="M475">
        <v>0</v>
      </c>
      <c r="N475">
        <v>103976.2641630888</v>
      </c>
      <c r="O475">
        <v>78226.851446099929</v>
      </c>
      <c r="P475" s="2">
        <v>45085.729166666657</v>
      </c>
      <c r="Q475" s="2">
        <v>45092.822916666657</v>
      </c>
      <c r="R475">
        <v>12025.94395742533</v>
      </c>
      <c r="S475">
        <v>5.0038460951585044</v>
      </c>
      <c r="T475">
        <f t="shared" si="131"/>
        <v>1.4061667824607831</v>
      </c>
      <c r="U475">
        <f t="shared" si="132"/>
        <v>0</v>
      </c>
      <c r="V475">
        <f t="shared" si="133"/>
        <v>2053.8000000000011</v>
      </c>
      <c r="W475">
        <f t="shared" si="134"/>
        <v>1540.1649852035141</v>
      </c>
      <c r="X475">
        <f t="shared" si="135"/>
        <v>513.63501479648539</v>
      </c>
      <c r="Y475">
        <f t="shared" si="136"/>
        <v>228.19999999999996</v>
      </c>
      <c r="Z475">
        <f t="shared" si="137"/>
        <v>-154.35835942307938</v>
      </c>
      <c r="AA475">
        <f t="shared" si="138"/>
        <v>483.02793802667952</v>
      </c>
      <c r="AB475">
        <f t="shared" si="139"/>
        <v>1419.6010407276779</v>
      </c>
      <c r="AC475">
        <f t="shared" si="140"/>
        <v>459.42326797818004</v>
      </c>
      <c r="AD475">
        <f t="shared" si="141"/>
        <v>0</v>
      </c>
      <c r="AE475">
        <f t="shared" si="142"/>
        <v>1329.1633530045729</v>
      </c>
      <c r="AF475">
        <f t="shared" si="143"/>
        <v>999.99999999999989</v>
      </c>
      <c r="AG475">
        <f t="shared" si="144"/>
        <v>-153.73166291514977</v>
      </c>
      <c r="AH475">
        <f t="shared" si="145"/>
        <v>153.73166291514977</v>
      </c>
      <c r="AI475" s="5">
        <f t="shared" si="128"/>
        <v>0</v>
      </c>
      <c r="AJ475" s="5">
        <f t="shared" si="129"/>
        <v>0.43821209465381228</v>
      </c>
      <c r="AK475" s="5">
        <f t="shared" si="130"/>
        <v>6.5048408443479682</v>
      </c>
    </row>
    <row r="476" spans="1:37" x14ac:dyDescent="0.3">
      <c r="A476">
        <v>5374965</v>
      </c>
      <c r="B476" t="s">
        <v>48</v>
      </c>
      <c r="C476">
        <v>71.416666666666671</v>
      </c>
      <c r="D476">
        <v>0</v>
      </c>
      <c r="E476">
        <v>132078.07750000001</v>
      </c>
      <c r="F476">
        <v>132078.07750000001</v>
      </c>
      <c r="G476">
        <v>0</v>
      </c>
      <c r="I476">
        <v>0</v>
      </c>
      <c r="J476">
        <v>30384.632937627379</v>
      </c>
      <c r="K476">
        <v>76314.453998647106</v>
      </c>
      <c r="L476">
        <v>0</v>
      </c>
      <c r="M476">
        <v>0</v>
      </c>
      <c r="N476">
        <v>70701.28411133906</v>
      </c>
      <c r="O476">
        <v>58132.956646126739</v>
      </c>
      <c r="P476" s="2">
        <v>45092.819444444453</v>
      </c>
      <c r="Q476" s="2">
        <v>45095.798611111109</v>
      </c>
      <c r="R476">
        <v>32.174999999999997</v>
      </c>
      <c r="S476">
        <v>5.0038460951585044</v>
      </c>
      <c r="T476">
        <f t="shared" si="131"/>
        <v>1.2285056667838516</v>
      </c>
      <c r="U476">
        <f t="shared" si="132"/>
        <v>0</v>
      </c>
      <c r="V476">
        <f t="shared" si="133"/>
        <v>2272.0000000000009</v>
      </c>
      <c r="W476">
        <f t="shared" si="134"/>
        <v>2272.0000000000009</v>
      </c>
      <c r="X476">
        <f t="shared" si="135"/>
        <v>0</v>
      </c>
      <c r="Y476">
        <f t="shared" si="136"/>
        <v>0</v>
      </c>
      <c r="Z476">
        <f t="shared" si="137"/>
        <v>0</v>
      </c>
      <c r="AA476">
        <f t="shared" si="138"/>
        <v>522.67482492913655</v>
      </c>
      <c r="AB476">
        <f t="shared" si="139"/>
        <v>1312.7571415848804</v>
      </c>
      <c r="AC476">
        <f t="shared" si="140"/>
        <v>0</v>
      </c>
      <c r="AD476">
        <f t="shared" si="141"/>
        <v>0</v>
      </c>
      <c r="AE476">
        <f t="shared" si="142"/>
        <v>1216.1996944645291</v>
      </c>
      <c r="AF476">
        <f t="shared" si="143"/>
        <v>1000</v>
      </c>
      <c r="AG476">
        <f t="shared" si="144"/>
        <v>-0.55347262303995926</v>
      </c>
      <c r="AH476">
        <f t="shared" si="145"/>
        <v>0.55347262303995926</v>
      </c>
      <c r="AI476" s="5">
        <f t="shared" si="128"/>
        <v>0</v>
      </c>
      <c r="AJ476" s="5">
        <f t="shared" si="129"/>
        <v>0.44014084507042234</v>
      </c>
      <c r="AK476" s="5">
        <f t="shared" si="130"/>
        <v>1806.7740993357186</v>
      </c>
    </row>
    <row r="477" spans="1:37" x14ac:dyDescent="0.3">
      <c r="A477">
        <v>5375015</v>
      </c>
      <c r="B477" t="s">
        <v>32</v>
      </c>
      <c r="C477">
        <v>14.58333333333333</v>
      </c>
      <c r="D477">
        <v>23892.36632614168</v>
      </c>
      <c r="I477">
        <v>2916.2721309276658</v>
      </c>
      <c r="J477">
        <v>2950.0738976188418</v>
      </c>
      <c r="K477">
        <v>4663.6525009754923</v>
      </c>
      <c r="L477">
        <v>4692.9977347167551</v>
      </c>
      <c r="M477">
        <v>0</v>
      </c>
      <c r="N477">
        <v>688.17096615223386</v>
      </c>
      <c r="O477">
        <v>11081.802563145489</v>
      </c>
      <c r="P477" s="2">
        <v>45099.645833333343</v>
      </c>
      <c r="Q477" s="2">
        <v>45100.774305555547</v>
      </c>
      <c r="R477">
        <v>68936.965892405889</v>
      </c>
      <c r="S477">
        <v>7.3020272274388276</v>
      </c>
      <c r="T477">
        <f t="shared" si="131"/>
        <v>1.3159712285285434</v>
      </c>
      <c r="U477">
        <f t="shared" si="132"/>
        <v>2156.0000000000005</v>
      </c>
      <c r="V477">
        <f t="shared" si="133"/>
        <v>0</v>
      </c>
      <c r="W477">
        <f t="shared" si="134"/>
        <v>0</v>
      </c>
      <c r="X477">
        <f t="shared" si="135"/>
        <v>0</v>
      </c>
      <c r="Y477">
        <f t="shared" si="136"/>
        <v>0</v>
      </c>
      <c r="Z477">
        <f t="shared" si="137"/>
        <v>263.15864357900119</v>
      </c>
      <c r="AA477">
        <f t="shared" si="138"/>
        <v>266.208848317677</v>
      </c>
      <c r="AB477">
        <f t="shared" si="139"/>
        <v>420.83880076381263</v>
      </c>
      <c r="AC477">
        <f t="shared" si="140"/>
        <v>423.48685676138609</v>
      </c>
      <c r="AD477">
        <f t="shared" si="141"/>
        <v>0</v>
      </c>
      <c r="AE477">
        <f t="shared" si="142"/>
        <v>62.099190292459205</v>
      </c>
      <c r="AF477">
        <f t="shared" si="143"/>
        <v>999.99999999999989</v>
      </c>
      <c r="AG477">
        <f t="shared" si="144"/>
        <v>-4064.7357963286636</v>
      </c>
      <c r="AH477">
        <f t="shared" si="145"/>
        <v>6220.735796328664</v>
      </c>
      <c r="AI477" s="5">
        <f t="shared" si="128"/>
        <v>0.46382189239332083</v>
      </c>
      <c r="AJ477" s="5">
        <f t="shared" si="129"/>
        <v>0</v>
      </c>
      <c r="AK477" s="5">
        <f t="shared" si="130"/>
        <v>0.16075268790392563</v>
      </c>
    </row>
    <row r="478" spans="1:37" x14ac:dyDescent="0.3">
      <c r="A478">
        <v>5375020</v>
      </c>
      <c r="B478" t="s">
        <v>43</v>
      </c>
      <c r="C478">
        <v>29.916666666666671</v>
      </c>
      <c r="D478">
        <v>55615.254496342917</v>
      </c>
      <c r="I478">
        <v>5427.7934298486634</v>
      </c>
      <c r="J478">
        <v>5374.5508714680254</v>
      </c>
      <c r="K478">
        <v>9437.3965002897239</v>
      </c>
      <c r="L478">
        <v>9458.4969979550115</v>
      </c>
      <c r="M478">
        <v>0</v>
      </c>
      <c r="N478">
        <v>4804.92681697225</v>
      </c>
      <c r="O478">
        <v>24003.130986768629</v>
      </c>
      <c r="P478" s="2">
        <v>45100.982638888891</v>
      </c>
      <c r="Q478" s="2">
        <v>45103.399305555547</v>
      </c>
      <c r="R478">
        <v>109273.2897829741</v>
      </c>
      <c r="S478">
        <v>6.4301641023037783</v>
      </c>
      <c r="T478">
        <f t="shared" si="131"/>
        <v>1.2463651797408344</v>
      </c>
      <c r="U478">
        <f t="shared" si="132"/>
        <v>2317.0000000000005</v>
      </c>
      <c r="V478">
        <f t="shared" si="133"/>
        <v>0</v>
      </c>
      <c r="W478">
        <f t="shared" si="134"/>
        <v>0</v>
      </c>
      <c r="X478">
        <f t="shared" si="135"/>
        <v>0</v>
      </c>
      <c r="Y478">
        <f t="shared" si="136"/>
        <v>0</v>
      </c>
      <c r="Z478">
        <f t="shared" si="137"/>
        <v>226.12855934672248</v>
      </c>
      <c r="AA478">
        <f t="shared" si="138"/>
        <v>223.91040878919785</v>
      </c>
      <c r="AB478">
        <f t="shared" si="139"/>
        <v>393.17356162793715</v>
      </c>
      <c r="AC478">
        <f t="shared" si="140"/>
        <v>394.05263434878009</v>
      </c>
      <c r="AD478">
        <f t="shared" si="141"/>
        <v>0</v>
      </c>
      <c r="AE478">
        <f t="shared" si="142"/>
        <v>200.17916911010047</v>
      </c>
      <c r="AF478">
        <f t="shared" si="143"/>
        <v>1000</v>
      </c>
      <c r="AG478">
        <f t="shared" si="144"/>
        <v>-2235.4598371441366</v>
      </c>
      <c r="AH478">
        <f t="shared" si="145"/>
        <v>4552.4598371441371</v>
      </c>
      <c r="AI478" s="5">
        <f t="shared" si="128"/>
        <v>0.4315925766076823</v>
      </c>
      <c r="AJ478" s="5">
        <f t="shared" si="129"/>
        <v>0</v>
      </c>
      <c r="AK478" s="5">
        <f t="shared" si="130"/>
        <v>0.21966146561928224</v>
      </c>
    </row>
    <row r="479" spans="1:37" x14ac:dyDescent="0.3">
      <c r="A479">
        <v>5375852</v>
      </c>
      <c r="B479" t="s">
        <v>41</v>
      </c>
      <c r="C479">
        <v>22.75</v>
      </c>
      <c r="D479">
        <v>61620.348517945473</v>
      </c>
      <c r="I479">
        <v>7492.6321110656254</v>
      </c>
      <c r="J479">
        <v>6148.4835449432258</v>
      </c>
      <c r="K479">
        <v>0</v>
      </c>
      <c r="L479">
        <v>23.47809630477116</v>
      </c>
      <c r="M479">
        <v>4761.294004527077</v>
      </c>
      <c r="N479">
        <v>8.0393158712604027</v>
      </c>
      <c r="O479">
        <v>28580.866659529431</v>
      </c>
      <c r="P479" s="2">
        <v>45104.177083333343</v>
      </c>
      <c r="Q479" s="2">
        <v>45105.125</v>
      </c>
      <c r="R479">
        <v>61620.333286836751</v>
      </c>
      <c r="S479">
        <v>6.466985450682885</v>
      </c>
      <c r="T479">
        <f t="shared" si="131"/>
        <v>0.7959870591403041</v>
      </c>
      <c r="U479">
        <f t="shared" si="132"/>
        <v>2156.0000000000009</v>
      </c>
      <c r="V479">
        <f t="shared" si="133"/>
        <v>0</v>
      </c>
      <c r="W479">
        <f t="shared" si="134"/>
        <v>0</v>
      </c>
      <c r="X479">
        <f t="shared" si="135"/>
        <v>0</v>
      </c>
      <c r="Y479">
        <f t="shared" si="136"/>
        <v>0</v>
      </c>
      <c r="Z479">
        <f t="shared" si="137"/>
        <v>262.15552524427846</v>
      </c>
      <c r="AA479">
        <f t="shared" si="138"/>
        <v>215.12586088404001</v>
      </c>
      <c r="AB479">
        <f t="shared" si="139"/>
        <v>0</v>
      </c>
      <c r="AC479">
        <f t="shared" si="140"/>
        <v>0.82146201458670931</v>
      </c>
      <c r="AD479">
        <f t="shared" si="141"/>
        <v>166.59025988421408</v>
      </c>
      <c r="AE479">
        <f t="shared" si="142"/>
        <v>0.2812831383676721</v>
      </c>
      <c r="AF479">
        <f t="shared" si="143"/>
        <v>999.99999999999989</v>
      </c>
      <c r="AG479">
        <f t="shared" si="144"/>
        <v>5.3291276663003373E-4</v>
      </c>
      <c r="AH479">
        <f t="shared" si="145"/>
        <v>2155.9994670872343</v>
      </c>
      <c r="AI479" s="5">
        <f t="shared" si="128"/>
        <v>0.46382189239332083</v>
      </c>
      <c r="AJ479" s="5">
        <f t="shared" si="129"/>
        <v>0</v>
      </c>
      <c r="AK479" s="5">
        <f t="shared" si="130"/>
        <v>0.46382200703927118</v>
      </c>
    </row>
    <row r="480" spans="1:37" x14ac:dyDescent="0.3">
      <c r="A480">
        <v>5375761</v>
      </c>
      <c r="B480" t="s">
        <v>34</v>
      </c>
      <c r="C480">
        <v>10.16666666666667</v>
      </c>
      <c r="D480">
        <v>19159.44872486926</v>
      </c>
      <c r="I480">
        <v>-24726.888677806852</v>
      </c>
      <c r="J480">
        <v>1739.88096499678</v>
      </c>
      <c r="K480">
        <v>3386.909462213679</v>
      </c>
      <c r="L480">
        <v>3360.8471652348871</v>
      </c>
      <c r="M480">
        <v>0</v>
      </c>
      <c r="N480">
        <v>1753.5001427505019</v>
      </c>
      <c r="O480">
        <v>8269.0758415490982</v>
      </c>
      <c r="P480" s="2">
        <v>45103.402777777781</v>
      </c>
      <c r="Q480" s="2">
        <v>45103.826388888891</v>
      </c>
      <c r="R480">
        <v>19160.238461798621</v>
      </c>
      <c r="S480">
        <v>7.1600709844466426</v>
      </c>
      <c r="T480">
        <f t="shared" si="131"/>
        <v>1.2294803991980419</v>
      </c>
      <c r="U480">
        <f t="shared" si="132"/>
        <v>2317</v>
      </c>
      <c r="V480">
        <f t="shared" si="133"/>
        <v>0</v>
      </c>
      <c r="W480">
        <f t="shared" si="134"/>
        <v>0</v>
      </c>
      <c r="X480">
        <f t="shared" si="135"/>
        <v>0</v>
      </c>
      <c r="Y480">
        <f t="shared" si="136"/>
        <v>0</v>
      </c>
      <c r="Z480">
        <f t="shared" si="137"/>
        <v>-2990.2844225425083</v>
      </c>
      <c r="AA480">
        <f t="shared" si="138"/>
        <v>210.4081518099654</v>
      </c>
      <c r="AB480">
        <f t="shared" si="139"/>
        <v>409.58742271968185</v>
      </c>
      <c r="AC480">
        <f t="shared" si="140"/>
        <v>406.43564403507492</v>
      </c>
      <c r="AD480">
        <f t="shared" si="141"/>
        <v>0</v>
      </c>
      <c r="AE480">
        <f t="shared" si="142"/>
        <v>212.05515300026656</v>
      </c>
      <c r="AF480">
        <f t="shared" si="143"/>
        <v>1000</v>
      </c>
      <c r="AG480">
        <f t="shared" si="144"/>
        <v>-9.5504859852553636E-2</v>
      </c>
      <c r="AH480">
        <f t="shared" si="145"/>
        <v>2317.0955048598526</v>
      </c>
      <c r="AI480" s="5">
        <f t="shared" si="128"/>
        <v>0.43159257660768235</v>
      </c>
      <c r="AJ480" s="5">
        <f t="shared" si="129"/>
        <v>0</v>
      </c>
      <c r="AK480" s="5">
        <f t="shared" si="130"/>
        <v>0.43157478744514849</v>
      </c>
    </row>
    <row r="481" spans="1:37" x14ac:dyDescent="0.3">
      <c r="A481">
        <v>5375764</v>
      </c>
      <c r="B481" t="s">
        <v>46</v>
      </c>
      <c r="C481">
        <v>6.5</v>
      </c>
      <c r="D481">
        <v>12295.215309531161</v>
      </c>
      <c r="J481">
        <v>1002.942515080418</v>
      </c>
      <c r="K481">
        <v>15.914624859760661</v>
      </c>
      <c r="M481">
        <v>3794.15139727421</v>
      </c>
      <c r="N481">
        <v>54.54385996695391</v>
      </c>
      <c r="O481">
        <v>5306.5236553867744</v>
      </c>
      <c r="P481" s="2">
        <v>45103.822916666657</v>
      </c>
      <c r="Q481" s="2">
        <v>45104.09375</v>
      </c>
      <c r="R481">
        <v>12297.28189707096</v>
      </c>
      <c r="S481">
        <v>6.7970257638474827</v>
      </c>
      <c r="T481">
        <f t="shared" si="131"/>
        <v>1.2249073823315006</v>
      </c>
      <c r="U481">
        <f t="shared" si="132"/>
        <v>2317.0000000000005</v>
      </c>
      <c r="V481">
        <f t="shared" si="133"/>
        <v>0</v>
      </c>
      <c r="W481">
        <f t="shared" si="134"/>
        <v>0</v>
      </c>
      <c r="X481">
        <f t="shared" si="135"/>
        <v>0</v>
      </c>
      <c r="Y481">
        <f t="shared" si="136"/>
        <v>0</v>
      </c>
      <c r="Z481">
        <f t="shared" si="137"/>
        <v>0</v>
      </c>
      <c r="AA481">
        <f t="shared" si="138"/>
        <v>189.00179858094253</v>
      </c>
      <c r="AB481">
        <f t="shared" si="139"/>
        <v>2.9990679196549626</v>
      </c>
      <c r="AC481">
        <f t="shared" si="140"/>
        <v>0</v>
      </c>
      <c r="AD481">
        <f t="shared" si="141"/>
        <v>714.99754710839363</v>
      </c>
      <c r="AE481">
        <f t="shared" si="142"/>
        <v>10.278642574519607</v>
      </c>
      <c r="AF481">
        <f t="shared" si="143"/>
        <v>1000.0000000000001</v>
      </c>
      <c r="AG481">
        <f t="shared" si="144"/>
        <v>-0.38944282057491364</v>
      </c>
      <c r="AH481">
        <f t="shared" si="145"/>
        <v>2317.3894428205754</v>
      </c>
      <c r="AI481" s="5">
        <f t="shared" si="128"/>
        <v>0.43159257660768219</v>
      </c>
      <c r="AJ481" s="5">
        <f t="shared" si="129"/>
        <v>0</v>
      </c>
      <c r="AK481" s="5">
        <f t="shared" si="130"/>
        <v>0.43152004644625686</v>
      </c>
    </row>
    <row r="482" spans="1:37" x14ac:dyDescent="0.3">
      <c r="A482">
        <v>5375849</v>
      </c>
      <c r="B482" t="s">
        <v>42</v>
      </c>
      <c r="C482">
        <v>74.166666666666671</v>
      </c>
      <c r="D482">
        <v>206448.49681802531</v>
      </c>
      <c r="I482">
        <v>21664.080859856778</v>
      </c>
      <c r="J482">
        <v>22944.188908167202</v>
      </c>
      <c r="K482">
        <v>2252.2346821623269</v>
      </c>
      <c r="L482">
        <v>2295.7791195485129</v>
      </c>
      <c r="M482">
        <v>58111.886704741861</v>
      </c>
      <c r="N482">
        <v>36533.855918653469</v>
      </c>
      <c r="O482">
        <v>95755.33247589301</v>
      </c>
      <c r="P482" s="2">
        <v>45105.125</v>
      </c>
      <c r="Q482" s="2">
        <v>45108.215277777781</v>
      </c>
      <c r="R482">
        <v>206448.24033693931</v>
      </c>
      <c r="S482">
        <v>7.5655013654770729</v>
      </c>
      <c r="T482">
        <f t="shared" si="131"/>
        <v>0.77454346143426089</v>
      </c>
      <c r="U482">
        <f t="shared" si="132"/>
        <v>2155.9999999999995</v>
      </c>
      <c r="V482">
        <f t="shared" si="133"/>
        <v>0</v>
      </c>
      <c r="W482">
        <f t="shared" si="134"/>
        <v>0</v>
      </c>
      <c r="X482">
        <f t="shared" si="135"/>
        <v>0</v>
      </c>
      <c r="Y482">
        <f t="shared" si="136"/>
        <v>0</v>
      </c>
      <c r="Z482">
        <f t="shared" si="137"/>
        <v>226.24411925373286</v>
      </c>
      <c r="AA482">
        <f t="shared" si="138"/>
        <v>239.61264939415818</v>
      </c>
      <c r="AB482">
        <f t="shared" si="139"/>
        <v>23.520723326080461</v>
      </c>
      <c r="AC482">
        <f t="shared" si="140"/>
        <v>23.975470192498047</v>
      </c>
      <c r="AD482">
        <f t="shared" si="141"/>
        <v>606.87885679235546</v>
      </c>
      <c r="AE482">
        <f t="shared" si="142"/>
        <v>381.53338277898087</v>
      </c>
      <c r="AF482">
        <f t="shared" si="143"/>
        <v>1000</v>
      </c>
      <c r="AG482">
        <f t="shared" si="144"/>
        <v>2.6785044692587689E-3</v>
      </c>
      <c r="AH482">
        <f t="shared" si="145"/>
        <v>2155.9973214955303</v>
      </c>
      <c r="AI482" s="5">
        <f t="shared" si="128"/>
        <v>0.463821892393321</v>
      </c>
      <c r="AJ482" s="5">
        <f t="shared" si="129"/>
        <v>0</v>
      </c>
      <c r="AK482" s="5">
        <f t="shared" si="130"/>
        <v>0.46382246862270654</v>
      </c>
    </row>
    <row r="483" spans="1:37" x14ac:dyDescent="0.3">
      <c r="A483">
        <v>5376297</v>
      </c>
      <c r="B483" t="s">
        <v>32</v>
      </c>
      <c r="C483">
        <v>20.916666666666671</v>
      </c>
      <c r="D483">
        <v>54141.72985496834</v>
      </c>
      <c r="I483">
        <v>6009.6729644065299</v>
      </c>
      <c r="J483">
        <v>6013.7003998891378</v>
      </c>
      <c r="K483">
        <v>292.96058335293861</v>
      </c>
      <c r="L483">
        <v>291.3737224470978</v>
      </c>
      <c r="M483">
        <v>19675.50046521008</v>
      </c>
      <c r="N483">
        <v>11679.354863352721</v>
      </c>
      <c r="O483">
        <v>25112.11959877938</v>
      </c>
      <c r="P483" s="2">
        <v>45108.291666666657</v>
      </c>
      <c r="Q483" s="2">
        <v>45109.163194444453</v>
      </c>
      <c r="R483">
        <v>54143.160579560797</v>
      </c>
      <c r="S483">
        <v>7.5104732223909929</v>
      </c>
      <c r="T483">
        <f t="shared" si="131"/>
        <v>0.83293115041087029</v>
      </c>
      <c r="U483">
        <f t="shared" si="132"/>
        <v>2156</v>
      </c>
      <c r="V483">
        <f t="shared" si="133"/>
        <v>0</v>
      </c>
      <c r="W483">
        <f t="shared" si="134"/>
        <v>0</v>
      </c>
      <c r="X483">
        <f t="shared" si="135"/>
        <v>0</v>
      </c>
      <c r="Y483">
        <f t="shared" si="136"/>
        <v>0</v>
      </c>
      <c r="Z483">
        <f t="shared" si="137"/>
        <v>239.31364856587575</v>
      </c>
      <c r="AA483">
        <f t="shared" si="138"/>
        <v>239.47402672379135</v>
      </c>
      <c r="AB483">
        <f t="shared" si="139"/>
        <v>11.666103380902124</v>
      </c>
      <c r="AC483">
        <f t="shared" si="140"/>
        <v>11.602912342821933</v>
      </c>
      <c r="AD483">
        <f t="shared" si="141"/>
        <v>783.50616274408173</v>
      </c>
      <c r="AE483">
        <f t="shared" si="142"/>
        <v>465.08837366004013</v>
      </c>
      <c r="AF483">
        <f t="shared" si="143"/>
        <v>1000</v>
      </c>
      <c r="AG483">
        <f t="shared" si="144"/>
        <v>-5.6973469994318293E-2</v>
      </c>
      <c r="AH483">
        <f t="shared" si="145"/>
        <v>2156.0569734699943</v>
      </c>
      <c r="AI483" s="5">
        <f t="shared" si="128"/>
        <v>0.463821892393321</v>
      </c>
      <c r="AJ483" s="5">
        <f t="shared" si="129"/>
        <v>0</v>
      </c>
      <c r="AK483" s="5">
        <f t="shared" si="130"/>
        <v>0.46380963597199532</v>
      </c>
    </row>
    <row r="484" spans="1:37" x14ac:dyDescent="0.3">
      <c r="A484">
        <v>5376301</v>
      </c>
      <c r="B484" t="s">
        <v>42</v>
      </c>
      <c r="C484">
        <v>24.083333333333329</v>
      </c>
      <c r="D484">
        <v>50567.580073038</v>
      </c>
      <c r="I484">
        <v>894.74684988134356</v>
      </c>
      <c r="J484">
        <v>5796.9046605356698</v>
      </c>
      <c r="K484">
        <v>2308.1961449301102</v>
      </c>
      <c r="L484">
        <v>911.17262555476941</v>
      </c>
      <c r="M484">
        <v>8948.3372598375208</v>
      </c>
      <c r="N484">
        <v>7000.1786664707925</v>
      </c>
      <c r="O484">
        <v>23454.350683227269</v>
      </c>
      <c r="P484" s="2">
        <v>45109.163194444453</v>
      </c>
      <c r="Q484" s="2">
        <v>45110.166666666657</v>
      </c>
      <c r="R484">
        <v>63239.904154478303</v>
      </c>
      <c r="S484">
        <v>6.3466710346386224</v>
      </c>
      <c r="T484">
        <f t="shared" si="131"/>
        <v>1.0268173124296236</v>
      </c>
      <c r="U484">
        <f t="shared" si="132"/>
        <v>2156.0000000000005</v>
      </c>
      <c r="V484">
        <f t="shared" si="133"/>
        <v>0</v>
      </c>
      <c r="W484">
        <f t="shared" si="134"/>
        <v>0</v>
      </c>
      <c r="X484">
        <f t="shared" si="135"/>
        <v>0</v>
      </c>
      <c r="Y484">
        <f t="shared" si="136"/>
        <v>0</v>
      </c>
      <c r="Z484">
        <f t="shared" si="137"/>
        <v>38.148438298963313</v>
      </c>
      <c r="AA484">
        <f t="shared" si="138"/>
        <v>247.15690230901026</v>
      </c>
      <c r="AB484">
        <f t="shared" si="139"/>
        <v>98.412280779137191</v>
      </c>
      <c r="AC484">
        <f t="shared" si="140"/>
        <v>38.848767883664728</v>
      </c>
      <c r="AD484">
        <f t="shared" si="141"/>
        <v>381.5214234959264</v>
      </c>
      <c r="AE484">
        <f t="shared" si="142"/>
        <v>298.45970843596098</v>
      </c>
      <c r="AF484">
        <f t="shared" si="143"/>
        <v>999.99999999999989</v>
      </c>
      <c r="AG484">
        <f t="shared" si="144"/>
        <v>-540.29737393252844</v>
      </c>
      <c r="AH484">
        <f t="shared" si="145"/>
        <v>2696.2973739325289</v>
      </c>
      <c r="AI484" s="5">
        <f t="shared" si="128"/>
        <v>0.46382189239332089</v>
      </c>
      <c r="AJ484" s="5">
        <f t="shared" si="129"/>
        <v>0</v>
      </c>
      <c r="AK484" s="5">
        <f t="shared" si="130"/>
        <v>0.37087897264889136</v>
      </c>
    </row>
    <row r="485" spans="1:37" x14ac:dyDescent="0.3">
      <c r="A485">
        <v>5376451</v>
      </c>
      <c r="B485" t="s">
        <v>32</v>
      </c>
      <c r="C485">
        <v>155</v>
      </c>
      <c r="D485">
        <v>398628.04271822551</v>
      </c>
      <c r="I485">
        <v>1825.676389020038</v>
      </c>
      <c r="J485">
        <v>31783.441916341078</v>
      </c>
      <c r="K485">
        <v>943.45456127000421</v>
      </c>
      <c r="L485">
        <v>-24278.526068461459</v>
      </c>
      <c r="M485">
        <v>130382.93090363769</v>
      </c>
      <c r="N485">
        <v>83699.128834674208</v>
      </c>
      <c r="O485">
        <v>184892.4131346129</v>
      </c>
      <c r="P485" s="2">
        <v>45110.583333333343</v>
      </c>
      <c r="Q485" s="2">
        <v>45124.885416666657</v>
      </c>
      <c r="R485">
        <v>882479.35949497647</v>
      </c>
      <c r="S485">
        <v>7.6470615346486399</v>
      </c>
      <c r="T485">
        <f t="shared" si="131"/>
        <v>0.83832536647758815</v>
      </c>
      <c r="U485">
        <f t="shared" si="132"/>
        <v>2156.0000000000005</v>
      </c>
      <c r="V485">
        <f t="shared" si="133"/>
        <v>0</v>
      </c>
      <c r="W485">
        <f t="shared" si="134"/>
        <v>0</v>
      </c>
      <c r="X485">
        <f t="shared" si="135"/>
        <v>0</v>
      </c>
      <c r="Y485">
        <f t="shared" si="136"/>
        <v>0</v>
      </c>
      <c r="Z485">
        <f t="shared" si="137"/>
        <v>9.8742634057722789</v>
      </c>
      <c r="AA485">
        <f t="shared" si="138"/>
        <v>171.90235866087593</v>
      </c>
      <c r="AB485">
        <f t="shared" si="139"/>
        <v>5.1027218763330868</v>
      </c>
      <c r="AC485">
        <f t="shared" si="140"/>
        <v>-131.3116404121202</v>
      </c>
      <c r="AD485">
        <f t="shared" si="141"/>
        <v>705.18269891751049</v>
      </c>
      <c r="AE485">
        <f t="shared" si="142"/>
        <v>452.69098615602019</v>
      </c>
      <c r="AF485">
        <f t="shared" si="143"/>
        <v>999.99999999999989</v>
      </c>
      <c r="AG485">
        <f t="shared" si="144"/>
        <v>-2616.9344029518284</v>
      </c>
      <c r="AH485">
        <f t="shared" si="145"/>
        <v>4772.9344029518288</v>
      </c>
      <c r="AI485" s="5">
        <f t="shared" si="128"/>
        <v>0.46382189239332083</v>
      </c>
      <c r="AJ485" s="5">
        <f t="shared" si="129"/>
        <v>0</v>
      </c>
      <c r="AK485" s="5">
        <f t="shared" si="130"/>
        <v>0.20951471685459336</v>
      </c>
    </row>
    <row r="486" spans="1:37" x14ac:dyDescent="0.3">
      <c r="A486">
        <v>5376454</v>
      </c>
      <c r="B486" t="s">
        <v>46</v>
      </c>
      <c r="C486">
        <v>23.5</v>
      </c>
      <c r="D486">
        <v>44394.560791768417</v>
      </c>
      <c r="I486">
        <v>3811.132597312941</v>
      </c>
      <c r="J486">
        <v>3801.5474271407979</v>
      </c>
      <c r="K486">
        <v>0</v>
      </c>
      <c r="L486">
        <v>-38.882178125589917</v>
      </c>
      <c r="M486">
        <v>11172.668421525441</v>
      </c>
      <c r="N486">
        <v>6994.6870350563368</v>
      </c>
      <c r="O486">
        <v>19160.362879485721</v>
      </c>
      <c r="P486" s="2">
        <v>45111.354166666657</v>
      </c>
      <c r="Q486" s="2">
        <v>45112.326388888891</v>
      </c>
      <c r="R486">
        <v>44008.121434335742</v>
      </c>
      <c r="S486">
        <v>6.5607828982513974</v>
      </c>
      <c r="T486">
        <f t="shared" si="131"/>
        <v>1.2264903409089691</v>
      </c>
      <c r="U486">
        <f t="shared" si="132"/>
        <v>2317</v>
      </c>
      <c r="V486">
        <f t="shared" si="133"/>
        <v>0</v>
      </c>
      <c r="W486">
        <f t="shared" si="134"/>
        <v>0</v>
      </c>
      <c r="X486">
        <f t="shared" si="135"/>
        <v>0</v>
      </c>
      <c r="Y486">
        <f t="shared" si="136"/>
        <v>0</v>
      </c>
      <c r="Z486">
        <f t="shared" si="137"/>
        <v>198.90711993734615</v>
      </c>
      <c r="AA486">
        <f t="shared" si="138"/>
        <v>198.40685957002262</v>
      </c>
      <c r="AB486">
        <f t="shared" si="139"/>
        <v>0</v>
      </c>
      <c r="AC486">
        <f t="shared" si="140"/>
        <v>-2.0293028044484274</v>
      </c>
      <c r="AD486">
        <f t="shared" si="141"/>
        <v>583.1136128161537</v>
      </c>
      <c r="AE486">
        <f t="shared" si="142"/>
        <v>365.06025898628906</v>
      </c>
      <c r="AF486">
        <f t="shared" si="143"/>
        <v>1000.0000000000001</v>
      </c>
      <c r="AG486">
        <f t="shared" si="144"/>
        <v>20.168686776095456</v>
      </c>
      <c r="AH486">
        <f t="shared" si="145"/>
        <v>2296.8313132239045</v>
      </c>
      <c r="AI486" s="5">
        <f t="shared" si="128"/>
        <v>0.43159257660768235</v>
      </c>
      <c r="AJ486" s="5">
        <f t="shared" si="129"/>
        <v>0</v>
      </c>
      <c r="AK486" s="5">
        <f t="shared" si="130"/>
        <v>0.43538243067418331</v>
      </c>
    </row>
    <row r="487" spans="1:37" x14ac:dyDescent="0.3">
      <c r="A487">
        <v>5376742</v>
      </c>
      <c r="B487" t="s">
        <v>42</v>
      </c>
      <c r="C487">
        <v>20.333333333333339</v>
      </c>
      <c r="D487">
        <v>46173.638152898217</v>
      </c>
      <c r="I487">
        <v>-22039.101452756218</v>
      </c>
      <c r="J487">
        <v>4343.6480056702421</v>
      </c>
      <c r="K487">
        <v>49.537368426724143</v>
      </c>
      <c r="L487">
        <v>-1.8306455865868541</v>
      </c>
      <c r="M487">
        <v>14166.14586680229</v>
      </c>
      <c r="N487">
        <v>9150.2873537480464</v>
      </c>
      <c r="O487">
        <v>21416.344226761688</v>
      </c>
      <c r="P487" s="2">
        <v>45112.802083333343</v>
      </c>
      <c r="Q487" s="2">
        <v>45113.649305555547</v>
      </c>
      <c r="R487">
        <v>54049.937214653582</v>
      </c>
      <c r="S487">
        <v>8.3695963296054465</v>
      </c>
      <c r="T487">
        <f t="shared" si="131"/>
        <v>0.94943063662214455</v>
      </c>
      <c r="U487">
        <f t="shared" si="132"/>
        <v>2156.0000000000009</v>
      </c>
      <c r="V487">
        <f t="shared" si="133"/>
        <v>0</v>
      </c>
      <c r="W487">
        <f t="shared" si="134"/>
        <v>0</v>
      </c>
      <c r="X487">
        <f t="shared" si="135"/>
        <v>0</v>
      </c>
      <c r="Y487">
        <f t="shared" si="136"/>
        <v>0</v>
      </c>
      <c r="Z487">
        <f t="shared" si="137"/>
        <v>-1029.0785962067391</v>
      </c>
      <c r="AA487">
        <f t="shared" si="138"/>
        <v>202.81930285013141</v>
      </c>
      <c r="AB487">
        <f t="shared" si="139"/>
        <v>2.3130637004247743</v>
      </c>
      <c r="AC487">
        <f t="shared" si="140"/>
        <v>-8.5478901870623389E-2</v>
      </c>
      <c r="AD487">
        <f t="shared" si="141"/>
        <v>661.46424043279944</v>
      </c>
      <c r="AE487">
        <f t="shared" si="142"/>
        <v>427.25720397760148</v>
      </c>
      <c r="AF487">
        <f t="shared" si="143"/>
        <v>1000</v>
      </c>
      <c r="AG487">
        <f t="shared" si="144"/>
        <v>-367.770473726006</v>
      </c>
      <c r="AH487">
        <f t="shared" si="145"/>
        <v>2523.7704737260069</v>
      </c>
      <c r="AI487" s="5">
        <f t="shared" si="128"/>
        <v>0.46382189239332078</v>
      </c>
      <c r="AJ487" s="5">
        <f t="shared" si="129"/>
        <v>0</v>
      </c>
      <c r="AK487" s="5">
        <f t="shared" si="130"/>
        <v>0.39623254587158824</v>
      </c>
    </row>
    <row r="488" spans="1:37" x14ac:dyDescent="0.3">
      <c r="A488">
        <v>5376448</v>
      </c>
      <c r="B488" t="s">
        <v>38</v>
      </c>
      <c r="C488">
        <v>8.9166666666666661</v>
      </c>
      <c r="D488">
        <v>23363.455632166639</v>
      </c>
      <c r="I488">
        <v>1502.6708245341069</v>
      </c>
      <c r="J488">
        <v>1579.758387951194</v>
      </c>
      <c r="K488">
        <v>0</v>
      </c>
      <c r="L488">
        <v>2.8101065747492271</v>
      </c>
      <c r="M488">
        <v>7000.3268392709479</v>
      </c>
      <c r="N488">
        <v>4044.7338349249549</v>
      </c>
      <c r="O488">
        <v>10328.67180909223</v>
      </c>
      <c r="P488" s="2">
        <v>45112.423611111109</v>
      </c>
      <c r="Q488" s="2">
        <v>45112.795138888891</v>
      </c>
      <c r="R488">
        <v>23321.173417546561</v>
      </c>
      <c r="S488">
        <v>7.9739317541116188</v>
      </c>
      <c r="T488">
        <f t="shared" si="131"/>
        <v>0.86329267029449142</v>
      </c>
      <c r="U488">
        <f t="shared" si="132"/>
        <v>2262.0000000000014</v>
      </c>
      <c r="V488">
        <f t="shared" si="133"/>
        <v>0</v>
      </c>
      <c r="W488">
        <f t="shared" si="134"/>
        <v>0</v>
      </c>
      <c r="X488">
        <f t="shared" si="135"/>
        <v>0</v>
      </c>
      <c r="Y488">
        <f t="shared" si="136"/>
        <v>0</v>
      </c>
      <c r="Z488">
        <f t="shared" si="137"/>
        <v>145.48538788998218</v>
      </c>
      <c r="AA488">
        <f t="shared" si="138"/>
        <v>152.94884155003822</v>
      </c>
      <c r="AB488">
        <f t="shared" si="139"/>
        <v>0</v>
      </c>
      <c r="AC488">
        <f t="shared" si="140"/>
        <v>0.27206853181989166</v>
      </c>
      <c r="AD488">
        <f t="shared" si="141"/>
        <v>677.75673084206505</v>
      </c>
      <c r="AE488">
        <f t="shared" si="142"/>
        <v>391.60251285788894</v>
      </c>
      <c r="AF488">
        <f t="shared" si="143"/>
        <v>1000</v>
      </c>
      <c r="AG488">
        <f t="shared" si="144"/>
        <v>4.0936739400372062</v>
      </c>
      <c r="AH488">
        <f t="shared" si="145"/>
        <v>2257.9063260599642</v>
      </c>
      <c r="AI488" s="5">
        <f t="shared" si="128"/>
        <v>0.44208664898320044</v>
      </c>
      <c r="AJ488" s="5">
        <f t="shared" si="129"/>
        <v>0</v>
      </c>
      <c r="AK488" s="5">
        <f t="shared" si="130"/>
        <v>0.44288816965449368</v>
      </c>
    </row>
    <row r="489" spans="1:37" x14ac:dyDescent="0.3">
      <c r="A489">
        <v>5376531</v>
      </c>
      <c r="B489" t="s">
        <v>49</v>
      </c>
      <c r="C489">
        <v>2.416666666666667</v>
      </c>
      <c r="D489">
        <v>4573.4333620339085</v>
      </c>
      <c r="I489">
        <v>287.50425922393669</v>
      </c>
      <c r="J489">
        <v>310.78715946027393</v>
      </c>
      <c r="K489">
        <v>0</v>
      </c>
      <c r="L489">
        <v>55.244075368243273</v>
      </c>
      <c r="M489">
        <v>1018.848842152589</v>
      </c>
      <c r="N489">
        <v>665.05888906831422</v>
      </c>
      <c r="O489">
        <v>1973.8598886637501</v>
      </c>
      <c r="P489" s="2">
        <v>45112.322916666657</v>
      </c>
      <c r="Q489" s="2">
        <v>45112.423611111109</v>
      </c>
      <c r="R489">
        <v>4554.7934651148771</v>
      </c>
      <c r="S489">
        <v>7.5013720791514329</v>
      </c>
      <c r="T489">
        <f t="shared" si="131"/>
        <v>1.2243354660308159</v>
      </c>
      <c r="U489">
        <f t="shared" si="132"/>
        <v>2316.9999999999995</v>
      </c>
      <c r="V489">
        <f t="shared" si="133"/>
        <v>0</v>
      </c>
      <c r="W489">
        <f t="shared" si="134"/>
        <v>0</v>
      </c>
      <c r="X489">
        <f t="shared" si="135"/>
        <v>0</v>
      </c>
      <c r="Y489">
        <f t="shared" si="136"/>
        <v>0</v>
      </c>
      <c r="Z489">
        <f t="shared" si="137"/>
        <v>145.65585980804815</v>
      </c>
      <c r="AA489">
        <f t="shared" si="138"/>
        <v>157.45147933000879</v>
      </c>
      <c r="AB489">
        <f t="shared" si="139"/>
        <v>0</v>
      </c>
      <c r="AC489">
        <f t="shared" si="140"/>
        <v>27.987840315070194</v>
      </c>
      <c r="AD489">
        <f t="shared" si="141"/>
        <v>516.17080219524712</v>
      </c>
      <c r="AE489">
        <f t="shared" si="142"/>
        <v>336.93317995257564</v>
      </c>
      <c r="AF489">
        <f t="shared" si="143"/>
        <v>1000</v>
      </c>
      <c r="AG489">
        <f t="shared" si="144"/>
        <v>9.4433738818461279</v>
      </c>
      <c r="AH489">
        <f t="shared" si="145"/>
        <v>2307.5566261181534</v>
      </c>
      <c r="AI489" s="5">
        <f t="shared" si="128"/>
        <v>0.43159257660768241</v>
      </c>
      <c r="AJ489" s="5">
        <f t="shared" si="129"/>
        <v>0</v>
      </c>
      <c r="AK489" s="5">
        <f t="shared" si="130"/>
        <v>0.43335881281588851</v>
      </c>
    </row>
    <row r="490" spans="1:37" x14ac:dyDescent="0.3">
      <c r="A490">
        <v>5376350</v>
      </c>
      <c r="B490" t="s">
        <v>41</v>
      </c>
      <c r="C490">
        <v>6.666666666666667</v>
      </c>
      <c r="D490">
        <v>17167.420059782329</v>
      </c>
      <c r="I490">
        <v>0</v>
      </c>
      <c r="J490">
        <v>1349.738105808224</v>
      </c>
      <c r="K490">
        <v>0</v>
      </c>
      <c r="L490">
        <v>0</v>
      </c>
      <c r="M490">
        <v>6342.9993920182133</v>
      </c>
      <c r="N490">
        <v>3752.2328375413458</v>
      </c>
      <c r="O490">
        <v>7962.6252596392969</v>
      </c>
      <c r="P490" s="2">
        <v>45113.645833333343</v>
      </c>
      <c r="Q490" s="2">
        <v>45113.923611111109</v>
      </c>
      <c r="R490">
        <v>17167.177303240231</v>
      </c>
      <c r="S490">
        <v>7.8249891289881059</v>
      </c>
      <c r="T490">
        <f t="shared" si="131"/>
        <v>0.83724480925385958</v>
      </c>
      <c r="U490">
        <f t="shared" si="132"/>
        <v>2156.0000000000009</v>
      </c>
      <c r="V490">
        <f t="shared" si="133"/>
        <v>0</v>
      </c>
      <c r="W490">
        <f t="shared" si="134"/>
        <v>0</v>
      </c>
      <c r="X490">
        <f t="shared" si="135"/>
        <v>0</v>
      </c>
      <c r="Y490">
        <f t="shared" si="136"/>
        <v>0</v>
      </c>
      <c r="Z490">
        <f t="shared" si="137"/>
        <v>0</v>
      </c>
      <c r="AA490">
        <f t="shared" si="138"/>
        <v>169.50918344101083</v>
      </c>
      <c r="AB490">
        <f t="shared" si="139"/>
        <v>0</v>
      </c>
      <c r="AC490">
        <f t="shared" si="140"/>
        <v>0</v>
      </c>
      <c r="AD490">
        <f t="shared" si="141"/>
        <v>796.59649741014528</v>
      </c>
      <c r="AE490">
        <f t="shared" si="142"/>
        <v>471.23061995150584</v>
      </c>
      <c r="AF490">
        <f t="shared" si="143"/>
        <v>1000</v>
      </c>
      <c r="AG490">
        <f t="shared" si="144"/>
        <v>3.0486998217838845E-2</v>
      </c>
      <c r="AH490">
        <f t="shared" si="145"/>
        <v>2155.9695130017831</v>
      </c>
      <c r="AI490" s="5">
        <f t="shared" si="128"/>
        <v>0.46382189239332083</v>
      </c>
      <c r="AJ490" s="5">
        <f t="shared" si="129"/>
        <v>0</v>
      </c>
      <c r="AK490" s="5">
        <f t="shared" si="130"/>
        <v>0.46382845117679222</v>
      </c>
    </row>
    <row r="491" spans="1:37" x14ac:dyDescent="0.3">
      <c r="A491">
        <v>5376984</v>
      </c>
      <c r="B491" t="s">
        <v>41</v>
      </c>
      <c r="C491">
        <v>7.583333333333333</v>
      </c>
      <c r="D491">
        <v>19486.84032670944</v>
      </c>
      <c r="I491">
        <v>2374.7416221360349</v>
      </c>
      <c r="J491">
        <v>1874.679152532806</v>
      </c>
      <c r="K491">
        <v>0</v>
      </c>
      <c r="L491">
        <v>19.70813818615369</v>
      </c>
      <c r="M491">
        <v>6659.5933018306896</v>
      </c>
      <c r="N491">
        <v>4355.8506710087167</v>
      </c>
      <c r="O491">
        <v>9038.4231571008513</v>
      </c>
      <c r="P491" s="2">
        <v>45114.430555555547</v>
      </c>
      <c r="Q491" s="2">
        <v>45114.746527777781</v>
      </c>
      <c r="R491">
        <v>19535.639043419222</v>
      </c>
      <c r="S491">
        <v>7.4871432544478598</v>
      </c>
      <c r="T491">
        <f t="shared" si="131"/>
        <v>0.83901065501404892</v>
      </c>
      <c r="U491">
        <f t="shared" si="132"/>
        <v>2156.0000000000009</v>
      </c>
      <c r="V491">
        <f t="shared" si="133"/>
        <v>0</v>
      </c>
      <c r="W491">
        <f t="shared" si="134"/>
        <v>0</v>
      </c>
      <c r="X491">
        <f t="shared" si="135"/>
        <v>0</v>
      </c>
      <c r="Y491">
        <f t="shared" si="136"/>
        <v>0</v>
      </c>
      <c r="Z491">
        <f t="shared" si="137"/>
        <v>262.73848666516216</v>
      </c>
      <c r="AA491">
        <f t="shared" si="138"/>
        <v>207.41219125816241</v>
      </c>
      <c r="AB491">
        <f t="shared" si="139"/>
        <v>0</v>
      </c>
      <c r="AC491">
        <f t="shared" si="140"/>
        <v>2.1804841224622677</v>
      </c>
      <c r="AD491">
        <f t="shared" si="141"/>
        <v>736.80919625883155</v>
      </c>
      <c r="AE491">
        <f t="shared" si="142"/>
        <v>481.92595050018565</v>
      </c>
      <c r="AF491">
        <f t="shared" si="143"/>
        <v>999.99999999999989</v>
      </c>
      <c r="AG491">
        <f t="shared" si="144"/>
        <v>-5.3990298818266638</v>
      </c>
      <c r="AH491">
        <f t="shared" si="145"/>
        <v>2161.3990298818276</v>
      </c>
      <c r="AI491" s="5">
        <f t="shared" si="128"/>
        <v>0.46382189239332083</v>
      </c>
      <c r="AJ491" s="5">
        <f t="shared" si="129"/>
        <v>0</v>
      </c>
      <c r="AK491" s="5">
        <f t="shared" si="130"/>
        <v>0.46266329639958903</v>
      </c>
    </row>
    <row r="492" spans="1:37" x14ac:dyDescent="0.3">
      <c r="A492">
        <v>5376987</v>
      </c>
      <c r="B492" t="s">
        <v>42</v>
      </c>
      <c r="C492">
        <v>13.75</v>
      </c>
      <c r="D492">
        <v>35438.864041889668</v>
      </c>
      <c r="I492">
        <v>3748.677148127264</v>
      </c>
      <c r="J492">
        <v>3774.056128792779</v>
      </c>
      <c r="K492">
        <v>0</v>
      </c>
      <c r="L492">
        <v>26.902259043943388</v>
      </c>
      <c r="M492">
        <v>10734.18234754721</v>
      </c>
      <c r="N492">
        <v>7902.809652930312</v>
      </c>
      <c r="O492">
        <v>16437.320984178881</v>
      </c>
      <c r="P492" s="2">
        <v>45115.208333333343</v>
      </c>
      <c r="Q492" s="2">
        <v>45115.78125</v>
      </c>
      <c r="R492">
        <v>35438.771406999273</v>
      </c>
      <c r="S492">
        <v>8.1125428488648854</v>
      </c>
      <c r="T492">
        <f t="shared" si="131"/>
        <v>0.83651101132809536</v>
      </c>
      <c r="U492">
        <f t="shared" si="132"/>
        <v>2156</v>
      </c>
      <c r="V492">
        <f t="shared" si="133"/>
        <v>0</v>
      </c>
      <c r="W492">
        <f t="shared" si="134"/>
        <v>0</v>
      </c>
      <c r="X492">
        <f t="shared" si="135"/>
        <v>0</v>
      </c>
      <c r="Y492">
        <f t="shared" si="136"/>
        <v>0</v>
      </c>
      <c r="Z492">
        <f t="shared" si="137"/>
        <v>228.05888816890604</v>
      </c>
      <c r="AA492">
        <f t="shared" si="138"/>
        <v>229.60287338948686</v>
      </c>
      <c r="AB492">
        <f t="shared" si="139"/>
        <v>0</v>
      </c>
      <c r="AC492">
        <f t="shared" si="140"/>
        <v>1.6366571578079625</v>
      </c>
      <c r="AD492">
        <f t="shared" si="141"/>
        <v>653.037216823775</v>
      </c>
      <c r="AE492">
        <f t="shared" si="142"/>
        <v>480.78453055317595</v>
      </c>
      <c r="AF492">
        <f t="shared" si="143"/>
        <v>1000</v>
      </c>
      <c r="AG492">
        <f t="shared" si="144"/>
        <v>5.635644061385392E-3</v>
      </c>
      <c r="AH492">
        <f t="shared" si="145"/>
        <v>2155.9943643559386</v>
      </c>
      <c r="AI492" s="5">
        <f t="shared" si="128"/>
        <v>0.46382189239332094</v>
      </c>
      <c r="AJ492" s="5">
        <f t="shared" si="129"/>
        <v>0</v>
      </c>
      <c r="AK492" s="5">
        <f t="shared" si="130"/>
        <v>0.46382310479681182</v>
      </c>
    </row>
    <row r="493" spans="1:37" x14ac:dyDescent="0.3">
      <c r="A493">
        <v>5376990</v>
      </c>
      <c r="B493" t="s">
        <v>42</v>
      </c>
      <c r="C493">
        <v>12.08333333333333</v>
      </c>
      <c r="D493">
        <v>30483.067665825649</v>
      </c>
      <c r="I493">
        <v>3334.008165904514</v>
      </c>
      <c r="J493">
        <v>3313.3785513515741</v>
      </c>
      <c r="K493">
        <v>391.45630925458028</v>
      </c>
      <c r="L493">
        <v>385.11141730763399</v>
      </c>
      <c r="M493">
        <v>9472.8262422973148</v>
      </c>
      <c r="N493">
        <v>6177.8298699263587</v>
      </c>
      <c r="O493">
        <v>14138.7141307169</v>
      </c>
      <c r="P493" s="2">
        <v>45116.215277777781</v>
      </c>
      <c r="Q493" s="2">
        <v>45116.722222222219</v>
      </c>
      <c r="R493">
        <v>31296.30658132039</v>
      </c>
      <c r="S493">
        <v>7.266452698179517</v>
      </c>
      <c r="T493">
        <f t="shared" si="131"/>
        <v>0.85462745916064775</v>
      </c>
      <c r="U493">
        <f t="shared" si="132"/>
        <v>2156.0000000000009</v>
      </c>
      <c r="V493">
        <f t="shared" si="133"/>
        <v>0</v>
      </c>
      <c r="W493">
        <f t="shared" si="134"/>
        <v>0</v>
      </c>
      <c r="X493">
        <f t="shared" si="135"/>
        <v>0</v>
      </c>
      <c r="Y493">
        <f t="shared" si="136"/>
        <v>0</v>
      </c>
      <c r="Z493">
        <f t="shared" si="137"/>
        <v>235.80702849499255</v>
      </c>
      <c r="AA493">
        <f t="shared" si="138"/>
        <v>234.34794145481249</v>
      </c>
      <c r="AB493">
        <f t="shared" si="139"/>
        <v>27.686839526950077</v>
      </c>
      <c r="AC493">
        <f t="shared" si="140"/>
        <v>27.238079343507241</v>
      </c>
      <c r="AD493">
        <f t="shared" si="141"/>
        <v>669.99206255378169</v>
      </c>
      <c r="AE493">
        <f t="shared" si="142"/>
        <v>436.94425198857266</v>
      </c>
      <c r="AF493">
        <f t="shared" si="143"/>
        <v>1000.0000000000001</v>
      </c>
      <c r="AG493">
        <f t="shared" si="144"/>
        <v>-57.518591010192722</v>
      </c>
      <c r="AH493">
        <f t="shared" si="145"/>
        <v>2213.5185910101936</v>
      </c>
      <c r="AI493" s="5">
        <f t="shared" si="128"/>
        <v>0.46382189239332078</v>
      </c>
      <c r="AJ493" s="5">
        <f t="shared" si="129"/>
        <v>0</v>
      </c>
      <c r="AK493" s="5">
        <f t="shared" si="130"/>
        <v>0.45176941547331906</v>
      </c>
    </row>
    <row r="494" spans="1:37" x14ac:dyDescent="0.3">
      <c r="A494">
        <v>5376992</v>
      </c>
      <c r="B494" t="s">
        <v>41</v>
      </c>
      <c r="C494">
        <v>14.58333333333333</v>
      </c>
      <c r="D494">
        <v>38929.115159031782</v>
      </c>
      <c r="I494">
        <v>2989.154168663013</v>
      </c>
      <c r="J494">
        <v>3662.7028172734199</v>
      </c>
      <c r="K494">
        <v>0</v>
      </c>
      <c r="L494">
        <v>-29.284833921799699</v>
      </c>
      <c r="M494">
        <v>12100.58604937987</v>
      </c>
      <c r="N494">
        <v>7983.9518394043498</v>
      </c>
      <c r="O494">
        <v>18056.175862259639</v>
      </c>
      <c r="P494" s="2">
        <v>45117.1875</v>
      </c>
      <c r="Q494" s="2">
        <v>45117.795138888891</v>
      </c>
      <c r="R494">
        <v>38928.866746936466</v>
      </c>
      <c r="S494">
        <v>8.4481221690293662</v>
      </c>
      <c r="T494">
        <f t="shared" si="131"/>
        <v>0.80766456001433184</v>
      </c>
      <c r="U494">
        <f t="shared" si="132"/>
        <v>2156</v>
      </c>
      <c r="V494">
        <f t="shared" si="133"/>
        <v>0</v>
      </c>
      <c r="W494">
        <f t="shared" si="134"/>
        <v>0</v>
      </c>
      <c r="X494">
        <f t="shared" si="135"/>
        <v>0</v>
      </c>
      <c r="Y494">
        <f t="shared" si="136"/>
        <v>0</v>
      </c>
      <c r="Z494">
        <f t="shared" si="137"/>
        <v>165.54746649930641</v>
      </c>
      <c r="AA494">
        <f t="shared" si="138"/>
        <v>202.85041778580967</v>
      </c>
      <c r="AB494">
        <f t="shared" si="139"/>
        <v>0</v>
      </c>
      <c r="AC494">
        <f t="shared" si="140"/>
        <v>-1.6218735431686724</v>
      </c>
      <c r="AD494">
        <f t="shared" si="141"/>
        <v>670.16328051345988</v>
      </c>
      <c r="AE494">
        <f t="shared" si="142"/>
        <v>442.17291082615759</v>
      </c>
      <c r="AF494">
        <f t="shared" si="143"/>
        <v>999.99999999999989</v>
      </c>
      <c r="AG494">
        <f t="shared" si="144"/>
        <v>1.3757735703165963E-2</v>
      </c>
      <c r="AH494">
        <f t="shared" si="145"/>
        <v>2155.9862422642968</v>
      </c>
      <c r="AI494" s="5">
        <f t="shared" si="128"/>
        <v>0.46382189239332094</v>
      </c>
      <c r="AJ494" s="5">
        <f t="shared" si="129"/>
        <v>0</v>
      </c>
      <c r="AK494" s="5">
        <f t="shared" si="130"/>
        <v>0.46382485212417807</v>
      </c>
    </row>
    <row r="495" spans="1:37" x14ac:dyDescent="0.3">
      <c r="A495">
        <v>5377108</v>
      </c>
      <c r="B495" t="s">
        <v>42</v>
      </c>
      <c r="C495">
        <v>13.08333333333333</v>
      </c>
      <c r="D495">
        <v>31483.94550567128</v>
      </c>
      <c r="I495">
        <v>4292.5175754153888</v>
      </c>
      <c r="J495">
        <v>3548.3954846308029</v>
      </c>
      <c r="K495">
        <v>0</v>
      </c>
      <c r="L495">
        <v>15.688751195881419</v>
      </c>
      <c r="M495">
        <v>10863.830065367951</v>
      </c>
      <c r="N495">
        <v>6680.4911587269917</v>
      </c>
      <c r="O495">
        <v>14602.94318444865</v>
      </c>
      <c r="P495" s="2">
        <v>45119.253472222219</v>
      </c>
      <c r="Q495" s="2">
        <v>45119.798611111109</v>
      </c>
      <c r="R495">
        <v>31486.04181904667</v>
      </c>
      <c r="S495">
        <v>8.247177216478212</v>
      </c>
      <c r="T495">
        <f t="shared" si="131"/>
        <v>0.89593811111080524</v>
      </c>
      <c r="U495">
        <f t="shared" si="132"/>
        <v>2155.9999999999995</v>
      </c>
      <c r="V495">
        <f t="shared" si="133"/>
        <v>0</v>
      </c>
      <c r="W495">
        <f t="shared" si="134"/>
        <v>0</v>
      </c>
      <c r="X495">
        <f t="shared" si="135"/>
        <v>0</v>
      </c>
      <c r="Y495">
        <f t="shared" si="136"/>
        <v>0</v>
      </c>
      <c r="Z495">
        <f t="shared" si="137"/>
        <v>293.94879656771445</v>
      </c>
      <c r="AA495">
        <f t="shared" si="138"/>
        <v>242.991802392935</v>
      </c>
      <c r="AB495">
        <f t="shared" si="139"/>
        <v>0</v>
      </c>
      <c r="AC495">
        <f t="shared" si="140"/>
        <v>1.0743554225828322</v>
      </c>
      <c r="AD495">
        <f t="shared" si="141"/>
        <v>743.94797871550622</v>
      </c>
      <c r="AE495">
        <f t="shared" si="142"/>
        <v>457.47566599049406</v>
      </c>
      <c r="AF495">
        <f t="shared" si="143"/>
        <v>1000</v>
      </c>
      <c r="AG495">
        <f t="shared" si="144"/>
        <v>-0.14355416910893837</v>
      </c>
      <c r="AH495">
        <f t="shared" si="145"/>
        <v>2156.1435541691085</v>
      </c>
      <c r="AI495" s="5">
        <f t="shared" si="128"/>
        <v>0.46382189239332111</v>
      </c>
      <c r="AJ495" s="5">
        <f t="shared" si="129"/>
        <v>0</v>
      </c>
      <c r="AK495" s="5">
        <f t="shared" si="130"/>
        <v>0.46379101153371954</v>
      </c>
    </row>
    <row r="496" spans="1:37" x14ac:dyDescent="0.3">
      <c r="A496">
        <v>5377174</v>
      </c>
      <c r="B496" t="s">
        <v>42</v>
      </c>
      <c r="C496">
        <v>15.91666666666667</v>
      </c>
      <c r="D496">
        <v>45004.163138238502</v>
      </c>
      <c r="I496">
        <v>4933.4837929222394</v>
      </c>
      <c r="J496">
        <v>4358.7322064059217</v>
      </c>
      <c r="K496">
        <v>0</v>
      </c>
      <c r="L496">
        <v>28.334149788022959</v>
      </c>
      <c r="M496">
        <v>15054.30574805882</v>
      </c>
      <c r="N496">
        <v>7866.5275275529239</v>
      </c>
      <c r="O496">
        <v>20873.91611235552</v>
      </c>
      <c r="P496" s="2">
        <v>45120.197916666657</v>
      </c>
      <c r="Q496" s="2">
        <v>45120.861111111109</v>
      </c>
      <c r="R496">
        <v>45003.856562751258</v>
      </c>
      <c r="S496">
        <v>7.3057558206008064</v>
      </c>
      <c r="T496">
        <f t="shared" si="131"/>
        <v>0.76251464176601746</v>
      </c>
      <c r="U496">
        <f t="shared" si="132"/>
        <v>2156</v>
      </c>
      <c r="V496">
        <f t="shared" si="133"/>
        <v>0</v>
      </c>
      <c r="W496">
        <f t="shared" si="134"/>
        <v>0</v>
      </c>
      <c r="X496">
        <f t="shared" si="135"/>
        <v>0</v>
      </c>
      <c r="Y496">
        <f t="shared" si="136"/>
        <v>0</v>
      </c>
      <c r="Z496">
        <f t="shared" si="137"/>
        <v>236.34682473415</v>
      </c>
      <c r="AA496">
        <f t="shared" si="138"/>
        <v>208.81238493748359</v>
      </c>
      <c r="AB496">
        <f t="shared" si="139"/>
        <v>0</v>
      </c>
      <c r="AC496">
        <f t="shared" si="140"/>
        <v>1.3573950204414031</v>
      </c>
      <c r="AD496">
        <f t="shared" si="141"/>
        <v>721.2017940010785</v>
      </c>
      <c r="AE496">
        <f t="shared" si="142"/>
        <v>376.85920960928996</v>
      </c>
      <c r="AF496">
        <f t="shared" si="143"/>
        <v>999.99999999999989</v>
      </c>
      <c r="AG496">
        <f t="shared" si="144"/>
        <v>1.4687013476304855E-2</v>
      </c>
      <c r="AH496">
        <f t="shared" si="145"/>
        <v>2155.9853129865237</v>
      </c>
      <c r="AI496" s="5">
        <f t="shared" si="128"/>
        <v>0.46382189239332094</v>
      </c>
      <c r="AJ496" s="5">
        <f t="shared" si="129"/>
        <v>0</v>
      </c>
      <c r="AK496" s="5">
        <f t="shared" si="130"/>
        <v>0.46382505204303803</v>
      </c>
    </row>
    <row r="497" spans="1:37" x14ac:dyDescent="0.3">
      <c r="A497">
        <v>5377177</v>
      </c>
      <c r="B497" t="s">
        <v>42</v>
      </c>
      <c r="C497">
        <v>5.583333333333333</v>
      </c>
      <c r="D497">
        <v>15183.395345836099</v>
      </c>
      <c r="I497">
        <v>0</v>
      </c>
      <c r="J497">
        <v>1431.2042367677309</v>
      </c>
      <c r="K497">
        <v>0</v>
      </c>
      <c r="L497">
        <v>0</v>
      </c>
      <c r="M497">
        <v>3692.2121706003809</v>
      </c>
      <c r="N497">
        <v>2755.5540922897449</v>
      </c>
      <c r="O497">
        <v>7042.3911622616433</v>
      </c>
      <c r="P497" s="2">
        <v>45121.059027777781</v>
      </c>
      <c r="Q497" s="2">
        <v>45121.291666666657</v>
      </c>
      <c r="R497">
        <v>15183.361883342561</v>
      </c>
      <c r="S497">
        <v>7.5106733993530277</v>
      </c>
      <c r="T497">
        <f t="shared" si="131"/>
        <v>0.79281783767606884</v>
      </c>
      <c r="U497">
        <f t="shared" si="132"/>
        <v>2155.9999999999995</v>
      </c>
      <c r="V497">
        <f t="shared" si="133"/>
        <v>0</v>
      </c>
      <c r="W497">
        <f t="shared" si="134"/>
        <v>0</v>
      </c>
      <c r="X497">
        <f t="shared" si="135"/>
        <v>0</v>
      </c>
      <c r="Y497">
        <f t="shared" si="136"/>
        <v>0</v>
      </c>
      <c r="Z497">
        <f t="shared" si="137"/>
        <v>0</v>
      </c>
      <c r="AA497">
        <f t="shared" si="138"/>
        <v>203.22702954036194</v>
      </c>
      <c r="AB497">
        <f t="shared" si="139"/>
        <v>0</v>
      </c>
      <c r="AC497">
        <f t="shared" si="140"/>
        <v>0</v>
      </c>
      <c r="AD497">
        <f t="shared" si="141"/>
        <v>524.28388107522244</v>
      </c>
      <c r="AE497">
        <f t="shared" si="142"/>
        <v>391.28103350124144</v>
      </c>
      <c r="AF497">
        <f t="shared" si="143"/>
        <v>1000</v>
      </c>
      <c r="AG497">
        <f t="shared" si="144"/>
        <v>4.7515812125311641E-3</v>
      </c>
      <c r="AH497">
        <f t="shared" si="145"/>
        <v>2155.995248418787</v>
      </c>
      <c r="AI497" s="5">
        <f t="shared" si="128"/>
        <v>0.46382189239332106</v>
      </c>
      <c r="AJ497" s="5">
        <f t="shared" si="129"/>
        <v>0</v>
      </c>
      <c r="AK497" s="5">
        <f t="shared" si="130"/>
        <v>0.4638229146067937</v>
      </c>
    </row>
    <row r="498" spans="1:37" x14ac:dyDescent="0.3">
      <c r="A498">
        <v>5317177</v>
      </c>
      <c r="B498" t="s">
        <v>42</v>
      </c>
      <c r="C498">
        <v>11.08333333333333</v>
      </c>
      <c r="D498">
        <v>30138.312499315169</v>
      </c>
      <c r="I498">
        <v>2538.4451718457371</v>
      </c>
      <c r="J498">
        <v>2571.1389876814228</v>
      </c>
      <c r="K498">
        <v>0</v>
      </c>
      <c r="L498">
        <v>25.85781309177548</v>
      </c>
      <c r="M498">
        <v>5903.7597279012643</v>
      </c>
      <c r="N498">
        <v>5636.8440829543424</v>
      </c>
      <c r="O498">
        <v>13978.809136973639</v>
      </c>
      <c r="P498" s="2">
        <v>45121.291666666657</v>
      </c>
      <c r="Q498" s="2">
        <v>45121.753472222219</v>
      </c>
      <c r="R498">
        <v>30138.403226561612</v>
      </c>
      <c r="S498">
        <v>8.5671993805411084</v>
      </c>
      <c r="T498">
        <f t="shared" si="131"/>
        <v>0.79286677604161282</v>
      </c>
      <c r="U498">
        <f t="shared" si="132"/>
        <v>2156</v>
      </c>
      <c r="V498">
        <f t="shared" si="133"/>
        <v>0</v>
      </c>
      <c r="W498">
        <f t="shared" si="134"/>
        <v>0</v>
      </c>
      <c r="X498">
        <f t="shared" si="135"/>
        <v>0</v>
      </c>
      <c r="Y498">
        <f t="shared" si="136"/>
        <v>0</v>
      </c>
      <c r="Z498">
        <f t="shared" si="137"/>
        <v>181.59237650162962</v>
      </c>
      <c r="AA498">
        <f t="shared" si="138"/>
        <v>183.9311891655218</v>
      </c>
      <c r="AB498">
        <f t="shared" si="139"/>
        <v>0</v>
      </c>
      <c r="AC498">
        <f t="shared" si="140"/>
        <v>1.8497865475094111</v>
      </c>
      <c r="AD498">
        <f t="shared" si="141"/>
        <v>422.33638574304234</v>
      </c>
      <c r="AE498">
        <f t="shared" si="142"/>
        <v>403.24208076101525</v>
      </c>
      <c r="AF498">
        <f t="shared" si="143"/>
        <v>1000</v>
      </c>
      <c r="AG498">
        <f t="shared" si="144"/>
        <v>-6.4903415991466318E-3</v>
      </c>
      <c r="AH498">
        <f t="shared" si="145"/>
        <v>2156.0064903415991</v>
      </c>
      <c r="AI498" s="5">
        <f t="shared" si="128"/>
        <v>0.46382189239332094</v>
      </c>
      <c r="AJ498" s="5">
        <f t="shared" si="129"/>
        <v>0</v>
      </c>
      <c r="AK498" s="5">
        <f t="shared" si="130"/>
        <v>0.46382049612548215</v>
      </c>
    </row>
    <row r="499" spans="1:37" x14ac:dyDescent="0.3">
      <c r="A499">
        <v>5377181</v>
      </c>
      <c r="B499" t="s">
        <v>42</v>
      </c>
      <c r="C499">
        <v>6.916666666666667</v>
      </c>
      <c r="D499">
        <v>17716.75163397607</v>
      </c>
      <c r="I499">
        <v>2099.7896692898189</v>
      </c>
      <c r="J499">
        <v>2188.3984931876962</v>
      </c>
      <c r="K499">
        <v>224.42385468750001</v>
      </c>
      <c r="L499">
        <v>363.53502351529698</v>
      </c>
      <c r="M499">
        <v>4783.8387311692504</v>
      </c>
      <c r="N499">
        <v>3315.502663600932</v>
      </c>
      <c r="O499">
        <v>8217.4172699332394</v>
      </c>
      <c r="P499" s="2">
        <v>45123.159722222219</v>
      </c>
      <c r="Q499" s="2">
        <v>45123.791666666657</v>
      </c>
      <c r="R499">
        <v>40808.463179405611</v>
      </c>
      <c r="S499">
        <v>6.4744902032979796</v>
      </c>
      <c r="T499">
        <f t="shared" si="131"/>
        <v>0.84170809872027585</v>
      </c>
      <c r="U499">
        <f t="shared" si="132"/>
        <v>2156.0000000000005</v>
      </c>
      <c r="V499">
        <f t="shared" si="133"/>
        <v>0</v>
      </c>
      <c r="W499">
        <f t="shared" si="134"/>
        <v>0</v>
      </c>
      <c r="X499">
        <f t="shared" si="135"/>
        <v>0</v>
      </c>
      <c r="Y499">
        <f t="shared" si="136"/>
        <v>0</v>
      </c>
      <c r="Z499">
        <f t="shared" si="137"/>
        <v>255.52915232536051</v>
      </c>
      <c r="AA499">
        <f t="shared" si="138"/>
        <v>266.31220264240949</v>
      </c>
      <c r="AB499">
        <f t="shared" si="139"/>
        <v>27.31075316190233</v>
      </c>
      <c r="AC499">
        <f t="shared" si="140"/>
        <v>44.23957206669273</v>
      </c>
      <c r="AD499">
        <f t="shared" si="141"/>
        <v>582.15842934894749</v>
      </c>
      <c r="AE499">
        <f t="shared" si="142"/>
        <v>403.47259420938082</v>
      </c>
      <c r="AF499">
        <f t="shared" si="143"/>
        <v>1000</v>
      </c>
      <c r="AG499">
        <f t="shared" si="144"/>
        <v>-2810.0935837735728</v>
      </c>
      <c r="AH499">
        <f t="shared" si="145"/>
        <v>4966.0935837735733</v>
      </c>
      <c r="AI499" s="5">
        <f t="shared" si="128"/>
        <v>0.46382189239332083</v>
      </c>
      <c r="AJ499" s="5">
        <f t="shared" si="129"/>
        <v>0</v>
      </c>
      <c r="AK499" s="5">
        <f t="shared" si="130"/>
        <v>0.20136551660392443</v>
      </c>
    </row>
    <row r="500" spans="1:37" x14ac:dyDescent="0.3">
      <c r="A500">
        <v>5377184</v>
      </c>
      <c r="B500" t="s">
        <v>42</v>
      </c>
      <c r="C500">
        <v>9.4166666666666661</v>
      </c>
      <c r="D500">
        <v>24253.627531831618</v>
      </c>
      <c r="I500">
        <v>-25202.301285226131</v>
      </c>
      <c r="J500">
        <v>2457.3210976014461</v>
      </c>
      <c r="K500">
        <v>0</v>
      </c>
      <c r="L500">
        <v>39.921860979667663</v>
      </c>
      <c r="M500">
        <v>7297.7098348582786</v>
      </c>
      <c r="N500">
        <v>5392.6458144616126</v>
      </c>
      <c r="O500">
        <v>11249.36341921689</v>
      </c>
      <c r="P500" s="2">
        <v>45124.291666666657</v>
      </c>
      <c r="Q500" s="2">
        <v>45124.684027777781</v>
      </c>
      <c r="R500">
        <v>24250.676332014431</v>
      </c>
      <c r="S500">
        <v>7.1599354836017053</v>
      </c>
      <c r="T500">
        <f t="shared" si="131"/>
        <v>0.83708440342326451</v>
      </c>
      <c r="U500">
        <f t="shared" si="132"/>
        <v>2156.0000000000005</v>
      </c>
      <c r="V500">
        <f t="shared" si="133"/>
        <v>0</v>
      </c>
      <c r="W500">
        <f t="shared" si="134"/>
        <v>0</v>
      </c>
      <c r="X500">
        <f t="shared" si="135"/>
        <v>0</v>
      </c>
      <c r="Y500">
        <f t="shared" si="136"/>
        <v>0</v>
      </c>
      <c r="Z500">
        <f t="shared" si="137"/>
        <v>-2240.3313277419707</v>
      </c>
      <c r="AA500">
        <f t="shared" si="138"/>
        <v>218.44090247841859</v>
      </c>
      <c r="AB500">
        <f t="shared" si="139"/>
        <v>0</v>
      </c>
      <c r="AC500">
        <f t="shared" si="140"/>
        <v>3.5488106741640646</v>
      </c>
      <c r="AD500">
        <f t="shared" si="141"/>
        <v>648.72202656301943</v>
      </c>
      <c r="AE500">
        <f t="shared" si="142"/>
        <v>479.37341994388294</v>
      </c>
      <c r="AF500">
        <f t="shared" si="143"/>
        <v>1000</v>
      </c>
      <c r="AG500">
        <f t="shared" si="144"/>
        <v>0.26234371734744855</v>
      </c>
      <c r="AH500">
        <f t="shared" si="145"/>
        <v>2155.737656282653</v>
      </c>
      <c r="AI500" s="5">
        <f t="shared" si="128"/>
        <v>0.46382189239332089</v>
      </c>
      <c r="AJ500" s="5">
        <f t="shared" si="129"/>
        <v>0</v>
      </c>
      <c r="AK500" s="5">
        <f t="shared" si="130"/>
        <v>0.46387833746170987</v>
      </c>
    </row>
    <row r="501" spans="1:37" x14ac:dyDescent="0.3">
      <c r="A501">
        <v>5377612</v>
      </c>
      <c r="B501" t="s">
        <v>41</v>
      </c>
      <c r="C501">
        <v>4.333333333333333</v>
      </c>
      <c r="D501">
        <v>8481.561671414489</v>
      </c>
      <c r="I501">
        <v>553.86143936568283</v>
      </c>
      <c r="J501">
        <v>1003.480605608444</v>
      </c>
      <c r="K501">
        <v>2126.1835085397038</v>
      </c>
      <c r="L501">
        <v>1651.392820752463</v>
      </c>
      <c r="M501">
        <v>1229.533841740604</v>
      </c>
      <c r="N501">
        <v>3231.7972986800569</v>
      </c>
      <c r="O501">
        <v>3933.9339848861268</v>
      </c>
      <c r="P501" s="2">
        <v>45125</v>
      </c>
      <c r="Q501" s="2">
        <v>45125.392361111109</v>
      </c>
      <c r="R501">
        <v>24352.132493835561</v>
      </c>
      <c r="S501">
        <v>6.2232351448858667</v>
      </c>
      <c r="T501">
        <f t="shared" si="131"/>
        <v>1.1015267032903113</v>
      </c>
      <c r="U501">
        <f t="shared" si="132"/>
        <v>2156</v>
      </c>
      <c r="V501">
        <f t="shared" si="133"/>
        <v>0</v>
      </c>
      <c r="W501">
        <f t="shared" si="134"/>
        <v>0</v>
      </c>
      <c r="X501">
        <f t="shared" si="135"/>
        <v>0</v>
      </c>
      <c r="Y501">
        <f t="shared" si="136"/>
        <v>0</v>
      </c>
      <c r="Z501">
        <f t="shared" si="137"/>
        <v>140.79073047325554</v>
      </c>
      <c r="AA501">
        <f t="shared" si="138"/>
        <v>255.08323461037719</v>
      </c>
      <c r="AB501">
        <f t="shared" si="139"/>
        <v>540.47259478891556</v>
      </c>
      <c r="AC501">
        <f t="shared" si="140"/>
        <v>419.78152838786514</v>
      </c>
      <c r="AD501">
        <f t="shared" si="141"/>
        <v>312.54562137147673</v>
      </c>
      <c r="AE501">
        <f t="shared" si="142"/>
        <v>821.51792864251775</v>
      </c>
      <c r="AF501">
        <f t="shared" si="143"/>
        <v>1000</v>
      </c>
      <c r="AG501">
        <f t="shared" si="144"/>
        <v>-4034.2748209285128</v>
      </c>
      <c r="AH501">
        <f t="shared" si="145"/>
        <v>6190.2748209285128</v>
      </c>
      <c r="AI501" s="5">
        <f t="shared" si="128"/>
        <v>0.463821892393321</v>
      </c>
      <c r="AJ501" s="5">
        <f t="shared" si="129"/>
        <v>0</v>
      </c>
      <c r="AK501" s="5">
        <f t="shared" si="130"/>
        <v>0.16154371638220813</v>
      </c>
    </row>
    <row r="502" spans="1:37" x14ac:dyDescent="0.3">
      <c r="A502" t="s">
        <v>30</v>
      </c>
      <c r="B502" t="s">
        <v>39</v>
      </c>
      <c r="C502">
        <v>4</v>
      </c>
      <c r="D502">
        <v>11042.43493159575</v>
      </c>
      <c r="I502">
        <v>1117.1851885696431</v>
      </c>
      <c r="J502">
        <v>1200.915645930274</v>
      </c>
      <c r="K502">
        <v>4494.6216154855183</v>
      </c>
      <c r="L502">
        <v>4785.0842861175524</v>
      </c>
      <c r="M502">
        <v>0</v>
      </c>
      <c r="N502">
        <v>4288.8758375488096</v>
      </c>
      <c r="O502">
        <v>4881.7130555242038</v>
      </c>
      <c r="P502" s="2">
        <v>45125.652777777781</v>
      </c>
      <c r="Q502" s="2">
        <v>45125.819444444453</v>
      </c>
      <c r="R502">
        <v>11428.394106832729</v>
      </c>
      <c r="S502">
        <v>8.1091977169834184</v>
      </c>
      <c r="T502">
        <f t="shared" si="131"/>
        <v>0.8193844977171596</v>
      </c>
      <c r="U502">
        <f t="shared" si="132"/>
        <v>2262.0000000000005</v>
      </c>
      <c r="V502">
        <f t="shared" si="133"/>
        <v>0</v>
      </c>
      <c r="W502">
        <f t="shared" si="134"/>
        <v>0</v>
      </c>
      <c r="X502">
        <f t="shared" si="135"/>
        <v>0</v>
      </c>
      <c r="Y502">
        <f t="shared" si="136"/>
        <v>0</v>
      </c>
      <c r="Z502">
        <f t="shared" si="137"/>
        <v>228.85105614829681</v>
      </c>
      <c r="AA502">
        <f t="shared" si="138"/>
        <v>246.00291583531393</v>
      </c>
      <c r="AB502">
        <f t="shared" si="139"/>
        <v>920.70581870832245</v>
      </c>
      <c r="AC502">
        <f t="shared" si="140"/>
        <v>980.20597107867604</v>
      </c>
      <c r="AD502">
        <f t="shared" si="141"/>
        <v>0</v>
      </c>
      <c r="AE502">
        <f t="shared" si="142"/>
        <v>878.55959348029842</v>
      </c>
      <c r="AF502">
        <f t="shared" si="143"/>
        <v>1000</v>
      </c>
      <c r="AG502">
        <f t="shared" si="144"/>
        <v>-79.062241235219972</v>
      </c>
      <c r="AH502">
        <f t="shared" si="145"/>
        <v>2341.0622412352204</v>
      </c>
      <c r="AI502" s="5">
        <f t="shared" si="128"/>
        <v>0.44208664898320066</v>
      </c>
      <c r="AJ502" s="5">
        <f t="shared" si="129"/>
        <v>0</v>
      </c>
      <c r="AK502" s="5">
        <f t="shared" si="130"/>
        <v>0.42715651997033938</v>
      </c>
    </row>
    <row r="503" spans="1:37" x14ac:dyDescent="0.3">
      <c r="A503">
        <v>5377686</v>
      </c>
      <c r="B503" t="s">
        <v>34</v>
      </c>
      <c r="C503">
        <v>26.833333333333339</v>
      </c>
      <c r="D503">
        <v>45795.953541070667</v>
      </c>
      <c r="I503">
        <v>7121.2494872143207</v>
      </c>
      <c r="J503">
        <v>6956.4927050826354</v>
      </c>
      <c r="K503">
        <v>27621.11111511504</v>
      </c>
      <c r="L503">
        <v>27834.013196672939</v>
      </c>
      <c r="M503">
        <v>0</v>
      </c>
      <c r="N503">
        <v>28743.5748721038</v>
      </c>
      <c r="O503">
        <v>19765.1935869964</v>
      </c>
      <c r="P503" s="2">
        <v>45125.895833333343</v>
      </c>
      <c r="Q503" s="2">
        <v>45127.371527777781</v>
      </c>
      <c r="R503">
        <v>66855.990333670503</v>
      </c>
      <c r="S503">
        <v>7.5779145569864959</v>
      </c>
      <c r="T503">
        <f t="shared" si="131"/>
        <v>1.3576053892529085</v>
      </c>
      <c r="U503">
        <f t="shared" si="132"/>
        <v>2317.0000000000005</v>
      </c>
      <c r="V503">
        <f t="shared" si="133"/>
        <v>0</v>
      </c>
      <c r="W503">
        <f t="shared" si="134"/>
        <v>0</v>
      </c>
      <c r="X503">
        <f t="shared" si="135"/>
        <v>0</v>
      </c>
      <c r="Y503">
        <f t="shared" si="136"/>
        <v>0</v>
      </c>
      <c r="Z503">
        <f t="shared" si="137"/>
        <v>360.29242293378894</v>
      </c>
      <c r="AA503">
        <f t="shared" si="138"/>
        <v>351.95672000194014</v>
      </c>
      <c r="AB503">
        <f t="shared" si="139"/>
        <v>1397.4622102000094</v>
      </c>
      <c r="AC503">
        <f t="shared" si="140"/>
        <v>1408.2337759132827</v>
      </c>
      <c r="AD503">
        <f t="shared" si="141"/>
        <v>0</v>
      </c>
      <c r="AE503">
        <f t="shared" si="142"/>
        <v>1454.2521299166183</v>
      </c>
      <c r="AF503">
        <f t="shared" si="143"/>
        <v>1000</v>
      </c>
      <c r="AG503">
        <f t="shared" si="144"/>
        <v>-1065.5112837576921</v>
      </c>
      <c r="AH503">
        <f t="shared" si="145"/>
        <v>3382.5112837576926</v>
      </c>
      <c r="AI503" s="5">
        <f t="shared" si="128"/>
        <v>0.4315925766076823</v>
      </c>
      <c r="AJ503" s="5">
        <f t="shared" si="129"/>
        <v>0</v>
      </c>
      <c r="AK503" s="5">
        <f t="shared" si="130"/>
        <v>0.29563833380300863</v>
      </c>
    </row>
    <row r="504" spans="1:37" x14ac:dyDescent="0.3">
      <c r="A504">
        <v>5379646</v>
      </c>
      <c r="B504" t="s">
        <v>32</v>
      </c>
      <c r="C504">
        <v>3.333333333333333</v>
      </c>
      <c r="D504">
        <v>4420.7274542038558</v>
      </c>
      <c r="I504">
        <v>173.40878882856001</v>
      </c>
      <c r="J504">
        <v>225.94382860262851</v>
      </c>
      <c r="K504">
        <v>237.19802189610019</v>
      </c>
      <c r="L504">
        <v>297.51776589169759</v>
      </c>
      <c r="M504">
        <v>0</v>
      </c>
      <c r="N504">
        <v>168.59323739188861</v>
      </c>
      <c r="O504">
        <v>2050.430173563941</v>
      </c>
      <c r="P504" s="2">
        <v>45154.486111111109</v>
      </c>
      <c r="Q504" s="2">
        <v>45154.625</v>
      </c>
      <c r="R504">
        <v>6315.7781193598021</v>
      </c>
      <c r="S504">
        <v>7.477187628216214</v>
      </c>
      <c r="T504">
        <f t="shared" si="131"/>
        <v>1.6256751272536742</v>
      </c>
      <c r="U504">
        <f t="shared" si="132"/>
        <v>2155.9999999999995</v>
      </c>
      <c r="V504">
        <f t="shared" si="133"/>
        <v>0</v>
      </c>
      <c r="W504">
        <f t="shared" si="134"/>
        <v>0</v>
      </c>
      <c r="X504">
        <f t="shared" si="135"/>
        <v>0</v>
      </c>
      <c r="Y504">
        <f t="shared" si="136"/>
        <v>0</v>
      </c>
      <c r="Z504">
        <f t="shared" si="137"/>
        <v>84.571906453732453</v>
      </c>
      <c r="AA504">
        <f t="shared" si="138"/>
        <v>110.19337869472815</v>
      </c>
      <c r="AB504">
        <f t="shared" si="139"/>
        <v>115.68207732907875</v>
      </c>
      <c r="AC504">
        <f t="shared" si="140"/>
        <v>145.10016957786431</v>
      </c>
      <c r="AD504">
        <f t="shared" si="141"/>
        <v>0</v>
      </c>
      <c r="AE504">
        <f t="shared" si="142"/>
        <v>82.223349795350231</v>
      </c>
      <c r="AF504">
        <f t="shared" si="143"/>
        <v>1000</v>
      </c>
      <c r="AG504">
        <f t="shared" si="144"/>
        <v>-924.22101936886611</v>
      </c>
      <c r="AH504">
        <f t="shared" si="145"/>
        <v>3080.2210193688657</v>
      </c>
      <c r="AI504" s="5">
        <f t="shared" si="128"/>
        <v>0.46382189239332106</v>
      </c>
      <c r="AJ504" s="5">
        <f t="shared" si="129"/>
        <v>0</v>
      </c>
      <c r="AK504" s="5">
        <f t="shared" si="130"/>
        <v>0.32465202779666086</v>
      </c>
    </row>
    <row r="505" spans="1:37" x14ac:dyDescent="0.3">
      <c r="A505">
        <v>5379649</v>
      </c>
      <c r="B505" t="s">
        <v>43</v>
      </c>
      <c r="C505">
        <v>11</v>
      </c>
      <c r="D505">
        <v>20722.12437718215</v>
      </c>
      <c r="I505">
        <v>1972.8750174226379</v>
      </c>
      <c r="J505">
        <v>1985.2818237997999</v>
      </c>
      <c r="K505">
        <v>3337.3002466594298</v>
      </c>
      <c r="L505">
        <v>3338.0676399230888</v>
      </c>
      <c r="M505">
        <v>0</v>
      </c>
      <c r="N505">
        <v>1520.958612035432</v>
      </c>
      <c r="O505">
        <v>8943.5150527329079</v>
      </c>
      <c r="P505" s="2">
        <v>45154.715277777781</v>
      </c>
      <c r="Q505" s="2">
        <v>45155.173611111109</v>
      </c>
      <c r="R505">
        <v>20697.94079878911</v>
      </c>
      <c r="S505">
        <v>7.4745481951339254</v>
      </c>
      <c r="T505">
        <f t="shared" si="131"/>
        <v>1.2299414643058808</v>
      </c>
      <c r="U505">
        <f t="shared" si="132"/>
        <v>2317</v>
      </c>
      <c r="V505">
        <f t="shared" si="133"/>
        <v>0</v>
      </c>
      <c r="W505">
        <f t="shared" si="134"/>
        <v>0</v>
      </c>
      <c r="X505">
        <f t="shared" si="135"/>
        <v>0</v>
      </c>
      <c r="Y505">
        <f t="shared" si="136"/>
        <v>0</v>
      </c>
      <c r="Z505">
        <f t="shared" si="137"/>
        <v>220.59279889284448</v>
      </c>
      <c r="AA505">
        <f t="shared" si="138"/>
        <v>221.98003940219778</v>
      </c>
      <c r="AB505">
        <f t="shared" si="139"/>
        <v>373.15308656406148</v>
      </c>
      <c r="AC505">
        <f t="shared" si="140"/>
        <v>373.23889099991635</v>
      </c>
      <c r="AD505">
        <f t="shared" si="141"/>
        <v>0</v>
      </c>
      <c r="AE505">
        <f t="shared" si="142"/>
        <v>170.06273294868174</v>
      </c>
      <c r="AF505">
        <f t="shared" si="143"/>
        <v>999.99999999999989</v>
      </c>
      <c r="AG505">
        <f t="shared" si="144"/>
        <v>2.7040350746260629</v>
      </c>
      <c r="AH505">
        <f t="shared" si="145"/>
        <v>2314.2959649253739</v>
      </c>
      <c r="AI505" s="5">
        <f t="shared" si="128"/>
        <v>0.4315925766076823</v>
      </c>
      <c r="AJ505" s="5">
        <f t="shared" si="129"/>
        <v>0</v>
      </c>
      <c r="AK505" s="5">
        <f t="shared" si="130"/>
        <v>0.43209685155037886</v>
      </c>
    </row>
    <row r="506" spans="1:37" x14ac:dyDescent="0.3">
      <c r="A506">
        <v>5379652</v>
      </c>
      <c r="B506" t="s">
        <v>34</v>
      </c>
      <c r="C506">
        <v>14.856666666666669</v>
      </c>
      <c r="D506">
        <v>24763.418331529891</v>
      </c>
      <c r="I506">
        <v>515.83706404785801</v>
      </c>
      <c r="J506">
        <v>3227.689391018142</v>
      </c>
      <c r="K506">
        <v>6016.624134428881</v>
      </c>
      <c r="L506">
        <v>475.56438538869372</v>
      </c>
      <c r="M506">
        <v>-2074</v>
      </c>
      <c r="N506">
        <v>1069.1051049077421</v>
      </c>
      <c r="O506">
        <v>10687.82901662921</v>
      </c>
      <c r="P506" s="2">
        <v>45155.170138888891</v>
      </c>
      <c r="Q506" s="2">
        <v>45155.789166666669</v>
      </c>
      <c r="R506">
        <v>27962.17505653765</v>
      </c>
      <c r="S506">
        <v>7.5840919883230367</v>
      </c>
      <c r="T506">
        <f t="shared" si="131"/>
        <v>1.3900546728012919</v>
      </c>
      <c r="U506">
        <f t="shared" si="132"/>
        <v>2316.9736616295459</v>
      </c>
      <c r="V506">
        <f t="shared" si="133"/>
        <v>0</v>
      </c>
      <c r="W506">
        <f t="shared" si="134"/>
        <v>0</v>
      </c>
      <c r="X506">
        <f t="shared" si="135"/>
        <v>0</v>
      </c>
      <c r="Y506">
        <f t="shared" si="136"/>
        <v>0</v>
      </c>
      <c r="Z506">
        <f t="shared" si="137"/>
        <v>48.263970470080153</v>
      </c>
      <c r="AA506">
        <f t="shared" si="138"/>
        <v>301.99672786645209</v>
      </c>
      <c r="AB506">
        <f t="shared" si="139"/>
        <v>562.94165307730941</v>
      </c>
      <c r="AC506">
        <f t="shared" si="140"/>
        <v>44.495882620199325</v>
      </c>
      <c r="AD506">
        <f t="shared" si="141"/>
        <v>-194.05250559052359</v>
      </c>
      <c r="AE506">
        <f t="shared" si="142"/>
        <v>100.03014674395705</v>
      </c>
      <c r="AF506">
        <f t="shared" si="143"/>
        <v>1000</v>
      </c>
      <c r="AG506">
        <f t="shared" si="144"/>
        <v>-299.28966116793345</v>
      </c>
      <c r="AH506">
        <f t="shared" si="145"/>
        <v>2616.2633227974793</v>
      </c>
      <c r="AI506" s="5">
        <f t="shared" si="128"/>
        <v>0.43159748276840232</v>
      </c>
      <c r="AJ506" s="5">
        <f t="shared" si="129"/>
        <v>0</v>
      </c>
      <c r="AK506" s="5">
        <f t="shared" si="130"/>
        <v>0.38222452277117691</v>
      </c>
    </row>
    <row r="507" spans="1:37" x14ac:dyDescent="0.3">
      <c r="A507">
        <v>5379655</v>
      </c>
      <c r="B507" t="s">
        <v>46</v>
      </c>
      <c r="C507">
        <v>41.7</v>
      </c>
      <c r="D507">
        <v>69509</v>
      </c>
      <c r="I507">
        <v>0</v>
      </c>
      <c r="J507">
        <v>9060</v>
      </c>
      <c r="K507">
        <v>16891</v>
      </c>
      <c r="L507">
        <v>0</v>
      </c>
      <c r="M507">
        <v>7260</v>
      </c>
      <c r="N507">
        <v>22501</v>
      </c>
      <c r="O507">
        <v>30000</v>
      </c>
      <c r="P507" s="2">
        <v>45155.291666666657</v>
      </c>
      <c r="Q507" s="2">
        <v>45157.526666666658</v>
      </c>
      <c r="R507">
        <v>100979.0934425983</v>
      </c>
      <c r="S507">
        <v>7.615766423780375</v>
      </c>
      <c r="T507">
        <f t="shared" si="131"/>
        <v>1.39</v>
      </c>
      <c r="U507">
        <f t="shared" si="132"/>
        <v>2316.9666666666667</v>
      </c>
      <c r="V507">
        <f t="shared" si="133"/>
        <v>0</v>
      </c>
      <c r="W507">
        <f t="shared" si="134"/>
        <v>0</v>
      </c>
      <c r="X507">
        <f t="shared" si="135"/>
        <v>0</v>
      </c>
      <c r="Y507">
        <f t="shared" si="136"/>
        <v>0</v>
      </c>
      <c r="Z507">
        <f t="shared" si="137"/>
        <v>0</v>
      </c>
      <c r="AA507">
        <f t="shared" si="138"/>
        <v>302</v>
      </c>
      <c r="AB507">
        <f t="shared" si="139"/>
        <v>563.0333333333333</v>
      </c>
      <c r="AC507">
        <f t="shared" si="140"/>
        <v>0</v>
      </c>
      <c r="AD507">
        <f t="shared" si="141"/>
        <v>242</v>
      </c>
      <c r="AE507">
        <f t="shared" si="142"/>
        <v>750.0333333333333</v>
      </c>
      <c r="AF507">
        <f t="shared" si="143"/>
        <v>1000</v>
      </c>
      <c r="AG507">
        <f t="shared" si="144"/>
        <v>-1049.0031147532763</v>
      </c>
      <c r="AH507">
        <f t="shared" si="145"/>
        <v>3365.969781419943</v>
      </c>
      <c r="AI507" s="5">
        <f t="shared" si="128"/>
        <v>0.43159878576874938</v>
      </c>
      <c r="AJ507" s="5">
        <f t="shared" si="129"/>
        <v>0</v>
      </c>
      <c r="AK507" s="5">
        <f t="shared" si="130"/>
        <v>0.2970911995467016</v>
      </c>
    </row>
    <row r="508" spans="1:37" x14ac:dyDescent="0.3">
      <c r="A508">
        <v>5379971</v>
      </c>
      <c r="B508" t="s">
        <v>32</v>
      </c>
      <c r="C508">
        <v>106</v>
      </c>
      <c r="D508">
        <v>266522</v>
      </c>
      <c r="I508">
        <v>0</v>
      </c>
      <c r="J508">
        <v>27814.775000000001</v>
      </c>
      <c r="K508">
        <v>8899.9680000000008</v>
      </c>
      <c r="L508">
        <v>4095.8389999999999</v>
      </c>
      <c r="M508">
        <v>80230</v>
      </c>
      <c r="N508">
        <v>49942</v>
      </c>
      <c r="O508">
        <v>123618</v>
      </c>
      <c r="P508" s="2">
        <v>45157.989583333343</v>
      </c>
      <c r="Q508" s="2">
        <v>45162.53125</v>
      </c>
      <c r="R508">
        <v>284817</v>
      </c>
      <c r="S508">
        <v>5.7874999046325684</v>
      </c>
      <c r="T508">
        <f t="shared" si="131"/>
        <v>0.8574803022213594</v>
      </c>
      <c r="U508">
        <f t="shared" si="132"/>
        <v>2156.012878383407</v>
      </c>
      <c r="V508">
        <f t="shared" si="133"/>
        <v>0</v>
      </c>
      <c r="W508">
        <f t="shared" si="134"/>
        <v>0</v>
      </c>
      <c r="X508">
        <f t="shared" si="135"/>
        <v>0</v>
      </c>
      <c r="Y508">
        <f t="shared" si="136"/>
        <v>0</v>
      </c>
      <c r="Z508">
        <f t="shared" si="137"/>
        <v>0</v>
      </c>
      <c r="AA508">
        <f t="shared" si="138"/>
        <v>225.00586484168971</v>
      </c>
      <c r="AB508">
        <f t="shared" si="139"/>
        <v>71.995728777362515</v>
      </c>
      <c r="AC508">
        <f t="shared" si="140"/>
        <v>33.133030788396511</v>
      </c>
      <c r="AD508">
        <f t="shared" si="141"/>
        <v>649.01551553980812</v>
      </c>
      <c r="AE508">
        <f t="shared" si="142"/>
        <v>404.00265333527477</v>
      </c>
      <c r="AF508">
        <f t="shared" si="143"/>
        <v>1000</v>
      </c>
      <c r="AG508">
        <f t="shared" si="144"/>
        <v>-147.99624650131864</v>
      </c>
      <c r="AH508">
        <f t="shared" si="145"/>
        <v>2304.0091248847257</v>
      </c>
      <c r="AI508" s="5">
        <f t="shared" si="128"/>
        <v>0.46381912187361646</v>
      </c>
      <c r="AJ508" s="5">
        <f t="shared" si="129"/>
        <v>0</v>
      </c>
      <c r="AK508" s="5">
        <f t="shared" si="130"/>
        <v>0.43402605883778006</v>
      </c>
    </row>
    <row r="509" spans="1:37" x14ac:dyDescent="0.3">
      <c r="A509">
        <v>5379968</v>
      </c>
      <c r="B509" t="s">
        <v>38</v>
      </c>
      <c r="C509">
        <v>9.0399999999999991</v>
      </c>
      <c r="D509">
        <v>22224</v>
      </c>
      <c r="I509">
        <v>0</v>
      </c>
      <c r="J509">
        <v>2309</v>
      </c>
      <c r="K509">
        <v>865</v>
      </c>
      <c r="L509">
        <v>0</v>
      </c>
      <c r="M509">
        <v>6652</v>
      </c>
      <c r="N509">
        <v>4205</v>
      </c>
      <c r="O509">
        <v>9825</v>
      </c>
      <c r="P509" s="2">
        <v>45157.291666666657</v>
      </c>
      <c r="Q509" s="2">
        <v>45157.668333333328</v>
      </c>
      <c r="R509">
        <v>18785.583929386459</v>
      </c>
      <c r="S509">
        <v>6.3093141718679684</v>
      </c>
      <c r="T509">
        <f t="shared" si="131"/>
        <v>0.92010178117048347</v>
      </c>
      <c r="U509">
        <f t="shared" si="132"/>
        <v>2261.9847328244273</v>
      </c>
      <c r="V509">
        <f t="shared" si="133"/>
        <v>0</v>
      </c>
      <c r="W509">
        <f t="shared" si="134"/>
        <v>0</v>
      </c>
      <c r="X509">
        <f t="shared" si="135"/>
        <v>0</v>
      </c>
      <c r="Y509">
        <f t="shared" si="136"/>
        <v>0</v>
      </c>
      <c r="Z509">
        <f t="shared" si="137"/>
        <v>0</v>
      </c>
      <c r="AA509">
        <f t="shared" si="138"/>
        <v>235.01272264631044</v>
      </c>
      <c r="AB509">
        <f t="shared" si="139"/>
        <v>88.040712468193391</v>
      </c>
      <c r="AC509">
        <f t="shared" si="140"/>
        <v>0</v>
      </c>
      <c r="AD509">
        <f t="shared" si="141"/>
        <v>677.04834605597966</v>
      </c>
      <c r="AE509">
        <f t="shared" si="142"/>
        <v>427.98982188295167</v>
      </c>
      <c r="AF509">
        <f t="shared" si="143"/>
        <v>1000</v>
      </c>
      <c r="AG509">
        <f t="shared" si="144"/>
        <v>349.96601227618726</v>
      </c>
      <c r="AH509">
        <f t="shared" si="145"/>
        <v>1912.01872054824</v>
      </c>
      <c r="AI509" s="5">
        <f t="shared" si="128"/>
        <v>0.44208963282937364</v>
      </c>
      <c r="AJ509" s="5">
        <f t="shared" si="129"/>
        <v>0</v>
      </c>
      <c r="AK509" s="5">
        <f t="shared" si="130"/>
        <v>0.52300743149275564</v>
      </c>
    </row>
    <row r="510" spans="1:37" x14ac:dyDescent="0.3">
      <c r="A510">
        <v>5379965</v>
      </c>
      <c r="B510" t="s">
        <v>39</v>
      </c>
      <c r="C510">
        <v>5.98</v>
      </c>
      <c r="D510">
        <v>14703</v>
      </c>
      <c r="I510">
        <v>0</v>
      </c>
      <c r="J510">
        <v>1528</v>
      </c>
      <c r="K510">
        <v>572</v>
      </c>
      <c r="L510">
        <v>0</v>
      </c>
      <c r="M510">
        <v>4401</v>
      </c>
      <c r="N510">
        <v>2782</v>
      </c>
      <c r="O510">
        <v>6500</v>
      </c>
      <c r="P510" s="2">
        <v>45157.53125</v>
      </c>
      <c r="Q510" s="2">
        <v>45157.780416666668</v>
      </c>
      <c r="R510">
        <v>15656.237508632459</v>
      </c>
      <c r="S510">
        <v>5.92254629164536</v>
      </c>
      <c r="T510">
        <f t="shared" si="131"/>
        <v>0.92</v>
      </c>
      <c r="U510">
        <f t="shared" si="132"/>
        <v>2262</v>
      </c>
      <c r="V510">
        <f t="shared" si="133"/>
        <v>0</v>
      </c>
      <c r="W510">
        <f t="shared" si="134"/>
        <v>0</v>
      </c>
      <c r="X510">
        <f t="shared" si="135"/>
        <v>0</v>
      </c>
      <c r="Y510">
        <f t="shared" si="136"/>
        <v>0</v>
      </c>
      <c r="Z510">
        <f t="shared" si="137"/>
        <v>0</v>
      </c>
      <c r="AA510">
        <f t="shared" si="138"/>
        <v>235.07692307692307</v>
      </c>
      <c r="AB510">
        <f t="shared" si="139"/>
        <v>88</v>
      </c>
      <c r="AC510">
        <f t="shared" si="140"/>
        <v>0</v>
      </c>
      <c r="AD510">
        <f t="shared" si="141"/>
        <v>677.07692307692309</v>
      </c>
      <c r="AE510">
        <f t="shared" si="142"/>
        <v>428</v>
      </c>
      <c r="AF510">
        <f t="shared" si="143"/>
        <v>1000</v>
      </c>
      <c r="AG510">
        <f t="shared" si="144"/>
        <v>-146.65192440499368</v>
      </c>
      <c r="AH510">
        <f t="shared" si="145"/>
        <v>2408.6519244049937</v>
      </c>
      <c r="AI510" s="5">
        <f t="shared" si="128"/>
        <v>0.44208664898320071</v>
      </c>
      <c r="AJ510" s="5">
        <f t="shared" si="129"/>
        <v>0</v>
      </c>
      <c r="AK510" s="5">
        <f t="shared" si="130"/>
        <v>0.41516999192277593</v>
      </c>
    </row>
    <row r="511" spans="1:37" x14ac:dyDescent="0.3">
      <c r="A511">
        <v>5380239</v>
      </c>
      <c r="B511" t="s">
        <v>42</v>
      </c>
      <c r="C511">
        <v>42.25</v>
      </c>
      <c r="D511">
        <v>107852</v>
      </c>
      <c r="I511">
        <v>0</v>
      </c>
      <c r="J511">
        <v>13556.376</v>
      </c>
      <c r="K511">
        <v>3601.4319999999998</v>
      </c>
      <c r="L511">
        <v>0</v>
      </c>
      <c r="M511">
        <v>32465</v>
      </c>
      <c r="N511">
        <v>20209</v>
      </c>
      <c r="O511">
        <v>50024</v>
      </c>
      <c r="P511" s="2">
        <v>45162.53125</v>
      </c>
      <c r="Q511" s="2">
        <v>45164.291666666657</v>
      </c>
      <c r="R511">
        <v>0</v>
      </c>
      <c r="T511">
        <f t="shared" si="131"/>
        <v>0.84459459459459463</v>
      </c>
      <c r="U511">
        <f t="shared" si="132"/>
        <v>2156.0051175435792</v>
      </c>
      <c r="V511">
        <f t="shared" si="133"/>
        <v>0</v>
      </c>
      <c r="W511">
        <f t="shared" si="134"/>
        <v>0</v>
      </c>
      <c r="X511">
        <f t="shared" si="135"/>
        <v>0</v>
      </c>
      <c r="Y511">
        <f t="shared" si="136"/>
        <v>0</v>
      </c>
      <c r="Z511">
        <f t="shared" si="137"/>
        <v>0</v>
      </c>
      <c r="AA511">
        <f t="shared" si="138"/>
        <v>270.99744122821045</v>
      </c>
      <c r="AB511">
        <f t="shared" si="139"/>
        <v>71.994082840236686</v>
      </c>
      <c r="AC511">
        <f t="shared" si="140"/>
        <v>0</v>
      </c>
      <c r="AD511">
        <f t="shared" si="141"/>
        <v>648.9884855269471</v>
      </c>
      <c r="AE511">
        <f t="shared" si="142"/>
        <v>403.98608667839437</v>
      </c>
      <c r="AF511">
        <f t="shared" si="143"/>
        <v>1000</v>
      </c>
      <c r="AG511">
        <f t="shared" si="144"/>
        <v>2156.0051175435792</v>
      </c>
      <c r="AH511">
        <f t="shared" si="145"/>
        <v>0</v>
      </c>
      <c r="AI511" s="5">
        <f t="shared" si="128"/>
        <v>0.4638207914549568</v>
      </c>
      <c r="AJ511" s="5">
        <f t="shared" si="129"/>
        <v>0</v>
      </c>
      <c r="AK511" s="5">
        <f t="shared" si="130"/>
        <v>0</v>
      </c>
    </row>
    <row r="512" spans="1:37" x14ac:dyDescent="0.3">
      <c r="A512">
        <v>5380406</v>
      </c>
      <c r="B512" t="s">
        <v>41</v>
      </c>
      <c r="C512">
        <v>72</v>
      </c>
      <c r="D512">
        <v>181668</v>
      </c>
      <c r="I512">
        <v>0</v>
      </c>
      <c r="J512">
        <v>21823.858</v>
      </c>
      <c r="K512">
        <v>6066.8639999999996</v>
      </c>
      <c r="L512">
        <v>0</v>
      </c>
      <c r="M512">
        <v>54686.144</v>
      </c>
      <c r="N512">
        <v>34041.423999999999</v>
      </c>
      <c r="O512">
        <v>84262</v>
      </c>
      <c r="P512" s="2">
        <v>45164.291666666657</v>
      </c>
      <c r="Q512" s="2">
        <v>45167.291666666657</v>
      </c>
      <c r="R512">
        <v>0</v>
      </c>
      <c r="T512">
        <f t="shared" si="131"/>
        <v>0.85447770050556593</v>
      </c>
      <c r="U512">
        <f t="shared" si="132"/>
        <v>2155.9896513256272</v>
      </c>
      <c r="V512">
        <f t="shared" si="133"/>
        <v>0</v>
      </c>
      <c r="W512">
        <f t="shared" si="134"/>
        <v>0</v>
      </c>
      <c r="X512">
        <f t="shared" si="135"/>
        <v>0</v>
      </c>
      <c r="Y512">
        <f t="shared" si="136"/>
        <v>0</v>
      </c>
      <c r="Z512">
        <f t="shared" si="137"/>
        <v>0</v>
      </c>
      <c r="AA512">
        <f t="shared" si="138"/>
        <v>259</v>
      </c>
      <c r="AB512">
        <f t="shared" si="139"/>
        <v>72</v>
      </c>
      <c r="AC512">
        <f t="shared" si="140"/>
        <v>0</v>
      </c>
      <c r="AD512">
        <f t="shared" si="141"/>
        <v>649.0012579810591</v>
      </c>
      <c r="AE512">
        <f t="shared" si="142"/>
        <v>403.99496807576367</v>
      </c>
      <c r="AF512">
        <f t="shared" si="143"/>
        <v>1000</v>
      </c>
      <c r="AG512">
        <f t="shared" si="144"/>
        <v>2155.9896513256272</v>
      </c>
      <c r="AH512">
        <f t="shared" si="145"/>
        <v>0</v>
      </c>
      <c r="AI512" s="5">
        <f t="shared" si="128"/>
        <v>0.46382411872206442</v>
      </c>
      <c r="AJ512" s="5">
        <f t="shared" si="129"/>
        <v>0</v>
      </c>
      <c r="AK512" s="5">
        <f t="shared" si="130"/>
        <v>0</v>
      </c>
    </row>
    <row r="513" spans="1:37" x14ac:dyDescent="0.3">
      <c r="A513">
        <v>5380412</v>
      </c>
      <c r="B513" t="s">
        <v>32</v>
      </c>
      <c r="C513">
        <v>7.5</v>
      </c>
      <c r="D513">
        <v>36762</v>
      </c>
      <c r="I513">
        <v>0</v>
      </c>
      <c r="J513">
        <v>3836.4749999999999</v>
      </c>
      <c r="K513">
        <v>1227.672</v>
      </c>
      <c r="L513">
        <v>0</v>
      </c>
      <c r="M513">
        <v>11066.099</v>
      </c>
      <c r="N513">
        <v>6888.6040000000003</v>
      </c>
      <c r="O513">
        <v>17051</v>
      </c>
      <c r="P513" s="2">
        <v>45170.291666666657</v>
      </c>
      <c r="Q513" s="2">
        <v>45170.604166666657</v>
      </c>
      <c r="R513">
        <v>0</v>
      </c>
      <c r="T513">
        <f t="shared" si="131"/>
        <v>0.43985689988856957</v>
      </c>
      <c r="U513">
        <f t="shared" si="132"/>
        <v>2156.0025804938127</v>
      </c>
      <c r="V513">
        <f t="shared" si="133"/>
        <v>0</v>
      </c>
      <c r="W513">
        <f t="shared" si="134"/>
        <v>0</v>
      </c>
      <c r="X513">
        <f t="shared" si="135"/>
        <v>0</v>
      </c>
      <c r="Y513">
        <f t="shared" si="136"/>
        <v>0</v>
      </c>
      <c r="Z513">
        <f t="shared" si="137"/>
        <v>0</v>
      </c>
      <c r="AA513">
        <f t="shared" si="138"/>
        <v>225</v>
      </c>
      <c r="AB513">
        <f t="shared" si="139"/>
        <v>72</v>
      </c>
      <c r="AC513">
        <f t="shared" si="140"/>
        <v>0</v>
      </c>
      <c r="AD513">
        <f t="shared" si="141"/>
        <v>649</v>
      </c>
      <c r="AE513">
        <f t="shared" si="142"/>
        <v>404</v>
      </c>
      <c r="AF513">
        <f t="shared" si="143"/>
        <v>1000</v>
      </c>
      <c r="AG513">
        <f t="shared" si="144"/>
        <v>2156.0025804938127</v>
      </c>
      <c r="AH513">
        <f t="shared" si="145"/>
        <v>0</v>
      </c>
      <c r="AI513" s="5">
        <f t="shared" si="128"/>
        <v>0.46382133725042163</v>
      </c>
      <c r="AJ513" s="5">
        <f t="shared" si="129"/>
        <v>0</v>
      </c>
      <c r="AK513" s="5">
        <f t="shared" si="130"/>
        <v>0</v>
      </c>
    </row>
    <row r="514" spans="1:37" x14ac:dyDescent="0.3">
      <c r="A514">
        <v>5380972</v>
      </c>
      <c r="B514" t="s">
        <v>41</v>
      </c>
      <c r="C514">
        <v>5.5</v>
      </c>
      <c r="D514">
        <v>18693</v>
      </c>
      <c r="I514">
        <v>0</v>
      </c>
      <c r="J514">
        <v>2245.5300000000002</v>
      </c>
      <c r="K514">
        <v>624.24</v>
      </c>
      <c r="L514">
        <v>0</v>
      </c>
      <c r="M514">
        <v>5626.83</v>
      </c>
      <c r="N514">
        <v>3502.68</v>
      </c>
      <c r="O514">
        <v>8670</v>
      </c>
      <c r="P514" s="2">
        <v>45170.604166666657</v>
      </c>
      <c r="Q514" s="2">
        <v>45170.833333333343</v>
      </c>
      <c r="R514">
        <v>0</v>
      </c>
      <c r="T514">
        <f t="shared" si="131"/>
        <v>0.63437139561707034</v>
      </c>
      <c r="U514">
        <f t="shared" si="132"/>
        <v>2156.0553633217992</v>
      </c>
      <c r="V514">
        <f t="shared" si="133"/>
        <v>0</v>
      </c>
      <c r="W514">
        <f t="shared" si="134"/>
        <v>0</v>
      </c>
      <c r="X514">
        <f t="shared" si="135"/>
        <v>0</v>
      </c>
      <c r="Y514">
        <f t="shared" si="136"/>
        <v>0</v>
      </c>
      <c r="Z514">
        <f t="shared" si="137"/>
        <v>0</v>
      </c>
      <c r="AA514">
        <f t="shared" si="138"/>
        <v>259</v>
      </c>
      <c r="AB514">
        <f t="shared" si="139"/>
        <v>72</v>
      </c>
      <c r="AC514">
        <f t="shared" si="140"/>
        <v>0</v>
      </c>
      <c r="AD514">
        <f t="shared" si="141"/>
        <v>649</v>
      </c>
      <c r="AE514">
        <f t="shared" si="142"/>
        <v>404</v>
      </c>
      <c r="AF514">
        <f t="shared" si="143"/>
        <v>1000</v>
      </c>
      <c r="AG514">
        <f t="shared" si="144"/>
        <v>2156.0553633217992</v>
      </c>
      <c r="AH514">
        <f t="shared" si="145"/>
        <v>0</v>
      </c>
      <c r="AI514" s="5">
        <f t="shared" si="128"/>
        <v>0.46380998234633286</v>
      </c>
      <c r="AJ514" s="5">
        <f t="shared" si="129"/>
        <v>0</v>
      </c>
      <c r="AK514" s="5">
        <f t="shared" si="130"/>
        <v>0</v>
      </c>
    </row>
    <row r="515" spans="1:37" x14ac:dyDescent="0.3">
      <c r="A515">
        <v>5380975</v>
      </c>
      <c r="B515" t="s">
        <v>39</v>
      </c>
      <c r="C515">
        <v>17</v>
      </c>
      <c r="D515">
        <v>44788</v>
      </c>
      <c r="I515">
        <v>0</v>
      </c>
      <c r="J515">
        <v>4653</v>
      </c>
      <c r="K515">
        <v>1742.4</v>
      </c>
      <c r="L515">
        <v>0</v>
      </c>
      <c r="M515">
        <v>13404.6</v>
      </c>
      <c r="N515">
        <v>8474.4</v>
      </c>
      <c r="O515">
        <v>19800</v>
      </c>
      <c r="P515" s="2">
        <v>45170.833333333343</v>
      </c>
      <c r="Q515" s="2">
        <v>45171.541666666657</v>
      </c>
      <c r="R515">
        <v>44538.155241505767</v>
      </c>
      <c r="S515">
        <v>7.4847683574979671</v>
      </c>
      <c r="T515">
        <f t="shared" si="131"/>
        <v>0.85858585858585856</v>
      </c>
      <c r="U515">
        <f t="shared" si="132"/>
        <v>2262.0202020202019</v>
      </c>
      <c r="V515">
        <f t="shared" si="133"/>
        <v>0</v>
      </c>
      <c r="W515">
        <f t="shared" si="134"/>
        <v>0</v>
      </c>
      <c r="X515">
        <f t="shared" si="135"/>
        <v>0</v>
      </c>
      <c r="Y515">
        <f t="shared" si="136"/>
        <v>0</v>
      </c>
      <c r="Z515">
        <f t="shared" si="137"/>
        <v>0</v>
      </c>
      <c r="AA515">
        <f t="shared" si="138"/>
        <v>235</v>
      </c>
      <c r="AB515">
        <f t="shared" si="139"/>
        <v>88</v>
      </c>
      <c r="AC515">
        <f t="shared" si="140"/>
        <v>0</v>
      </c>
      <c r="AD515">
        <f t="shared" si="141"/>
        <v>677</v>
      </c>
      <c r="AE515">
        <f t="shared" si="142"/>
        <v>428</v>
      </c>
      <c r="AF515">
        <f t="shared" si="143"/>
        <v>1000</v>
      </c>
      <c r="AG515">
        <f t="shared" si="144"/>
        <v>12.618422146173543</v>
      </c>
      <c r="AH515">
        <f t="shared" si="145"/>
        <v>2249.4017798740283</v>
      </c>
      <c r="AI515" s="5">
        <f t="shared" si="128"/>
        <v>0.44208270072340805</v>
      </c>
      <c r="AJ515" s="5">
        <f t="shared" si="129"/>
        <v>0</v>
      </c>
      <c r="AK515" s="5">
        <f t="shared" ref="AK515:AK519" si="146">IFERROR(O515/R515,0)</f>
        <v>0.4445626428089704</v>
      </c>
    </row>
    <row r="516" spans="1:37" x14ac:dyDescent="0.3">
      <c r="A516">
        <v>5380978</v>
      </c>
      <c r="B516" t="s">
        <v>38</v>
      </c>
      <c r="C516">
        <v>12</v>
      </c>
      <c r="D516">
        <v>34439</v>
      </c>
      <c r="I516">
        <v>0</v>
      </c>
      <c r="J516">
        <v>3577.875</v>
      </c>
      <c r="K516">
        <v>1339.8</v>
      </c>
      <c r="L516">
        <v>0</v>
      </c>
      <c r="M516">
        <v>10307.325000000001</v>
      </c>
      <c r="N516">
        <v>6516.3</v>
      </c>
      <c r="O516">
        <v>15225</v>
      </c>
      <c r="P516" s="2">
        <v>45171.541666666657</v>
      </c>
      <c r="Q516" s="2">
        <v>45172.041666666657</v>
      </c>
      <c r="R516">
        <v>31257.230737159061</v>
      </c>
      <c r="S516">
        <v>7.8162333663430923</v>
      </c>
      <c r="T516">
        <f t="shared" ref="T516:T519" si="147">1000*C516/$O516</f>
        <v>0.78817733990147787</v>
      </c>
      <c r="U516">
        <f t="shared" ref="U516:U519" si="148">1000*D516/$O516</f>
        <v>2262.0032840722497</v>
      </c>
      <c r="V516">
        <f t="shared" ref="V516:V519" si="149">1000*E516/$O516</f>
        <v>0</v>
      </c>
      <c r="W516">
        <f t="shared" ref="W516:W519" si="150">1000*F516/$O516</f>
        <v>0</v>
      </c>
      <c r="X516">
        <f t="shared" ref="X516:X519" si="151">1000*G516/$O516</f>
        <v>0</v>
      </c>
      <c r="Y516">
        <f t="shared" ref="Y516:Y519" si="152">1000*H516/$O516</f>
        <v>0</v>
      </c>
      <c r="Z516">
        <f t="shared" ref="Z516:Z519" si="153">1000*I516/$O516</f>
        <v>0</v>
      </c>
      <c r="AA516">
        <f t="shared" ref="AA516:AA519" si="154">1000*J516/$O516</f>
        <v>235</v>
      </c>
      <c r="AB516">
        <f t="shared" ref="AB516:AB519" si="155">1000*K516/$O516</f>
        <v>88</v>
      </c>
      <c r="AC516">
        <f t="shared" ref="AC516:AC519" si="156">1000*L516/$O516</f>
        <v>0</v>
      </c>
      <c r="AD516">
        <f t="shared" ref="AD516:AD519" si="157">1000*M516/$O516</f>
        <v>677</v>
      </c>
      <c r="AE516">
        <f t="shared" ref="AE516:AE519" si="158">1000*N516/$O516</f>
        <v>428</v>
      </c>
      <c r="AF516">
        <f t="shared" ref="AF516:AF519" si="159">1000*O516/$O516</f>
        <v>1000</v>
      </c>
      <c r="AG516">
        <f t="shared" ref="AG516:AG519" si="160">U516-AH516</f>
        <v>208.98320281385486</v>
      </c>
      <c r="AH516">
        <f t="shared" ref="AH516:AH519" si="161">1000*R516/O516</f>
        <v>2053.0200812583948</v>
      </c>
      <c r="AI516" s="5">
        <f t="shared" si="128"/>
        <v>0.44208600714306456</v>
      </c>
      <c r="AJ516" s="5">
        <f t="shared" si="129"/>
        <v>0</v>
      </c>
      <c r="AK516" s="5">
        <f t="shared" si="146"/>
        <v>0.48708729599325296</v>
      </c>
    </row>
    <row r="517" spans="1:37" x14ac:dyDescent="0.3">
      <c r="A517">
        <v>5380981</v>
      </c>
      <c r="B517" t="s">
        <v>46</v>
      </c>
      <c r="C517">
        <v>11</v>
      </c>
      <c r="D517">
        <v>18334</v>
      </c>
      <c r="I517">
        <v>0</v>
      </c>
      <c r="J517">
        <v>2389.7260000000001</v>
      </c>
      <c r="K517">
        <v>4455.0190000000002</v>
      </c>
      <c r="L517">
        <v>0</v>
      </c>
      <c r="M517">
        <v>1914.9459999999999</v>
      </c>
      <c r="N517">
        <v>5934.75</v>
      </c>
      <c r="O517">
        <v>7913</v>
      </c>
      <c r="P517" s="2">
        <v>45172.041666666657</v>
      </c>
      <c r="Q517" s="2">
        <v>45172.5</v>
      </c>
      <c r="R517">
        <v>20706.53686802938</v>
      </c>
      <c r="S517">
        <v>7.447269739994498</v>
      </c>
      <c r="T517">
        <f t="shared" si="147"/>
        <v>1.3901175281182863</v>
      </c>
      <c r="U517">
        <f t="shared" si="148"/>
        <v>2316.9467964109695</v>
      </c>
      <c r="V517">
        <f t="shared" si="149"/>
        <v>0</v>
      </c>
      <c r="W517">
        <f t="shared" si="150"/>
        <v>0</v>
      </c>
      <c r="X517">
        <f t="shared" si="151"/>
        <v>0</v>
      </c>
      <c r="Y517">
        <f t="shared" si="152"/>
        <v>0</v>
      </c>
      <c r="Z517">
        <f t="shared" si="153"/>
        <v>0</v>
      </c>
      <c r="AA517">
        <f t="shared" si="154"/>
        <v>302</v>
      </c>
      <c r="AB517">
        <f t="shared" si="155"/>
        <v>563</v>
      </c>
      <c r="AC517">
        <f t="shared" si="156"/>
        <v>0</v>
      </c>
      <c r="AD517">
        <f t="shared" si="157"/>
        <v>242</v>
      </c>
      <c r="AE517">
        <f t="shared" si="158"/>
        <v>750</v>
      </c>
      <c r="AF517">
        <f t="shared" si="159"/>
        <v>1000</v>
      </c>
      <c r="AG517">
        <f t="shared" si="160"/>
        <v>-299.82773512313634</v>
      </c>
      <c r="AH517">
        <f t="shared" si="161"/>
        <v>2616.7745315341058</v>
      </c>
      <c r="AI517" s="5">
        <f t="shared" si="128"/>
        <v>0.43160248718228428</v>
      </c>
      <c r="AJ517" s="5">
        <f t="shared" si="129"/>
        <v>0</v>
      </c>
      <c r="AK517" s="5">
        <f t="shared" si="146"/>
        <v>0.38214985202173368</v>
      </c>
    </row>
    <row r="518" spans="1:37" x14ac:dyDescent="0.3">
      <c r="A518">
        <v>5380984</v>
      </c>
      <c r="B518" t="s">
        <v>34</v>
      </c>
      <c r="C518">
        <v>20</v>
      </c>
      <c r="D518">
        <v>31671</v>
      </c>
      <c r="I518">
        <v>-25221.955212383269</v>
      </c>
      <c r="J518">
        <v>4128.0379999999996</v>
      </c>
      <c r="K518">
        <v>7695.646999999999</v>
      </c>
      <c r="L518">
        <v>321.73448490143392</v>
      </c>
      <c r="M518">
        <v>-3458.2570000000001</v>
      </c>
      <c r="N518">
        <v>1366.9</v>
      </c>
      <c r="O518">
        <v>13669</v>
      </c>
      <c r="P518" s="2">
        <v>45172.541666666657</v>
      </c>
      <c r="Q518" s="2">
        <v>45173.333333333343</v>
      </c>
      <c r="R518">
        <v>35762.387890767939</v>
      </c>
      <c r="S518">
        <v>6.6900320840559919</v>
      </c>
      <c r="T518">
        <f t="shared" si="147"/>
        <v>1.4631648255175946</v>
      </c>
      <c r="U518">
        <f t="shared" si="148"/>
        <v>2316.9946594483868</v>
      </c>
      <c r="V518">
        <f t="shared" si="149"/>
        <v>0</v>
      </c>
      <c r="W518">
        <f t="shared" si="150"/>
        <v>0</v>
      </c>
      <c r="X518">
        <f t="shared" si="151"/>
        <v>0</v>
      </c>
      <c r="Y518">
        <f t="shared" si="152"/>
        <v>0</v>
      </c>
      <c r="Z518">
        <f t="shared" si="153"/>
        <v>-1845.1938848769676</v>
      </c>
      <c r="AA518">
        <f t="shared" si="154"/>
        <v>301.99999999999994</v>
      </c>
      <c r="AB518">
        <f t="shared" si="155"/>
        <v>562.99999999999989</v>
      </c>
      <c r="AC518">
        <f t="shared" si="156"/>
        <v>23.537529073189987</v>
      </c>
      <c r="AD518">
        <f t="shared" si="157"/>
        <v>-253</v>
      </c>
      <c r="AE518">
        <f t="shared" si="158"/>
        <v>100</v>
      </c>
      <c r="AF518">
        <f t="shared" si="159"/>
        <v>1000</v>
      </c>
      <c r="AG518">
        <f t="shared" si="160"/>
        <v>-299.31874246601365</v>
      </c>
      <c r="AH518">
        <f t="shared" si="161"/>
        <v>2616.3134019144004</v>
      </c>
      <c r="AI518" s="5">
        <f t="shared" si="128"/>
        <v>0.43159357140601812</v>
      </c>
      <c r="AJ518" s="5">
        <f t="shared" si="129"/>
        <v>0</v>
      </c>
      <c r="AK518" s="5">
        <f t="shared" si="146"/>
        <v>0.38221720657329633</v>
      </c>
    </row>
    <row r="519" spans="1:37" x14ac:dyDescent="0.3">
      <c r="A519">
        <v>5381310</v>
      </c>
      <c r="B519" t="s">
        <v>48</v>
      </c>
      <c r="C519">
        <v>109.6666666666667</v>
      </c>
      <c r="D519">
        <v>0</v>
      </c>
      <c r="E519">
        <v>196835.52833333329</v>
      </c>
      <c r="F519">
        <v>7310.4477799999877</v>
      </c>
      <c r="G519">
        <v>189525.0805533333</v>
      </c>
      <c r="I519">
        <v>0</v>
      </c>
      <c r="J519">
        <v>43306.959045182753</v>
      </c>
      <c r="K519">
        <v>120715.7586630048</v>
      </c>
      <c r="L519">
        <v>0</v>
      </c>
      <c r="M519">
        <v>0</v>
      </c>
      <c r="N519">
        <v>93990.276346579718</v>
      </c>
      <c r="O519">
        <v>86635.355780516416</v>
      </c>
      <c r="P519" s="2">
        <v>45175.291666666657</v>
      </c>
      <c r="Q519" s="2">
        <v>45184.28125</v>
      </c>
      <c r="R519">
        <v>0</v>
      </c>
      <c r="S519">
        <v>5.0040177958352228</v>
      </c>
      <c r="T519">
        <f t="shared" si="147"/>
        <v>1.2658419380708521</v>
      </c>
      <c r="U519">
        <f t="shared" si="148"/>
        <v>0</v>
      </c>
      <c r="V519">
        <f t="shared" si="149"/>
        <v>2272</v>
      </c>
      <c r="W519">
        <f t="shared" si="150"/>
        <v>84.38180595137635</v>
      </c>
      <c r="X519">
        <f t="shared" si="151"/>
        <v>2187.6181940486235</v>
      </c>
      <c r="Y519">
        <f t="shared" si="152"/>
        <v>0</v>
      </c>
      <c r="Z519">
        <f t="shared" si="153"/>
        <v>0</v>
      </c>
      <c r="AA519">
        <f t="shared" si="154"/>
        <v>499.87627631953626</v>
      </c>
      <c r="AB519">
        <f t="shared" si="155"/>
        <v>1393.3775370973058</v>
      </c>
      <c r="AC519">
        <f t="shared" si="156"/>
        <v>0</v>
      </c>
      <c r="AD519">
        <f t="shared" si="157"/>
        <v>0</v>
      </c>
      <c r="AE519">
        <f t="shared" si="158"/>
        <v>1084.8951389395386</v>
      </c>
      <c r="AF519">
        <f t="shared" si="159"/>
        <v>1000</v>
      </c>
      <c r="AG519">
        <f t="shared" si="160"/>
        <v>0</v>
      </c>
      <c r="AH519">
        <f t="shared" si="161"/>
        <v>0</v>
      </c>
      <c r="AI519" s="5">
        <f t="shared" si="128"/>
        <v>0</v>
      </c>
      <c r="AJ519" s="5">
        <f t="shared" si="129"/>
        <v>0.44014084507042256</v>
      </c>
      <c r="AK519" s="5">
        <f t="shared" si="146"/>
        <v>0</v>
      </c>
    </row>
  </sheetData>
  <autoFilter ref="A2:AK519" xr:uid="{00000000-0001-0000-0000-000000000000}">
    <filterColumn colId="15">
      <filters>
        <dateGroupItem year="2023" dateTimeGrouping="year"/>
      </filters>
    </filterColumn>
  </autoFilter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D909AD5-5360-43DB-8489-C2DC1F462D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WO_data!D3:D519</xm:f>
              <xm:sqref>D1</xm:sqref>
            </x14:sparkline>
            <x14:sparkline>
              <xm:f>WO_data!E3:E519</xm:f>
              <xm:sqref>E1</xm:sqref>
            </x14:sparkline>
            <x14:sparkline>
              <xm:f>WO_data!F3:F519</xm:f>
              <xm:sqref>F1</xm:sqref>
            </x14:sparkline>
            <x14:sparkline>
              <xm:f>WO_data!G3:G519</xm:f>
              <xm:sqref>G1</xm:sqref>
            </x14:sparkline>
            <x14:sparkline>
              <xm:f>WO_data!H3:H519</xm:f>
              <xm:sqref>H1</xm:sqref>
            </x14:sparkline>
            <x14:sparkline>
              <xm:f>WO_data!I3:I519</xm:f>
              <xm:sqref>I1</xm:sqref>
            </x14:sparkline>
            <x14:sparkline>
              <xm:f>WO_data!J3:J519</xm:f>
              <xm:sqref>J1</xm:sqref>
            </x14:sparkline>
            <x14:sparkline>
              <xm:f>WO_data!K3:K519</xm:f>
              <xm:sqref>K1</xm:sqref>
            </x14:sparkline>
            <x14:sparkline>
              <xm:f>WO_data!L3:L519</xm:f>
              <xm:sqref>L1</xm:sqref>
            </x14:sparkline>
            <x14:sparkline>
              <xm:f>WO_data!M3:M519</xm:f>
              <xm:sqref>M1</xm:sqref>
            </x14:sparkline>
            <x14:sparkline>
              <xm:f>WO_data!N3:N519</xm:f>
              <xm:sqref>N1</xm:sqref>
            </x14:sparkline>
            <x14:sparkline>
              <xm:f>WO_data!O3:O519</xm:f>
              <xm:sqref>O1</xm:sqref>
            </x14:sparkline>
            <x14:sparkline>
              <xm:f>WO_data!P3:P519</xm:f>
              <xm:sqref>P1</xm:sqref>
            </x14:sparkline>
            <x14:sparkline>
              <xm:f>WO_data!Q3:Q519</xm:f>
              <xm:sqref>Q1</xm:sqref>
            </x14:sparkline>
            <x14:sparkline>
              <xm:f>WO_data!R3:R519</xm:f>
              <xm:sqref>R1</xm:sqref>
            </x14:sparkline>
            <x14:sparkline>
              <xm:f>WO_data!S3:S519</xm:f>
              <xm:sqref>S1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9C1E-D3E0-4609-BADC-06379C0F80DD}">
  <dimension ref="B1:O468"/>
  <sheetViews>
    <sheetView tabSelected="1" workbookViewId="0">
      <pane xSplit="2" ySplit="3" topLeftCell="C208" activePane="bottomRight" state="frozen"/>
      <selection pane="topRight" activeCell="C1" sqref="C1"/>
      <selection pane="bottomLeft" activeCell="A4" sqref="A4"/>
      <selection pane="bottomRight" activeCell="R3" sqref="R3"/>
    </sheetView>
  </sheetViews>
  <sheetFormatPr defaultRowHeight="14.4" x14ac:dyDescent="0.3"/>
  <cols>
    <col min="2" max="2" width="12.88671875" bestFit="1" customWidth="1"/>
    <col min="3" max="3" width="14.44140625" bestFit="1" customWidth="1"/>
    <col min="4" max="4" width="12.33203125" style="8" bestFit="1" customWidth="1"/>
    <col min="5" max="5" width="12" bestFit="1" customWidth="1"/>
    <col min="6" max="9" width="10.109375" style="7" bestFit="1" customWidth="1"/>
    <col min="10" max="10" width="10.5546875" style="7" bestFit="1" customWidth="1"/>
    <col min="11" max="12" width="11.33203125" style="7" bestFit="1" customWidth="1"/>
    <col min="13" max="13" width="12.6640625" style="7" bestFit="1" customWidth="1"/>
    <col min="14" max="14" width="12" style="7" customWidth="1"/>
    <col min="15" max="15" width="15.21875" bestFit="1" customWidth="1"/>
  </cols>
  <sheetData>
    <row r="1" spans="2:15" x14ac:dyDescent="0.3">
      <c r="B1" s="18" t="s">
        <v>15</v>
      </c>
      <c r="C1" t="s">
        <v>73</v>
      </c>
    </row>
    <row r="3" spans="2:15" s="10" customFormat="1" ht="63.6" customHeight="1" x14ac:dyDescent="0.3">
      <c r="B3" s="9" t="s">
        <v>62</v>
      </c>
      <c r="C3" s="10" t="s">
        <v>71</v>
      </c>
      <c r="D3" s="11" t="s">
        <v>70</v>
      </c>
      <c r="E3" s="10" t="s">
        <v>66</v>
      </c>
      <c r="F3" s="12" t="s">
        <v>67</v>
      </c>
      <c r="G3" s="12" t="s">
        <v>64</v>
      </c>
      <c r="H3" s="12" t="s">
        <v>65</v>
      </c>
      <c r="I3" s="12" t="s">
        <v>68</v>
      </c>
      <c r="J3" s="12" t="s">
        <v>69</v>
      </c>
      <c r="K3" s="12" t="s">
        <v>74</v>
      </c>
      <c r="L3" s="12" t="s">
        <v>75</v>
      </c>
      <c r="M3" s="12" t="s">
        <v>76</v>
      </c>
      <c r="N3" s="12" t="s">
        <v>77</v>
      </c>
      <c r="O3" t="s">
        <v>72</v>
      </c>
    </row>
    <row r="4" spans="2:15" x14ac:dyDescent="0.3">
      <c r="B4" s="3" t="s">
        <v>32</v>
      </c>
      <c r="C4" s="6"/>
      <c r="E4" s="19"/>
      <c r="O4" s="19"/>
    </row>
    <row r="5" spans="2:15" x14ac:dyDescent="0.3">
      <c r="B5" s="4">
        <v>4907184</v>
      </c>
      <c r="C5" s="6">
        <v>43832.291666666664</v>
      </c>
      <c r="D5" s="8">
        <v>1.0619750145086899</v>
      </c>
      <c r="E5" s="19">
        <v>2173</v>
      </c>
      <c r="F5" s="7">
        <v>1.9995652983593959</v>
      </c>
      <c r="G5" s="7">
        <v>2171.0004347016406</v>
      </c>
      <c r="H5" s="7">
        <v>5.0041666030883789</v>
      </c>
      <c r="I5" s="7">
        <v>0.46019328117809483</v>
      </c>
      <c r="J5" s="7">
        <v>500.10869903597563</v>
      </c>
      <c r="K5" s="7">
        <v>448.81719050673507</v>
      </c>
      <c r="L5" s="7">
        <v>420.34298543022084</v>
      </c>
      <c r="M5" s="7">
        <v>0</v>
      </c>
      <c r="N5" s="7">
        <v>123.05635480619445</v>
      </c>
      <c r="O5" s="19">
        <v>0</v>
      </c>
    </row>
    <row r="6" spans="2:15" x14ac:dyDescent="0.3">
      <c r="B6" s="4">
        <v>4909888</v>
      </c>
      <c r="C6" s="6">
        <v>43839.552083333336</v>
      </c>
      <c r="D6" s="8">
        <v>0.75632963303190037</v>
      </c>
      <c r="E6" s="19">
        <v>2173.0627733209176</v>
      </c>
      <c r="F6" s="7">
        <v>12628.15817858136</v>
      </c>
      <c r="G6" s="7">
        <v>-10455.095405260443</v>
      </c>
      <c r="H6" s="7">
        <v>9.4590861927912346</v>
      </c>
      <c r="I6" s="7">
        <v>0.46017998756279838</v>
      </c>
      <c r="J6" s="7">
        <v>7.9188111667471958E-2</v>
      </c>
      <c r="K6" s="7">
        <v>298.74816642325294</v>
      </c>
      <c r="L6" s="7">
        <v>17.200422201504782</v>
      </c>
      <c r="M6" s="7">
        <v>552.48350724719489</v>
      </c>
      <c r="N6" s="7">
        <v>379.04252287165349</v>
      </c>
      <c r="O6" s="19">
        <v>0</v>
      </c>
    </row>
    <row r="7" spans="2:15" x14ac:dyDescent="0.3">
      <c r="B7" s="4">
        <v>4911286</v>
      </c>
      <c r="C7" s="6">
        <v>43842.496527777781</v>
      </c>
      <c r="D7" s="8">
        <v>0.81303841786238451</v>
      </c>
      <c r="E7" s="19">
        <v>2172.9931438418557</v>
      </c>
      <c r="F7" s="7">
        <v>5753.8575935455201</v>
      </c>
      <c r="G7" s="7">
        <v>-3580.8644497036644</v>
      </c>
      <c r="H7" s="7">
        <v>9.7896761964657024</v>
      </c>
      <c r="I7" s="7">
        <v>0.46019473316514847</v>
      </c>
      <c r="J7" s="7">
        <v>0.17379644590470325</v>
      </c>
      <c r="K7" s="7">
        <v>282.38493077424579</v>
      </c>
      <c r="L7" s="7">
        <v>16.5731592559208</v>
      </c>
      <c r="M7" s="7">
        <v>586.58663615519617</v>
      </c>
      <c r="N7" s="7">
        <v>465.28158113422893</v>
      </c>
      <c r="O7" s="19">
        <v>0</v>
      </c>
    </row>
    <row r="8" spans="2:15" x14ac:dyDescent="0.3">
      <c r="B8" s="4">
        <v>4918337</v>
      </c>
      <c r="C8" s="6">
        <v>43854.447916666664</v>
      </c>
      <c r="D8" s="8">
        <v>0.87861108485717221</v>
      </c>
      <c r="E8" s="19">
        <v>2172.9999999999995</v>
      </c>
      <c r="F8" s="7">
        <v>4747.2278397989576</v>
      </c>
      <c r="G8" s="7">
        <v>-2574.227839798958</v>
      </c>
      <c r="H8" s="7">
        <v>9.7083716913107772</v>
      </c>
      <c r="I8" s="7">
        <v>0.46019328117809494</v>
      </c>
      <c r="J8" s="7">
        <v>0.21064925336348497</v>
      </c>
      <c r="K8" s="7">
        <v>256.84916681302354</v>
      </c>
      <c r="L8" s="7">
        <v>129.6209765189287</v>
      </c>
      <c r="M8" s="7">
        <v>441.46767246331501</v>
      </c>
      <c r="N8" s="7">
        <v>479.46186679410687</v>
      </c>
      <c r="O8" s="19">
        <v>0</v>
      </c>
    </row>
    <row r="9" spans="2:15" x14ac:dyDescent="0.3">
      <c r="B9" s="4">
        <v>4936957</v>
      </c>
      <c r="C9" s="6">
        <v>43887.291666666664</v>
      </c>
      <c r="D9" s="8">
        <v>1.0542006660162286</v>
      </c>
      <c r="E9" s="19">
        <v>2173</v>
      </c>
      <c r="F9" s="7">
        <v>1936.9461304528215</v>
      </c>
      <c r="G9" s="7">
        <v>236.05386954717846</v>
      </c>
      <c r="H9" s="7">
        <v>11.552573386360621</v>
      </c>
      <c r="I9" s="7">
        <v>0.46019328117809483</v>
      </c>
      <c r="J9" s="7">
        <v>0.51627661930185886</v>
      </c>
      <c r="K9" s="7">
        <v>284.03950252560333</v>
      </c>
      <c r="L9" s="7">
        <v>362.75315225481506</v>
      </c>
      <c r="M9" s="7">
        <v>0</v>
      </c>
      <c r="N9" s="7">
        <v>55.034680923308755</v>
      </c>
      <c r="O9" s="19">
        <v>0</v>
      </c>
    </row>
    <row r="10" spans="2:15" x14ac:dyDescent="0.3">
      <c r="B10" s="4">
        <v>4939620</v>
      </c>
      <c r="C10" s="6">
        <v>43891.291666666664</v>
      </c>
      <c r="D10" s="8">
        <v>0.80154426722949912</v>
      </c>
      <c r="E10" s="19">
        <v>2173.0000000000009</v>
      </c>
      <c r="F10" s="7">
        <v>3181.6404196454955</v>
      </c>
      <c r="G10" s="7">
        <v>-1008.6404196454946</v>
      </c>
      <c r="H10" s="7">
        <v>9.0026608853424506</v>
      </c>
      <c r="I10" s="7">
        <v>0.46019328117809466</v>
      </c>
      <c r="J10" s="7">
        <v>0.31430327381603412</v>
      </c>
      <c r="K10" s="7">
        <v>275.29155187281253</v>
      </c>
      <c r="L10" s="7">
        <v>0</v>
      </c>
      <c r="M10" s="7">
        <v>827.90506975607275</v>
      </c>
      <c r="N10" s="7">
        <v>524.8991059315963</v>
      </c>
      <c r="O10" s="19">
        <v>0</v>
      </c>
    </row>
    <row r="11" spans="2:15" x14ac:dyDescent="0.3">
      <c r="B11" s="4">
        <v>4941894</v>
      </c>
      <c r="C11" s="6">
        <v>43895.291666666664</v>
      </c>
      <c r="D11" s="8">
        <v>0.80826747103228525</v>
      </c>
      <c r="E11" s="19">
        <v>2173</v>
      </c>
      <c r="F11" s="7">
        <v>3229.4190269440332</v>
      </c>
      <c r="G11" s="7">
        <v>-1056.4190269440332</v>
      </c>
      <c r="H11" s="7">
        <v>8.3601198251012825</v>
      </c>
      <c r="I11" s="7">
        <v>0.46019328117809483</v>
      </c>
      <c r="J11" s="7">
        <v>0.30965321986917566</v>
      </c>
      <c r="K11" s="7">
        <v>253.53391886615998</v>
      </c>
      <c r="L11" s="7">
        <v>18.833954640994278</v>
      </c>
      <c r="M11" s="7">
        <v>795.91765310565461</v>
      </c>
      <c r="N11" s="7">
        <v>441.58271912874972</v>
      </c>
      <c r="O11" s="19">
        <v>0</v>
      </c>
    </row>
    <row r="12" spans="2:15" x14ac:dyDescent="0.3">
      <c r="B12" s="4">
        <v>4944505</v>
      </c>
      <c r="C12" s="6">
        <v>43900.291666666664</v>
      </c>
      <c r="D12" s="8">
        <v>0.82699433026982283</v>
      </c>
      <c r="E12" s="19">
        <v>2173</v>
      </c>
      <c r="F12" s="7">
        <v>3773.5766920690357</v>
      </c>
      <c r="G12" s="7">
        <v>-1600.5766920690357</v>
      </c>
      <c r="H12" s="7">
        <v>9.6739849748945055</v>
      </c>
      <c r="I12" s="7">
        <v>0.46019328117809483</v>
      </c>
      <c r="J12" s="7">
        <v>0.26500057680070738</v>
      </c>
      <c r="K12" s="7">
        <v>282.25952641593875</v>
      </c>
      <c r="L12" s="7">
        <v>54.48620337508487</v>
      </c>
      <c r="M12" s="7">
        <v>724.41522584212373</v>
      </c>
      <c r="N12" s="7">
        <v>377.17302955152155</v>
      </c>
      <c r="O12" s="19">
        <v>0</v>
      </c>
    </row>
    <row r="13" spans="2:15" x14ac:dyDescent="0.3">
      <c r="B13" s="4">
        <v>4945794</v>
      </c>
      <c r="C13" s="6">
        <v>43902.625</v>
      </c>
      <c r="D13" s="8">
        <v>0.77001255434965388</v>
      </c>
      <c r="E13" s="19">
        <v>2172.9999999999991</v>
      </c>
      <c r="F13" s="7">
        <v>2172.9813732337925</v>
      </c>
      <c r="G13" s="7">
        <v>1.8626766206580214E-2</v>
      </c>
      <c r="H13" s="7">
        <v>9.9008329259957186</v>
      </c>
      <c r="I13" s="7">
        <v>0.46019328117809494</v>
      </c>
      <c r="J13" s="7">
        <v>0.46019722594852147</v>
      </c>
      <c r="K13" s="7">
        <v>242.68759316263149</v>
      </c>
      <c r="L13" s="7">
        <v>143.48961219401653</v>
      </c>
      <c r="M13" s="7">
        <v>443.98542059393941</v>
      </c>
      <c r="N13" s="7">
        <v>365.71141713525554</v>
      </c>
      <c r="O13" s="19">
        <v>0</v>
      </c>
    </row>
    <row r="14" spans="2:15" x14ac:dyDescent="0.3">
      <c r="B14" s="4">
        <v>4946651</v>
      </c>
      <c r="C14" s="6">
        <v>43903.291666666664</v>
      </c>
      <c r="D14" s="8">
        <v>0.78669991883554369</v>
      </c>
      <c r="E14" s="19">
        <v>2173.0000000000009</v>
      </c>
      <c r="F14" s="7">
        <v>7637.568827398849</v>
      </c>
      <c r="G14" s="7">
        <v>-5464.568827398848</v>
      </c>
      <c r="H14" s="7">
        <v>9.3667740476791543</v>
      </c>
      <c r="I14" s="7">
        <v>0.4601932811780946</v>
      </c>
      <c r="J14" s="7">
        <v>0.13093171696373088</v>
      </c>
      <c r="K14" s="7">
        <v>241.35713811552569</v>
      </c>
      <c r="L14" s="7">
        <v>8.0416789432081259</v>
      </c>
      <c r="M14" s="7">
        <v>835.27387473756767</v>
      </c>
      <c r="N14" s="7">
        <v>431.99602855284093</v>
      </c>
      <c r="O14" s="19">
        <v>0</v>
      </c>
    </row>
    <row r="15" spans="2:15" x14ac:dyDescent="0.3">
      <c r="B15" s="4">
        <v>4947855</v>
      </c>
      <c r="C15" s="6">
        <v>43907.118055555555</v>
      </c>
      <c r="D15" s="8">
        <v>1.0726366360681794</v>
      </c>
      <c r="E15" s="19">
        <v>2172.9999999999995</v>
      </c>
      <c r="F15" s="7">
        <v>2997.7527057383058</v>
      </c>
      <c r="G15" s="7">
        <v>-824.7527057383063</v>
      </c>
      <c r="H15" s="7">
        <v>11.356479788698699</v>
      </c>
      <c r="I15" s="7">
        <v>0.46019328117809488</v>
      </c>
      <c r="J15" s="7">
        <v>0.33358321988528189</v>
      </c>
      <c r="K15" s="7">
        <v>295.07972239543892</v>
      </c>
      <c r="L15" s="7">
        <v>45.024576845691143</v>
      </c>
      <c r="M15" s="7">
        <v>1021.7779623970443</v>
      </c>
      <c r="N15" s="7">
        <v>490.4303995057096</v>
      </c>
      <c r="O15" s="19">
        <v>0</v>
      </c>
    </row>
    <row r="16" spans="2:15" x14ac:dyDescent="0.3">
      <c r="B16" s="4">
        <v>4949662</v>
      </c>
      <c r="C16" s="6">
        <v>43909.996527777781</v>
      </c>
      <c r="D16" s="8">
        <v>0.76955328083496966</v>
      </c>
      <c r="E16" s="19">
        <v>2172.9999999999995</v>
      </c>
      <c r="F16" s="7">
        <v>2172.9932770452515</v>
      </c>
      <c r="G16" s="7">
        <v>6.7229547480565088E-3</v>
      </c>
      <c r="H16" s="7">
        <v>10.28760396414379</v>
      </c>
      <c r="I16" s="7">
        <v>0.46019328117809488</v>
      </c>
      <c r="J16" s="7">
        <v>0.46019470495544268</v>
      </c>
      <c r="K16" s="7">
        <v>269.60448692083088</v>
      </c>
      <c r="L16" s="7">
        <v>232.26734262658158</v>
      </c>
      <c r="M16" s="7">
        <v>255.94743081574691</v>
      </c>
      <c r="N16" s="7">
        <v>190.46452024517853</v>
      </c>
      <c r="O16" s="19">
        <v>0</v>
      </c>
    </row>
    <row r="17" spans="2:15" x14ac:dyDescent="0.3">
      <c r="B17" s="4">
        <v>4950235</v>
      </c>
      <c r="C17" s="6">
        <v>43913.291666666664</v>
      </c>
      <c r="D17" s="8">
        <v>1.1061646519449233</v>
      </c>
      <c r="E17" s="19">
        <v>2173.0000000000009</v>
      </c>
      <c r="F17" s="7">
        <v>5427.8362196857006</v>
      </c>
      <c r="G17" s="7">
        <v>-3254.8362196856997</v>
      </c>
      <c r="H17" s="7">
        <v>9.1630580590951052</v>
      </c>
      <c r="I17" s="7">
        <v>0.46019328117809466</v>
      </c>
      <c r="J17" s="7">
        <v>0.184235477919027</v>
      </c>
      <c r="K17" s="7">
        <v>311.01992012854987</v>
      </c>
      <c r="L17" s="7">
        <v>0</v>
      </c>
      <c r="M17" s="7">
        <v>1073.5327947125481</v>
      </c>
      <c r="N17" s="7">
        <v>513.95175140991</v>
      </c>
      <c r="O17" s="19">
        <v>0</v>
      </c>
    </row>
    <row r="18" spans="2:15" x14ac:dyDescent="0.3">
      <c r="B18" s="4">
        <v>4969784</v>
      </c>
      <c r="C18" s="6">
        <v>43957.291666666664</v>
      </c>
      <c r="D18" s="8">
        <v>1.2220952785942991</v>
      </c>
      <c r="E18" s="19">
        <v>2172.9999999999995</v>
      </c>
      <c r="F18" s="7">
        <v>2272.1341605342004</v>
      </c>
      <c r="G18" s="7">
        <v>-99.134160534200873</v>
      </c>
      <c r="H18" s="7">
        <v>9.0021550333985711</v>
      </c>
      <c r="I18" s="7">
        <v>0.46019328117809488</v>
      </c>
      <c r="J18" s="7">
        <v>0.44011485649460524</v>
      </c>
      <c r="K18" s="7">
        <v>382.19421817933289</v>
      </c>
      <c r="L18" s="7">
        <v>144.33588448240039</v>
      </c>
      <c r="M18" s="7">
        <v>0</v>
      </c>
      <c r="N18" s="7">
        <v>93.39380760625906</v>
      </c>
      <c r="O18" s="19">
        <v>0</v>
      </c>
    </row>
    <row r="19" spans="2:15" x14ac:dyDescent="0.3">
      <c r="B19" s="4">
        <v>4970758</v>
      </c>
      <c r="C19" s="6">
        <v>43963.291666666664</v>
      </c>
      <c r="D19" s="8">
        <v>0.89924665357519962</v>
      </c>
      <c r="E19" s="19">
        <v>2173.0000000000005</v>
      </c>
      <c r="F19" s="7">
        <v>2141.2838999900191</v>
      </c>
      <c r="G19" s="7">
        <v>31.716100009981346</v>
      </c>
      <c r="H19" s="7">
        <v>9.922944843019895</v>
      </c>
      <c r="I19" s="7">
        <v>0.46019328117809472</v>
      </c>
      <c r="J19" s="7">
        <v>0.46700953572978393</v>
      </c>
      <c r="K19" s="7">
        <v>346.87462219648569</v>
      </c>
      <c r="L19" s="7">
        <v>0</v>
      </c>
      <c r="M19" s="7">
        <v>817.14152433572485</v>
      </c>
      <c r="N19" s="7">
        <v>266.48979090298087</v>
      </c>
      <c r="O19" s="19">
        <v>0</v>
      </c>
    </row>
    <row r="20" spans="2:15" x14ac:dyDescent="0.3">
      <c r="B20" s="4">
        <v>4972658</v>
      </c>
      <c r="C20" s="6">
        <v>43964.086805555555</v>
      </c>
      <c r="D20" s="8">
        <v>0.92719480799810738</v>
      </c>
      <c r="E20" s="19">
        <v>2172.9999999999995</v>
      </c>
      <c r="F20" s="7">
        <v>4562.0015108960306</v>
      </c>
      <c r="G20" s="7">
        <v>-2389.001510896031</v>
      </c>
      <c r="H20" s="7">
        <v>6.7129833390665867</v>
      </c>
      <c r="I20" s="7">
        <v>0.46019328117809494</v>
      </c>
      <c r="J20" s="7">
        <v>0.21920203174233238</v>
      </c>
      <c r="K20" s="7">
        <v>322.8556650160902</v>
      </c>
      <c r="L20" s="7">
        <v>0</v>
      </c>
      <c r="M20" s="7">
        <v>921.40006281556089</v>
      </c>
      <c r="N20" s="7">
        <v>497.9603552574082</v>
      </c>
      <c r="O20" s="19">
        <v>0</v>
      </c>
    </row>
    <row r="21" spans="2:15" x14ac:dyDescent="0.3">
      <c r="B21" s="4">
        <v>4975256</v>
      </c>
      <c r="C21" s="6">
        <v>43969.291666666664</v>
      </c>
      <c r="D21" s="8">
        <v>0.92501312768480304</v>
      </c>
      <c r="E21" s="19">
        <v>2172.9999999999995</v>
      </c>
      <c r="F21" s="7">
        <v>6525.2400291473205</v>
      </c>
      <c r="G21" s="7">
        <v>-4352.2400291473205</v>
      </c>
      <c r="H21" s="7">
        <v>6.6363074060163703</v>
      </c>
      <c r="I21" s="7">
        <v>0.46019328117809483</v>
      </c>
      <c r="J21" s="7">
        <v>0.15325106747539433</v>
      </c>
      <c r="K21" s="7">
        <v>313.77989153570053</v>
      </c>
      <c r="L21" s="7">
        <v>22.66279056067151</v>
      </c>
      <c r="M21" s="7">
        <v>938.86457611423771</v>
      </c>
      <c r="N21" s="7">
        <v>532.44271572954551</v>
      </c>
      <c r="O21" s="19">
        <v>0</v>
      </c>
    </row>
    <row r="22" spans="2:15" x14ac:dyDescent="0.3">
      <c r="B22" s="4">
        <v>4998494</v>
      </c>
      <c r="C22" s="6">
        <v>44028.875</v>
      </c>
      <c r="D22" s="8">
        <v>1.2596316965842855</v>
      </c>
      <c r="E22" s="19">
        <v>2239.1561047037712</v>
      </c>
      <c r="F22" s="7">
        <v>4781.8327916683884</v>
      </c>
      <c r="G22" s="7">
        <v>-2542.6766869646171</v>
      </c>
      <c r="H22" s="7">
        <v>6.9227598140766098</v>
      </c>
      <c r="I22" s="7">
        <v>0.44659682185592631</v>
      </c>
      <c r="J22" s="7">
        <v>0.20912483634775916</v>
      </c>
      <c r="K22" s="7">
        <v>288.76767737842317</v>
      </c>
      <c r="L22" s="7">
        <v>679.645905320731</v>
      </c>
      <c r="M22" s="7">
        <v>0</v>
      </c>
      <c r="N22" s="7">
        <v>128.25404328707324</v>
      </c>
      <c r="O22" s="19">
        <v>0</v>
      </c>
    </row>
    <row r="23" spans="2:15" x14ac:dyDescent="0.3">
      <c r="B23" s="4">
        <v>4998529</v>
      </c>
      <c r="C23" s="6">
        <v>44037.291666666664</v>
      </c>
      <c r="D23" s="8">
        <v>0.79297529757752416</v>
      </c>
      <c r="E23" s="19">
        <v>2173.0000000000005</v>
      </c>
      <c r="F23" s="7">
        <v>2809.5260282111522</v>
      </c>
      <c r="G23" s="7">
        <v>-636.5260282111517</v>
      </c>
      <c r="H23" s="7">
        <v>6.9935358192474499</v>
      </c>
      <c r="I23" s="7">
        <v>0.46019328117809477</v>
      </c>
      <c r="J23" s="7">
        <v>0.35593192230958187</v>
      </c>
      <c r="K23" s="7">
        <v>222.8938594811589</v>
      </c>
      <c r="L23" s="7">
        <v>49.294536275231053</v>
      </c>
      <c r="M23" s="7">
        <v>667.61683954280841</v>
      </c>
      <c r="N23" s="7">
        <v>428.02766382800439</v>
      </c>
      <c r="O23" s="19">
        <v>0</v>
      </c>
    </row>
    <row r="24" spans="2:15" x14ac:dyDescent="0.3">
      <c r="B24" s="4">
        <v>4998564</v>
      </c>
      <c r="C24" s="6">
        <v>44045.15625</v>
      </c>
      <c r="D24" s="8">
        <v>0.97017379856486363</v>
      </c>
      <c r="E24" s="19">
        <v>2172.9999999999995</v>
      </c>
      <c r="F24" s="7">
        <v>5533.026424295821</v>
      </c>
      <c r="G24" s="7">
        <v>-3360.0264242958215</v>
      </c>
      <c r="H24" s="7">
        <v>7.0722503049227026</v>
      </c>
      <c r="I24" s="7">
        <v>0.46019328117809488</v>
      </c>
      <c r="J24" s="7">
        <v>0.18073291600577676</v>
      </c>
      <c r="K24" s="7">
        <v>264.38652602468977</v>
      </c>
      <c r="L24" s="7">
        <v>19.63246521081113</v>
      </c>
      <c r="M24" s="7">
        <v>780.96276598445183</v>
      </c>
      <c r="N24" s="7">
        <v>455.12006410386351</v>
      </c>
      <c r="O24" s="19">
        <v>0</v>
      </c>
    </row>
    <row r="25" spans="2:15" s="16" customFormat="1" x14ac:dyDescent="0.3">
      <c r="B25" s="4">
        <v>5008423</v>
      </c>
      <c r="C25" s="6">
        <v>44040.802083333336</v>
      </c>
      <c r="D25" s="8">
        <v>0.77037482213282482</v>
      </c>
      <c r="E25" s="19">
        <v>2173</v>
      </c>
      <c r="F25" s="7">
        <v>4246.8213175654109</v>
      </c>
      <c r="G25" s="7">
        <v>-2073.8213175654109</v>
      </c>
      <c r="H25" s="7">
        <v>9.0793497240594583</v>
      </c>
      <c r="I25" s="7">
        <v>0.46019328117809477</v>
      </c>
      <c r="J25" s="7">
        <v>0.23547023178579907</v>
      </c>
      <c r="K25" s="7">
        <v>173.42084766044599</v>
      </c>
      <c r="L25" s="7">
        <v>0</v>
      </c>
      <c r="M25" s="7">
        <v>649.46428991394441</v>
      </c>
      <c r="N25" s="7">
        <v>478.84282994651676</v>
      </c>
      <c r="O25" s="19">
        <v>0</v>
      </c>
    </row>
    <row r="26" spans="2:15" x14ac:dyDescent="0.3">
      <c r="B26" s="4">
        <v>5016051</v>
      </c>
      <c r="C26" s="6">
        <v>44056.229166666664</v>
      </c>
      <c r="D26" s="8">
        <v>0.94363802944384001</v>
      </c>
      <c r="E26" s="19">
        <v>2173</v>
      </c>
      <c r="F26" s="7">
        <v>6234.3830443393381</v>
      </c>
      <c r="G26" s="7">
        <v>-4061.3830443393381</v>
      </c>
      <c r="H26" s="7">
        <v>8.0515028670053805</v>
      </c>
      <c r="I26" s="7">
        <v>0.46019328117809483</v>
      </c>
      <c r="J26" s="7">
        <v>0.16040079553789605</v>
      </c>
      <c r="K26" s="7">
        <v>255.58448883590358</v>
      </c>
      <c r="L26" s="7">
        <v>36.241114037462445</v>
      </c>
      <c r="M26" s="7">
        <v>672.09125251128648</v>
      </c>
      <c r="N26" s="7">
        <v>397.95709687155295</v>
      </c>
      <c r="O26" s="19">
        <v>0</v>
      </c>
    </row>
    <row r="27" spans="2:15" s="16" customFormat="1" x14ac:dyDescent="0.3">
      <c r="B27" s="4">
        <v>5023098</v>
      </c>
      <c r="C27" s="6">
        <v>44070.791666666664</v>
      </c>
      <c r="D27" s="8">
        <v>0.85360162969886122</v>
      </c>
      <c r="E27" s="19">
        <v>2172.9999999999995</v>
      </c>
      <c r="F27" s="7">
        <v>2186.5630916579985</v>
      </c>
      <c r="G27" s="7">
        <v>-13.563091657998939</v>
      </c>
      <c r="H27" s="7">
        <v>8.0087349816050644</v>
      </c>
      <c r="I27" s="7">
        <v>0.46019328117809483</v>
      </c>
      <c r="J27" s="7">
        <v>0.45733873576075645</v>
      </c>
      <c r="K27" s="7">
        <v>229.4030929221467</v>
      </c>
      <c r="L27" s="7">
        <v>0</v>
      </c>
      <c r="M27" s="7">
        <v>788.90456333478937</v>
      </c>
      <c r="N27" s="7">
        <v>458.32911092046152</v>
      </c>
      <c r="O27" s="19">
        <v>0</v>
      </c>
    </row>
    <row r="28" spans="2:15" s="16" customFormat="1" x14ac:dyDescent="0.3">
      <c r="B28" s="4">
        <v>5024309</v>
      </c>
      <c r="C28" s="6">
        <v>44071.458333333336</v>
      </c>
      <c r="D28" s="8">
        <v>0.77203220942506934</v>
      </c>
      <c r="E28" s="19">
        <v>2172.9999999999995</v>
      </c>
      <c r="F28" s="7">
        <v>2172.9608357574498</v>
      </c>
      <c r="G28" s="7">
        <v>3.9164242549759365E-2</v>
      </c>
      <c r="H28" s="7">
        <v>7.6396402233392342</v>
      </c>
      <c r="I28" s="7">
        <v>0.46019328117809483</v>
      </c>
      <c r="J28" s="7">
        <v>0.46020157544690415</v>
      </c>
      <c r="K28" s="7">
        <v>204.47355197709072</v>
      </c>
      <c r="L28" s="7">
        <v>0</v>
      </c>
      <c r="M28" s="7">
        <v>831.61299460226996</v>
      </c>
      <c r="N28" s="7">
        <v>519.79130694055459</v>
      </c>
      <c r="O28" s="19">
        <v>0</v>
      </c>
    </row>
    <row r="29" spans="2:15" x14ac:dyDescent="0.3">
      <c r="B29" s="4">
        <v>5025662</v>
      </c>
      <c r="C29" s="6">
        <v>44074.5</v>
      </c>
      <c r="D29" s="8">
        <v>0.77826592681724371</v>
      </c>
      <c r="E29" s="19">
        <v>2173</v>
      </c>
      <c r="F29" s="7">
        <v>2171.3670779756008</v>
      </c>
      <c r="G29" s="7">
        <v>1.6329220243992495</v>
      </c>
      <c r="H29" s="7">
        <v>7.8150020637594864</v>
      </c>
      <c r="I29" s="7">
        <v>0.46019328117809483</v>
      </c>
      <c r="J29" s="7">
        <v>0.46053935796627976</v>
      </c>
      <c r="K29" s="7">
        <v>260.70711216182565</v>
      </c>
      <c r="L29" s="7">
        <v>45.700324951185294</v>
      </c>
      <c r="M29" s="7">
        <v>661.02868033669665</v>
      </c>
      <c r="N29" s="7">
        <v>414.81076177976723</v>
      </c>
      <c r="O29" s="19">
        <v>0</v>
      </c>
    </row>
    <row r="30" spans="2:15" s="16" customFormat="1" x14ac:dyDescent="0.3">
      <c r="B30" s="4">
        <v>5026590</v>
      </c>
      <c r="C30" s="6">
        <v>44075.958333333336</v>
      </c>
      <c r="D30" s="8">
        <v>0.86122881624285008</v>
      </c>
      <c r="E30" s="19">
        <v>2173</v>
      </c>
      <c r="F30" s="7">
        <v>2185.0194675619741</v>
      </c>
      <c r="G30" s="7">
        <v>-12.019467561974125</v>
      </c>
      <c r="H30" s="7">
        <v>7.8243502916675984</v>
      </c>
      <c r="I30" s="7">
        <v>0.46019328117809488</v>
      </c>
      <c r="J30" s="7">
        <v>0.45766182628834479</v>
      </c>
      <c r="K30" s="7">
        <v>287.04392545874373</v>
      </c>
      <c r="L30" s="7">
        <v>12.227023193982998</v>
      </c>
      <c r="M30" s="7">
        <v>752.58874697054614</v>
      </c>
      <c r="N30" s="7">
        <v>410.13637934264881</v>
      </c>
      <c r="O30" s="19">
        <v>0</v>
      </c>
    </row>
    <row r="31" spans="2:15" x14ac:dyDescent="0.3">
      <c r="B31" s="4">
        <v>5026623</v>
      </c>
      <c r="C31" s="6">
        <v>44076.572916666664</v>
      </c>
      <c r="D31" s="8">
        <v>1.0867075723161439</v>
      </c>
      <c r="E31" s="19">
        <v>2173.0000000000005</v>
      </c>
      <c r="F31" s="7">
        <v>2625.4609621368509</v>
      </c>
      <c r="G31" s="7">
        <v>-452.46096213685041</v>
      </c>
      <c r="H31" s="7">
        <v>8.3605187025937173</v>
      </c>
      <c r="I31" s="7">
        <v>0.46019328117809472</v>
      </c>
      <c r="J31" s="7">
        <v>0.3808854956982885</v>
      </c>
      <c r="K31" s="7">
        <v>401.70089394812015</v>
      </c>
      <c r="L31" s="7">
        <v>0.2193020693617373</v>
      </c>
      <c r="M31" s="7">
        <v>750.74076594989583</v>
      </c>
      <c r="N31" s="7">
        <v>471.98161940800827</v>
      </c>
      <c r="O31" s="19">
        <v>0</v>
      </c>
    </row>
    <row r="32" spans="2:15" s="16" customFormat="1" x14ac:dyDescent="0.3">
      <c r="B32" s="4">
        <v>5027784</v>
      </c>
      <c r="C32" s="6">
        <v>44077.291666666664</v>
      </c>
      <c r="D32" s="8">
        <v>0.87037692844230641</v>
      </c>
      <c r="E32" s="19">
        <v>2262.7886241284523</v>
      </c>
      <c r="F32" s="7">
        <v>6165.3178770328013</v>
      </c>
      <c r="G32" s="7">
        <v>-3902.5292529043491</v>
      </c>
      <c r="H32" s="7">
        <v>8.5453679922541141</v>
      </c>
      <c r="I32" s="7">
        <v>0.44193257352315241</v>
      </c>
      <c r="J32" s="7">
        <v>0.16219763845838758</v>
      </c>
      <c r="K32" s="7">
        <v>218.5613175866236</v>
      </c>
      <c r="L32" s="7">
        <v>785.50955101718284</v>
      </c>
      <c r="M32" s="7">
        <v>0</v>
      </c>
      <c r="N32" s="7">
        <v>1027.4365736495477</v>
      </c>
      <c r="O32" s="19">
        <v>0</v>
      </c>
    </row>
    <row r="33" spans="2:15" x14ac:dyDescent="0.3">
      <c r="B33" s="4">
        <v>5088503</v>
      </c>
      <c r="C33" s="6">
        <v>44186.59375</v>
      </c>
      <c r="D33" s="8">
        <v>1.1137339192755129</v>
      </c>
      <c r="E33" s="19">
        <v>2173.0000000000005</v>
      </c>
      <c r="F33" s="7">
        <v>2190.680974917917</v>
      </c>
      <c r="G33" s="7">
        <v>-17.680974917916501</v>
      </c>
      <c r="H33" s="7">
        <v>7.5522625076445893</v>
      </c>
      <c r="I33" s="7">
        <v>0.46019328117809472</v>
      </c>
      <c r="J33" s="7">
        <v>0.45647906356491236</v>
      </c>
      <c r="K33" s="7">
        <v>194.42907220902742</v>
      </c>
      <c r="L33" s="7">
        <v>509.97338070928123</v>
      </c>
      <c r="M33" s="7">
        <v>0</v>
      </c>
      <c r="N33" s="7">
        <v>246.52342125499675</v>
      </c>
      <c r="O33" s="19">
        <v>0</v>
      </c>
    </row>
    <row r="34" spans="2:15" x14ac:dyDescent="0.3">
      <c r="B34" s="4">
        <v>5089055</v>
      </c>
      <c r="C34" s="6">
        <v>44188.229166666664</v>
      </c>
      <c r="D34" s="8">
        <v>0.86863770924650774</v>
      </c>
      <c r="E34" s="19">
        <v>2261.9999999999991</v>
      </c>
      <c r="F34" s="7">
        <v>2342.1178652411159</v>
      </c>
      <c r="G34" s="7">
        <v>-80.11786524111676</v>
      </c>
      <c r="H34" s="7">
        <v>8.86036820956698</v>
      </c>
      <c r="I34" s="7">
        <v>0.44208664898320088</v>
      </c>
      <c r="J34" s="7">
        <v>0.42696399478471686</v>
      </c>
      <c r="K34" s="7">
        <v>186.87850824214129</v>
      </c>
      <c r="L34" s="7">
        <v>47.502930596135883</v>
      </c>
      <c r="M34" s="7">
        <v>421.6215603611181</v>
      </c>
      <c r="N34" s="7">
        <v>234.63386497172283</v>
      </c>
      <c r="O34" s="19">
        <v>0</v>
      </c>
    </row>
    <row r="35" spans="2:15" s="16" customFormat="1" x14ac:dyDescent="0.3">
      <c r="B35" s="4">
        <v>5090276</v>
      </c>
      <c r="C35" s="6">
        <v>44197.291666666664</v>
      </c>
      <c r="D35" s="8">
        <v>1.149605487112507</v>
      </c>
      <c r="E35" s="19">
        <v>2262.0000000000009</v>
      </c>
      <c r="F35" s="7">
        <v>2360.4409434215218</v>
      </c>
      <c r="G35" s="7">
        <v>-98.440943421520842</v>
      </c>
      <c r="H35" s="7">
        <v>8.7377357936948385</v>
      </c>
      <c r="I35" s="7">
        <v>0.44208664898320049</v>
      </c>
      <c r="J35" s="7">
        <v>0.4236496586737194</v>
      </c>
      <c r="K35" s="7">
        <v>306.13434645569964</v>
      </c>
      <c r="L35" s="7">
        <v>252.74341686359719</v>
      </c>
      <c r="M35" s="7">
        <v>443.59305475388959</v>
      </c>
      <c r="N35" s="7">
        <v>335.17956779097324</v>
      </c>
      <c r="O35" s="19">
        <v>0</v>
      </c>
    </row>
    <row r="36" spans="2:15" s="16" customFormat="1" x14ac:dyDescent="0.3">
      <c r="B36" s="4">
        <v>5095589</v>
      </c>
      <c r="C36" s="6">
        <v>44201.46875</v>
      </c>
      <c r="D36" s="8">
        <v>0.84992987937376108</v>
      </c>
      <c r="E36" s="19">
        <v>2262</v>
      </c>
      <c r="F36" s="7">
        <v>2344.0384827791609</v>
      </c>
      <c r="G36" s="7">
        <v>-82.038482779160859</v>
      </c>
      <c r="H36" s="7">
        <v>9.5667347740071964</v>
      </c>
      <c r="I36" s="7">
        <v>0.44208664898320066</v>
      </c>
      <c r="J36" s="7">
        <v>0.4266141564426752</v>
      </c>
      <c r="K36" s="7">
        <v>192.35154091386306</v>
      </c>
      <c r="L36" s="7">
        <v>150.94578523406182</v>
      </c>
      <c r="M36" s="7">
        <v>437.31452186743684</v>
      </c>
      <c r="N36" s="7">
        <v>326.90883724060183</v>
      </c>
      <c r="O36" s="19">
        <v>0</v>
      </c>
    </row>
    <row r="37" spans="2:15" s="16" customFormat="1" x14ac:dyDescent="0.3">
      <c r="B37" s="4">
        <v>5097121</v>
      </c>
      <c r="C37" s="6">
        <v>44208.0625</v>
      </c>
      <c r="D37" s="8">
        <v>0.86085120400034953</v>
      </c>
      <c r="E37" s="19">
        <v>2262</v>
      </c>
      <c r="F37" s="7">
        <v>2380.8110456277027</v>
      </c>
      <c r="G37" s="7">
        <v>-118.8110456277027</v>
      </c>
      <c r="H37" s="7">
        <v>8.6816773433537779</v>
      </c>
      <c r="I37" s="7">
        <v>0.44208664898320071</v>
      </c>
      <c r="J37" s="7">
        <v>0.42002493303131883</v>
      </c>
      <c r="K37" s="7">
        <v>201.8940703733484</v>
      </c>
      <c r="L37" s="7">
        <v>33.206073970374639</v>
      </c>
      <c r="M37" s="7">
        <v>704.55056477475819</v>
      </c>
      <c r="N37" s="7">
        <v>479.74681342669896</v>
      </c>
      <c r="O37" s="19">
        <v>0</v>
      </c>
    </row>
    <row r="38" spans="2:15" x14ac:dyDescent="0.3">
      <c r="B38" s="4">
        <v>5100285</v>
      </c>
      <c r="C38" s="6">
        <v>44212.576388888891</v>
      </c>
      <c r="D38" s="8">
        <v>0.83679450999762872</v>
      </c>
      <c r="E38" s="19">
        <v>2261.9999999999995</v>
      </c>
      <c r="F38" s="7">
        <v>4398.3614311541724</v>
      </c>
      <c r="G38" s="7">
        <v>-2136.3614311541728</v>
      </c>
      <c r="H38" s="7">
        <v>9.3758642359668389</v>
      </c>
      <c r="I38" s="7">
        <v>0.44208664898320083</v>
      </c>
      <c r="J38" s="7">
        <v>0.22735739562394042</v>
      </c>
      <c r="K38" s="7">
        <v>182.60808159336992</v>
      </c>
      <c r="L38" s="7">
        <v>93.634511307997357</v>
      </c>
      <c r="M38" s="7">
        <v>576.667769953777</v>
      </c>
      <c r="N38" s="7">
        <v>355.00322167113637</v>
      </c>
      <c r="O38" s="19">
        <v>0</v>
      </c>
    </row>
    <row r="39" spans="2:15" s="16" customFormat="1" x14ac:dyDescent="0.3">
      <c r="B39" s="4">
        <v>5103922</v>
      </c>
      <c r="C39" s="6">
        <v>44216.59375</v>
      </c>
      <c r="D39" s="8">
        <v>0.84693881510739166</v>
      </c>
      <c r="E39" s="19">
        <v>2262</v>
      </c>
      <c r="F39" s="7">
        <v>3664.9482477100064</v>
      </c>
      <c r="G39" s="7">
        <v>-1402.9482477100064</v>
      </c>
      <c r="H39" s="7">
        <v>9.1845646970857278</v>
      </c>
      <c r="I39" s="7">
        <v>0.44208664898320071</v>
      </c>
      <c r="J39" s="7">
        <v>0.27285514894373653</v>
      </c>
      <c r="K39" s="7">
        <v>188.60470581671754</v>
      </c>
      <c r="L39" s="7">
        <v>139.49902677801433</v>
      </c>
      <c r="M39" s="7">
        <v>580.88532494655237</v>
      </c>
      <c r="N39" s="7">
        <v>405.12701608324676</v>
      </c>
      <c r="O39" s="19">
        <v>0</v>
      </c>
    </row>
    <row r="40" spans="2:15" s="16" customFormat="1" x14ac:dyDescent="0.3">
      <c r="B40" s="4">
        <v>5122700</v>
      </c>
      <c r="C40" s="6">
        <v>44252.5625</v>
      </c>
      <c r="D40" s="8">
        <v>1.0551978783652456</v>
      </c>
      <c r="E40" s="19">
        <v>2265.6778334614532</v>
      </c>
      <c r="F40" s="7">
        <v>2763.5972510850615</v>
      </c>
      <c r="G40" s="7">
        <v>-497.9194176236083</v>
      </c>
      <c r="H40" s="7">
        <v>9.2328370593712688</v>
      </c>
      <c r="I40" s="7">
        <v>0.4413690177973017</v>
      </c>
      <c r="J40" s="7">
        <v>0.36184722633059996</v>
      </c>
      <c r="K40" s="7">
        <v>229.63771026393607</v>
      </c>
      <c r="L40" s="7">
        <v>210.59287635103468</v>
      </c>
      <c r="M40" s="7">
        <v>0</v>
      </c>
      <c r="N40" s="7">
        <v>84.075707562759007</v>
      </c>
      <c r="O40" s="19">
        <v>0</v>
      </c>
    </row>
    <row r="41" spans="2:15" x14ac:dyDescent="0.3">
      <c r="B41" s="4">
        <v>5128700</v>
      </c>
      <c r="C41" s="6">
        <v>44258.145833333336</v>
      </c>
      <c r="D41" s="8">
        <v>1.0360284675267855</v>
      </c>
      <c r="E41" s="19">
        <v>2261.9999999999995</v>
      </c>
      <c r="F41" s="7">
        <v>5196.0685085042624</v>
      </c>
      <c r="G41" s="7">
        <v>-2934.0685085042628</v>
      </c>
      <c r="H41" s="7">
        <v>9.2154081139981567</v>
      </c>
      <c r="I41" s="7">
        <v>0.44208664898320077</v>
      </c>
      <c r="J41" s="7">
        <v>0.19245319771348809</v>
      </c>
      <c r="K41" s="7">
        <v>283.74321198298884</v>
      </c>
      <c r="L41" s="7">
        <v>44.3861077196254</v>
      </c>
      <c r="M41" s="7">
        <v>704.49187050754927</v>
      </c>
      <c r="N41" s="7">
        <v>380.56263850755113</v>
      </c>
      <c r="O41" s="19">
        <v>0</v>
      </c>
    </row>
    <row r="42" spans="2:15" x14ac:dyDescent="0.3">
      <c r="B42" s="4">
        <v>5131524</v>
      </c>
      <c r="C42" s="6">
        <v>44263.791666666664</v>
      </c>
      <c r="D42" s="8">
        <v>1.2849529365930143</v>
      </c>
      <c r="E42" s="19">
        <v>2261.9999999999995</v>
      </c>
      <c r="F42" s="7">
        <v>3078.9138261214025</v>
      </c>
      <c r="G42" s="7">
        <v>-816.91382612140296</v>
      </c>
      <c r="H42" s="7">
        <v>8.680136681518702</v>
      </c>
      <c r="I42" s="7">
        <v>0.44208664898320083</v>
      </c>
      <c r="J42" s="7">
        <v>0.32478986307315039</v>
      </c>
      <c r="K42" s="7">
        <v>127.89385684315744</v>
      </c>
      <c r="L42" s="7">
        <v>442.55351790571757</v>
      </c>
      <c r="M42" s="7">
        <v>0</v>
      </c>
      <c r="N42" s="7">
        <v>46.443527898566749</v>
      </c>
      <c r="O42" s="19">
        <v>0</v>
      </c>
    </row>
    <row r="43" spans="2:15" x14ac:dyDescent="0.3">
      <c r="B43" s="4">
        <v>5133442</v>
      </c>
      <c r="C43" s="6">
        <v>44265.208333333336</v>
      </c>
      <c r="D43" s="8">
        <v>0.84941975866564512</v>
      </c>
      <c r="E43" s="19">
        <v>2262.0000000000005</v>
      </c>
      <c r="F43" s="7">
        <v>2374.2399064799665</v>
      </c>
      <c r="G43" s="7">
        <v>-112.23990647996607</v>
      </c>
      <c r="H43" s="7">
        <v>8.4884092713595223</v>
      </c>
      <c r="I43" s="7">
        <v>0.4420866489832006</v>
      </c>
      <c r="J43" s="7">
        <v>0.42118742814098931</v>
      </c>
      <c r="K43" s="7">
        <v>164.511035848463</v>
      </c>
      <c r="L43" s="7">
        <v>65.593992213558025</v>
      </c>
      <c r="M43" s="7">
        <v>494.77639331554326</v>
      </c>
      <c r="N43" s="7">
        <v>355.71658846100507</v>
      </c>
      <c r="O43" s="19">
        <v>0</v>
      </c>
    </row>
    <row r="44" spans="2:15" x14ac:dyDescent="0.3">
      <c r="B44" s="4">
        <v>5134751</v>
      </c>
      <c r="C44" s="6">
        <v>44268.472222222219</v>
      </c>
      <c r="D44" s="8">
        <v>0.88520718987848612</v>
      </c>
      <c r="E44" s="19">
        <v>2262.0000000000005</v>
      </c>
      <c r="F44" s="7">
        <v>4801.9980519949004</v>
      </c>
      <c r="G44" s="7">
        <v>-2539.9980519948999</v>
      </c>
      <c r="H44" s="7">
        <v>9.0094373738347411</v>
      </c>
      <c r="I44" s="7">
        <v>0.4420866489832006</v>
      </c>
      <c r="J44" s="7">
        <v>0.2082466484101485</v>
      </c>
      <c r="K44" s="7">
        <v>230.0404877668345</v>
      </c>
      <c r="L44" s="7">
        <v>0</v>
      </c>
      <c r="M44" s="7">
        <v>863.41074448595487</v>
      </c>
      <c r="N44" s="7">
        <v>497.64037104283312</v>
      </c>
      <c r="O44" s="19">
        <v>0</v>
      </c>
    </row>
    <row r="45" spans="2:15" x14ac:dyDescent="0.3">
      <c r="B45" s="4">
        <v>5135629</v>
      </c>
      <c r="C45" s="6">
        <v>44286.385416666664</v>
      </c>
      <c r="D45" s="8">
        <v>0.9632855722452337</v>
      </c>
      <c r="E45" s="19">
        <v>2261.9999999999995</v>
      </c>
      <c r="F45" s="7">
        <v>2779.5243572548011</v>
      </c>
      <c r="G45" s="7">
        <v>-517.52435725480154</v>
      </c>
      <c r="H45" s="7">
        <v>8.5750767917797273</v>
      </c>
      <c r="I45" s="7">
        <v>0.44208664898320077</v>
      </c>
      <c r="J45" s="7">
        <v>0.35977378553633205</v>
      </c>
      <c r="K45" s="7">
        <v>273.25682625839096</v>
      </c>
      <c r="L45" s="7">
        <v>1.8693760636384067E-2</v>
      </c>
      <c r="M45" s="7">
        <v>1127.8016454571487</v>
      </c>
      <c r="N45" s="7">
        <v>1163.2585704091407</v>
      </c>
      <c r="O45" s="19">
        <v>0</v>
      </c>
    </row>
    <row r="46" spans="2:15" x14ac:dyDescent="0.3">
      <c r="B46" s="4">
        <v>5140104</v>
      </c>
      <c r="C46" s="6">
        <v>44274.930555555555</v>
      </c>
      <c r="D46" s="8">
        <v>0.89659226760982103</v>
      </c>
      <c r="E46" s="19">
        <v>2261.9999999999995</v>
      </c>
      <c r="F46" s="7">
        <v>3106.3540024024178</v>
      </c>
      <c r="G46" s="7">
        <v>-844.35400240241825</v>
      </c>
      <c r="H46" s="7">
        <v>8.588784554596538</v>
      </c>
      <c r="I46" s="7">
        <v>0.44208664898320077</v>
      </c>
      <c r="J46" s="7">
        <v>0.32192081109448945</v>
      </c>
      <c r="K46" s="7">
        <v>242.90532551890573</v>
      </c>
      <c r="L46" s="7">
        <v>51.812836405493876</v>
      </c>
      <c r="M46" s="7">
        <v>708.34823985762284</v>
      </c>
      <c r="N46" s="7">
        <v>436.19308340837921</v>
      </c>
      <c r="O46" s="19">
        <v>0</v>
      </c>
    </row>
    <row r="47" spans="2:15" s="16" customFormat="1" x14ac:dyDescent="0.3">
      <c r="B47" s="4">
        <v>5142521</v>
      </c>
      <c r="C47" s="6">
        <v>44278.875</v>
      </c>
      <c r="D47" s="8">
        <v>1.0347083514935451</v>
      </c>
      <c r="E47" s="19">
        <v>2262</v>
      </c>
      <c r="F47" s="7">
        <v>5856.856697953237</v>
      </c>
      <c r="G47" s="7">
        <v>-3594.856697953237</v>
      </c>
      <c r="H47" s="7">
        <v>9.0837221827144337</v>
      </c>
      <c r="I47" s="7">
        <v>0.44208664898320066</v>
      </c>
      <c r="J47" s="7">
        <v>0.17074004906923271</v>
      </c>
      <c r="K47" s="7">
        <v>331.00955722916848</v>
      </c>
      <c r="L47" s="7">
        <v>28.591155464581213</v>
      </c>
      <c r="M47" s="7">
        <v>1252.6685053189108</v>
      </c>
      <c r="N47" s="7">
        <v>760.96126236259397</v>
      </c>
      <c r="O47" s="19">
        <v>0</v>
      </c>
    </row>
    <row r="48" spans="2:15" s="16" customFormat="1" x14ac:dyDescent="0.3">
      <c r="B48" s="4">
        <v>5147402</v>
      </c>
      <c r="C48" s="6">
        <v>44287.715277777781</v>
      </c>
      <c r="D48" s="8">
        <v>0.90445184266431089</v>
      </c>
      <c r="E48" s="19">
        <v>2262</v>
      </c>
      <c r="F48" s="7">
        <v>3502.9121907816925</v>
      </c>
      <c r="G48" s="7">
        <v>-1240.9121907816925</v>
      </c>
      <c r="H48" s="7">
        <v>7.3884461971162896</v>
      </c>
      <c r="I48" s="7">
        <v>0.44208664898320066</v>
      </c>
      <c r="J48" s="7">
        <v>0.28547675349431034</v>
      </c>
      <c r="K48" s="7">
        <v>217.95130679057505</v>
      </c>
      <c r="L48" s="7">
        <v>82.191440954041511</v>
      </c>
      <c r="M48" s="7">
        <v>513.51876711444049</v>
      </c>
      <c r="N48" s="7">
        <v>297.65417278233809</v>
      </c>
      <c r="O48" s="19">
        <v>0</v>
      </c>
    </row>
    <row r="49" spans="2:15" x14ac:dyDescent="0.3">
      <c r="B49" s="4">
        <v>5150414</v>
      </c>
      <c r="C49" s="6">
        <v>44295.482638888891</v>
      </c>
      <c r="D49" s="8">
        <v>0.91692133540856491</v>
      </c>
      <c r="E49" s="19">
        <v>2261.9999999999995</v>
      </c>
      <c r="F49" s="7">
        <v>3481.1253573266472</v>
      </c>
      <c r="G49" s="7">
        <v>-1219.1253573266476</v>
      </c>
      <c r="H49" s="7">
        <v>7.007624100824775</v>
      </c>
      <c r="I49" s="7">
        <v>0.44208664898320083</v>
      </c>
      <c r="J49" s="7">
        <v>0.28726342701084351</v>
      </c>
      <c r="K49" s="7">
        <v>265.21974610553593</v>
      </c>
      <c r="L49" s="7">
        <v>0</v>
      </c>
      <c r="M49" s="7">
        <v>862.48718105939167</v>
      </c>
      <c r="N49" s="7">
        <v>491.66297548212526</v>
      </c>
      <c r="O49" s="19">
        <v>0</v>
      </c>
    </row>
    <row r="50" spans="2:15" s="16" customFormat="1" x14ac:dyDescent="0.3">
      <c r="B50" s="4">
        <v>5155975</v>
      </c>
      <c r="C50" s="6">
        <v>44302.100694444445</v>
      </c>
      <c r="D50" s="8">
        <v>0.9003591131143851</v>
      </c>
      <c r="E50" s="19">
        <v>2261.9999999999991</v>
      </c>
      <c r="F50" s="7">
        <v>2249.5636068149288</v>
      </c>
      <c r="G50" s="7">
        <v>12.436393185070301</v>
      </c>
      <c r="H50" s="7">
        <v>6.477961391593392</v>
      </c>
      <c r="I50" s="7">
        <v>0.44208664898320088</v>
      </c>
      <c r="J50" s="7">
        <v>0.44453066228959032</v>
      </c>
      <c r="K50" s="7">
        <v>279.60607280912689</v>
      </c>
      <c r="L50" s="7">
        <v>0</v>
      </c>
      <c r="M50" s="7">
        <v>967.74954723564781</v>
      </c>
      <c r="N50" s="7">
        <v>540.83619484590292</v>
      </c>
      <c r="O50" s="19">
        <v>0</v>
      </c>
    </row>
    <row r="51" spans="2:15" s="16" customFormat="1" x14ac:dyDescent="0.3">
      <c r="B51" s="4">
        <v>5157890</v>
      </c>
      <c r="C51" s="6">
        <v>44306.211805555555</v>
      </c>
      <c r="D51" s="8">
        <v>0.95003752977402955</v>
      </c>
      <c r="E51" s="19">
        <v>2262.0000000000009</v>
      </c>
      <c r="F51" s="7">
        <v>3305.5050687618627</v>
      </c>
      <c r="G51" s="7">
        <v>-1043.5050687618618</v>
      </c>
      <c r="H51" s="7">
        <v>6.9339858896733571</v>
      </c>
      <c r="I51" s="7">
        <v>0.44208664898320055</v>
      </c>
      <c r="J51" s="7">
        <v>0.30252562897281177</v>
      </c>
      <c r="K51" s="7">
        <v>264.31730579027959</v>
      </c>
      <c r="L51" s="7">
        <v>409.46595095559309</v>
      </c>
      <c r="M51" s="7">
        <v>559.04693280465563</v>
      </c>
      <c r="N51" s="7">
        <v>735.0067182842887</v>
      </c>
      <c r="O51" s="19">
        <v>0</v>
      </c>
    </row>
    <row r="52" spans="2:15" s="16" customFormat="1" x14ac:dyDescent="0.3">
      <c r="B52" s="4">
        <v>5177256</v>
      </c>
      <c r="C52" s="6">
        <v>44338.291666666664</v>
      </c>
      <c r="D52" s="8">
        <v>1.2991778605638611</v>
      </c>
      <c r="E52" s="19">
        <v>2261.9999999999995</v>
      </c>
      <c r="F52" s="7">
        <v>0.34044721044896364</v>
      </c>
      <c r="G52" s="7">
        <v>2261.6595527895506</v>
      </c>
      <c r="H52" s="7"/>
      <c r="I52" s="7">
        <v>0.44208664898320077</v>
      </c>
      <c r="J52" s="7">
        <v>2937.3129498733542</v>
      </c>
      <c r="K52" s="7">
        <v>369.98703630379089</v>
      </c>
      <c r="L52" s="7">
        <v>681.05296222209711</v>
      </c>
      <c r="M52" s="7">
        <v>0</v>
      </c>
      <c r="N52" s="7">
        <v>44.836614634467765</v>
      </c>
      <c r="O52" s="19">
        <v>0</v>
      </c>
    </row>
    <row r="53" spans="2:15" s="16" customFormat="1" x14ac:dyDescent="0.3">
      <c r="B53" s="4">
        <v>5186479</v>
      </c>
      <c r="C53" s="6">
        <v>44358.583333333336</v>
      </c>
      <c r="D53" s="8">
        <v>0.91901469557200544</v>
      </c>
      <c r="E53" s="19">
        <v>2262</v>
      </c>
      <c r="F53" s="7">
        <v>2587.0165870108085</v>
      </c>
      <c r="G53" s="7">
        <v>-325.01658701080851</v>
      </c>
      <c r="H53" s="7">
        <v>7.2514967415702269</v>
      </c>
      <c r="I53" s="7">
        <v>0.44208664898320071</v>
      </c>
      <c r="J53" s="7">
        <v>0.38654564683539927</v>
      </c>
      <c r="K53" s="7">
        <v>271.09872202714041</v>
      </c>
      <c r="L53" s="7">
        <v>424.54164999293749</v>
      </c>
      <c r="M53" s="7">
        <v>0</v>
      </c>
      <c r="N53" s="7">
        <v>74.922269333831267</v>
      </c>
      <c r="O53" s="19">
        <v>0</v>
      </c>
    </row>
    <row r="54" spans="2:15" s="16" customFormat="1" x14ac:dyDescent="0.3">
      <c r="B54" s="4">
        <v>5188514</v>
      </c>
      <c r="C54" s="6">
        <v>44359.909722222219</v>
      </c>
      <c r="D54" s="8">
        <v>0.99372671498850917</v>
      </c>
      <c r="E54" s="19">
        <v>2261.9999999999995</v>
      </c>
      <c r="F54" s="7">
        <v>2427.5934783510547</v>
      </c>
      <c r="G54" s="7">
        <v>-165.59347835105518</v>
      </c>
      <c r="H54" s="7">
        <v>7.4702870836145552</v>
      </c>
      <c r="I54" s="7">
        <v>0.44208664898320077</v>
      </c>
      <c r="J54" s="7">
        <v>0.41193058430823065</v>
      </c>
      <c r="K54" s="7">
        <v>263.63340495558782</v>
      </c>
      <c r="L54" s="7">
        <v>96.857675734221544</v>
      </c>
      <c r="M54" s="7">
        <v>704.92617835773228</v>
      </c>
      <c r="N54" s="7">
        <v>459.59892056448763</v>
      </c>
      <c r="O54" s="19">
        <v>0</v>
      </c>
    </row>
    <row r="55" spans="2:15" s="16" customFormat="1" x14ac:dyDescent="0.3">
      <c r="B55" s="4">
        <v>5189680</v>
      </c>
      <c r="C55" s="6">
        <v>44362.6875</v>
      </c>
      <c r="D55" s="8">
        <v>1.0604840087730298</v>
      </c>
      <c r="E55" s="19">
        <v>2261.9999999999995</v>
      </c>
      <c r="F55" s="7">
        <v>7945.435315982545</v>
      </c>
      <c r="G55" s="7">
        <v>-5683.4353159825459</v>
      </c>
      <c r="H55" s="7">
        <v>5.8140287830377542</v>
      </c>
      <c r="I55" s="7">
        <v>0.44208664898320083</v>
      </c>
      <c r="J55" s="7">
        <v>0.12585842817050716</v>
      </c>
      <c r="K55" s="7">
        <v>277.23008872166872</v>
      </c>
      <c r="L55" s="7">
        <v>295.6572695678517</v>
      </c>
      <c r="M55" s="7">
        <v>237.07423253396297</v>
      </c>
      <c r="N55" s="7">
        <v>204.00951210365545</v>
      </c>
      <c r="O55" s="19">
        <v>0</v>
      </c>
    </row>
    <row r="56" spans="2:15" s="16" customFormat="1" x14ac:dyDescent="0.3">
      <c r="B56" s="4">
        <v>5193759</v>
      </c>
      <c r="C56" s="6">
        <v>44369.833333333336</v>
      </c>
      <c r="D56" s="8">
        <v>0.90521006694420159</v>
      </c>
      <c r="E56" s="19">
        <v>2261.9999999999995</v>
      </c>
      <c r="F56" s="7">
        <v>2284.1428421155433</v>
      </c>
      <c r="G56" s="7">
        <v>-22.142842115543772</v>
      </c>
      <c r="H56" s="7">
        <v>6.2949455091303044</v>
      </c>
      <c r="I56" s="7">
        <v>0.44208664898320077</v>
      </c>
      <c r="J56" s="7">
        <v>0.43780099105965409</v>
      </c>
      <c r="K56" s="7">
        <v>245.1143741520855</v>
      </c>
      <c r="L56" s="7">
        <v>2.9661009475113402E-4</v>
      </c>
      <c r="M56" s="7">
        <v>633.77911531045811</v>
      </c>
      <c r="N56" s="7">
        <v>79.715678179579456</v>
      </c>
      <c r="O56" s="19">
        <v>0</v>
      </c>
    </row>
    <row r="57" spans="2:15" s="16" customFormat="1" x14ac:dyDescent="0.3">
      <c r="B57" s="4">
        <v>5195114</v>
      </c>
      <c r="C57" s="6">
        <v>44370.291666666664</v>
      </c>
      <c r="D57" s="8">
        <v>0.96204744420062782</v>
      </c>
      <c r="E57" s="19">
        <v>2267.075436963954</v>
      </c>
      <c r="F57" s="7">
        <v>3623.469589456211</v>
      </c>
      <c r="G57" s="7">
        <v>-1356.394152492257</v>
      </c>
      <c r="H57" s="7">
        <v>5.6444327201070781</v>
      </c>
      <c r="I57" s="7">
        <v>0.44109692324097982</v>
      </c>
      <c r="J57" s="7">
        <v>0.275978582215747</v>
      </c>
      <c r="K57" s="7">
        <v>360.45541205208116</v>
      </c>
      <c r="L57" s="7">
        <v>0</v>
      </c>
      <c r="M57" s="7">
        <v>892.12045201126523</v>
      </c>
      <c r="N57" s="7">
        <v>524.4871127074457</v>
      </c>
      <c r="O57" s="19">
        <v>0</v>
      </c>
    </row>
    <row r="58" spans="2:15" s="16" customFormat="1" x14ac:dyDescent="0.3">
      <c r="B58" s="4">
        <v>5196663</v>
      </c>
      <c r="C58" s="6">
        <v>44373.875</v>
      </c>
      <c r="D58" s="8">
        <v>0.99321174694727343</v>
      </c>
      <c r="E58" s="19">
        <v>2261.9999999999995</v>
      </c>
      <c r="F58" s="7">
        <v>3470.8108455506549</v>
      </c>
      <c r="G58" s="7">
        <v>-1208.8108455506554</v>
      </c>
      <c r="H58" s="7">
        <v>5.5968723185907479</v>
      </c>
      <c r="I58" s="7">
        <v>0.44208664898320083</v>
      </c>
      <c r="J58" s="7">
        <v>0.28811711283025765</v>
      </c>
      <c r="K58" s="7">
        <v>331.50549341552397</v>
      </c>
      <c r="L58" s="7">
        <v>30.826576613256055</v>
      </c>
      <c r="M58" s="7">
        <v>584.86475420146917</v>
      </c>
      <c r="N58" s="7">
        <v>219.41102269111963</v>
      </c>
      <c r="O58" s="19">
        <v>0</v>
      </c>
    </row>
    <row r="59" spans="2:15" s="16" customFormat="1" x14ac:dyDescent="0.3">
      <c r="B59" s="4">
        <v>5196673</v>
      </c>
      <c r="C59" s="6">
        <v>44375.666666666664</v>
      </c>
      <c r="D59" s="8">
        <v>0.89142774090278942</v>
      </c>
      <c r="E59" s="19">
        <v>2262.0000000000005</v>
      </c>
      <c r="F59" s="7">
        <v>2267.1056606330617</v>
      </c>
      <c r="G59" s="7">
        <v>-5.105660633061234</v>
      </c>
      <c r="H59" s="7">
        <v>5.6337904185667114</v>
      </c>
      <c r="I59" s="7">
        <v>0.44208664898320066</v>
      </c>
      <c r="J59" s="7">
        <v>0.44109104280598987</v>
      </c>
      <c r="K59" s="7">
        <v>273.7441228660241</v>
      </c>
      <c r="L59" s="7">
        <v>0</v>
      </c>
      <c r="M59" s="7">
        <v>816.37391696697841</v>
      </c>
      <c r="N59" s="7">
        <v>420.9820994132071</v>
      </c>
      <c r="O59" s="19">
        <v>0</v>
      </c>
    </row>
    <row r="60" spans="2:15" s="16" customFormat="1" x14ac:dyDescent="0.3">
      <c r="B60" s="4">
        <v>5199566</v>
      </c>
      <c r="C60" s="6">
        <v>44376.833333333336</v>
      </c>
      <c r="D60" s="8">
        <v>0.87834719568148856</v>
      </c>
      <c r="E60" s="19">
        <v>2262</v>
      </c>
      <c r="F60" s="7">
        <v>2264.7711287577363</v>
      </c>
      <c r="G60" s="7">
        <v>-2.7711287577362782</v>
      </c>
      <c r="H60" s="7">
        <v>5.7316813538100693</v>
      </c>
      <c r="I60" s="7">
        <v>0.44208664898320071</v>
      </c>
      <c r="J60" s="7">
        <v>0.4415457205817156</v>
      </c>
      <c r="K60" s="7">
        <v>268.22988327488986</v>
      </c>
      <c r="L60" s="7">
        <v>0</v>
      </c>
      <c r="M60" s="7">
        <v>859.1611051425383</v>
      </c>
      <c r="N60" s="7">
        <v>655.94121788775374</v>
      </c>
      <c r="O60" s="19">
        <v>0</v>
      </c>
    </row>
    <row r="61" spans="2:15" s="16" customFormat="1" x14ac:dyDescent="0.3">
      <c r="B61" s="4">
        <v>5199841</v>
      </c>
      <c r="C61" s="6">
        <v>44378.291666666664</v>
      </c>
      <c r="D61" s="8">
        <v>0.98548997284844886</v>
      </c>
      <c r="E61" s="19">
        <v>2262.0000000000005</v>
      </c>
      <c r="F61" s="7">
        <v>3685.9509010999986</v>
      </c>
      <c r="G61" s="7">
        <v>-1423.9509010999982</v>
      </c>
      <c r="H61" s="7">
        <v>6.5113163447162004</v>
      </c>
      <c r="I61" s="7">
        <v>0.4420866489832006</v>
      </c>
      <c r="J61" s="7">
        <v>0.2713004125208423</v>
      </c>
      <c r="K61" s="7">
        <v>269.40546900633814</v>
      </c>
      <c r="L61" s="7">
        <v>2.1963149394886212E-2</v>
      </c>
      <c r="M61" s="7">
        <v>820.52216828351095</v>
      </c>
      <c r="N61" s="7">
        <v>426.33989504449335</v>
      </c>
      <c r="O61" s="19">
        <v>0</v>
      </c>
    </row>
    <row r="62" spans="2:15" s="16" customFormat="1" x14ac:dyDescent="0.3">
      <c r="B62" s="4">
        <v>5202619</v>
      </c>
      <c r="C62" s="6">
        <v>44382.645833333336</v>
      </c>
      <c r="D62" s="8">
        <v>0.80642739129674745</v>
      </c>
      <c r="E62" s="19">
        <v>2261.9999999999995</v>
      </c>
      <c r="F62" s="7">
        <v>2260.6152058893877</v>
      </c>
      <c r="G62" s="7">
        <v>1.3847941106118924</v>
      </c>
      <c r="H62" s="7">
        <v>5.7203345460562032</v>
      </c>
      <c r="I62" s="7">
        <v>0.44208664898320077</v>
      </c>
      <c r="J62" s="7">
        <v>0.44235745977235996</v>
      </c>
      <c r="K62" s="7">
        <v>239.75701999964133</v>
      </c>
      <c r="L62" s="7">
        <v>0</v>
      </c>
      <c r="M62" s="7">
        <v>634.57975566982145</v>
      </c>
      <c r="N62" s="7">
        <v>520.20425781389235</v>
      </c>
      <c r="O62" s="19">
        <v>0</v>
      </c>
    </row>
    <row r="63" spans="2:15" x14ac:dyDescent="0.3">
      <c r="B63" s="4">
        <v>5203266</v>
      </c>
      <c r="C63" s="6">
        <v>44383.798611111109</v>
      </c>
      <c r="D63" s="8">
        <v>0.8491564667609669</v>
      </c>
      <c r="E63" s="19">
        <v>2262.0000000000005</v>
      </c>
      <c r="F63" s="7">
        <v>2262.011545054273</v>
      </c>
      <c r="G63" s="7">
        <v>-1.1545054272573907E-2</v>
      </c>
      <c r="H63" s="7">
        <v>6.628388271670012</v>
      </c>
      <c r="I63" s="7">
        <v>0.44208664898320066</v>
      </c>
      <c r="J63" s="7">
        <v>0.44208439262232269</v>
      </c>
      <c r="K63" s="7">
        <v>253.05612168929071</v>
      </c>
      <c r="L63" s="7">
        <v>0</v>
      </c>
      <c r="M63" s="7">
        <v>1001.4275059409474</v>
      </c>
      <c r="N63" s="7">
        <v>609.22787946295455</v>
      </c>
      <c r="O63" s="19">
        <v>0</v>
      </c>
    </row>
    <row r="64" spans="2:15" x14ac:dyDescent="0.3">
      <c r="B64" s="4">
        <v>5204175</v>
      </c>
      <c r="C64" s="6">
        <v>44384.291666666664</v>
      </c>
      <c r="D64" s="8">
        <v>0.87343396452956268</v>
      </c>
      <c r="E64" s="19">
        <v>2262</v>
      </c>
      <c r="F64" s="7">
        <v>5299.2852657354051</v>
      </c>
      <c r="G64" s="7">
        <v>-3037.2852657354051</v>
      </c>
      <c r="H64" s="7">
        <v>6.2347163629451474</v>
      </c>
      <c r="I64" s="7">
        <v>0.44208664898320071</v>
      </c>
      <c r="J64" s="7">
        <v>0.18870469315284646</v>
      </c>
      <c r="K64" s="7">
        <v>247.03962005147704</v>
      </c>
      <c r="L64" s="7">
        <v>28.241033890195343</v>
      </c>
      <c r="M64" s="7">
        <v>661.42198889098802</v>
      </c>
      <c r="N64" s="7">
        <v>486.88907357430139</v>
      </c>
      <c r="O64" s="19">
        <v>0</v>
      </c>
    </row>
    <row r="65" spans="2:15" x14ac:dyDescent="0.3">
      <c r="B65" s="4">
        <v>5206639</v>
      </c>
      <c r="C65" s="6">
        <v>44386.90625</v>
      </c>
      <c r="D65" s="8">
        <v>0.89700791846268924</v>
      </c>
      <c r="E65" s="19">
        <v>2262</v>
      </c>
      <c r="F65" s="7">
        <v>2261.9951689074251</v>
      </c>
      <c r="G65" s="7">
        <v>4.8310925749319722E-3</v>
      </c>
      <c r="H65" s="7">
        <v>6.4259619767966258</v>
      </c>
      <c r="I65" s="7">
        <v>0.44208664898320071</v>
      </c>
      <c r="J65" s="7">
        <v>0.44208759317687391</v>
      </c>
      <c r="K65" s="7">
        <v>253.72950264928127</v>
      </c>
      <c r="L65" s="7">
        <v>0</v>
      </c>
      <c r="M65" s="7">
        <v>681.8800092335639</v>
      </c>
      <c r="N65" s="7">
        <v>308.50721545794704</v>
      </c>
      <c r="O65" s="19">
        <v>0</v>
      </c>
    </row>
    <row r="66" spans="2:15" x14ac:dyDescent="0.3">
      <c r="B66" s="4">
        <v>5206644</v>
      </c>
      <c r="C66" s="6">
        <v>44387.861111111109</v>
      </c>
      <c r="D66" s="8">
        <v>0.8969903678944493</v>
      </c>
      <c r="E66" s="19">
        <v>2262</v>
      </c>
      <c r="F66" s="7">
        <v>2261.9865523393282</v>
      </c>
      <c r="G66" s="7">
        <v>1.344766067177261E-2</v>
      </c>
      <c r="H66" s="7">
        <v>6.033626563005102</v>
      </c>
      <c r="I66" s="7">
        <v>0.44208664898320071</v>
      </c>
      <c r="J66" s="7">
        <v>0.44208927721776597</v>
      </c>
      <c r="K66" s="7">
        <v>222.13038005683066</v>
      </c>
      <c r="L66" s="7">
        <v>16.055820855741452</v>
      </c>
      <c r="M66" s="7">
        <v>551.57624547072942</v>
      </c>
      <c r="N66" s="7">
        <v>260.07739290883262</v>
      </c>
      <c r="O66" s="19">
        <v>0</v>
      </c>
    </row>
    <row r="67" spans="2:15" x14ac:dyDescent="0.3">
      <c r="B67" s="4">
        <v>5206694</v>
      </c>
      <c r="C67" s="6">
        <v>44388.833333333336</v>
      </c>
      <c r="D67" s="8">
        <v>0.89689811476872772</v>
      </c>
      <c r="E67" s="19">
        <v>2262.0000000000005</v>
      </c>
      <c r="F67" s="7">
        <v>2261.9606636473368</v>
      </c>
      <c r="G67" s="7">
        <v>3.933635266366764E-2</v>
      </c>
      <c r="H67" s="7">
        <v>5.9245357854264382</v>
      </c>
      <c r="I67" s="7">
        <v>0.4420866489832006</v>
      </c>
      <c r="J67" s="7">
        <v>0.44209433703746781</v>
      </c>
      <c r="K67" s="7">
        <v>251.04289676555453</v>
      </c>
      <c r="L67" s="7">
        <v>0</v>
      </c>
      <c r="M67" s="7">
        <v>596.89215911921281</v>
      </c>
      <c r="N67" s="7">
        <v>259.92359535789274</v>
      </c>
      <c r="O67" s="19">
        <v>0</v>
      </c>
    </row>
    <row r="68" spans="2:15" x14ac:dyDescent="0.3">
      <c r="B68" s="4">
        <v>5206750</v>
      </c>
      <c r="C68" s="6">
        <v>44389.829861111109</v>
      </c>
      <c r="D68" s="8">
        <v>0.87336428392098819</v>
      </c>
      <c r="E68" s="19">
        <v>2262.0000000000005</v>
      </c>
      <c r="F68" s="7">
        <v>2912.3097856355125</v>
      </c>
      <c r="G68" s="7">
        <v>-650.30978563551207</v>
      </c>
      <c r="H68" s="7">
        <v>6.6702176778738664</v>
      </c>
      <c r="I68" s="7">
        <v>0.4420866489832006</v>
      </c>
      <c r="J68" s="7">
        <v>0.34337006486478017</v>
      </c>
      <c r="K68" s="7">
        <v>282.17108467482802</v>
      </c>
      <c r="L68" s="7">
        <v>9.2187224452844208E-3</v>
      </c>
      <c r="M68" s="7">
        <v>860.57410700000389</v>
      </c>
      <c r="N68" s="7">
        <v>497.81562073452812</v>
      </c>
      <c r="O68" s="19">
        <v>0</v>
      </c>
    </row>
    <row r="69" spans="2:15" x14ac:dyDescent="0.3">
      <c r="B69" s="4">
        <v>5209266</v>
      </c>
      <c r="C69" s="6">
        <v>44395</v>
      </c>
      <c r="D69" s="8">
        <v>0.89968644175428036</v>
      </c>
      <c r="E69" s="19">
        <v>2261.9999999999995</v>
      </c>
      <c r="F69" s="7">
        <v>2262.0241496371173</v>
      </c>
      <c r="G69" s="7">
        <v>-2.4149637117716338E-2</v>
      </c>
      <c r="H69" s="7">
        <v>6.2489059639185731</v>
      </c>
      <c r="I69" s="7">
        <v>0.44208664898320083</v>
      </c>
      <c r="J69" s="7">
        <v>0.44208192921389627</v>
      </c>
      <c r="K69" s="7">
        <v>333.47063923822458</v>
      </c>
      <c r="L69" s="7">
        <v>70.796760932439824</v>
      </c>
      <c r="M69" s="7">
        <v>626.47247397056412</v>
      </c>
      <c r="N69" s="7">
        <v>241.65224349345621</v>
      </c>
      <c r="O69" s="19">
        <v>0</v>
      </c>
    </row>
    <row r="70" spans="2:15" x14ac:dyDescent="0.3">
      <c r="B70" s="4">
        <v>5209270</v>
      </c>
      <c r="C70" s="6">
        <v>44395.875</v>
      </c>
      <c r="D70" s="8">
        <v>0.89992716264891259</v>
      </c>
      <c r="E70" s="19">
        <v>2262.0000000000005</v>
      </c>
      <c r="F70" s="7">
        <v>2263.6197234893066</v>
      </c>
      <c r="G70" s="7">
        <v>-1.619723489306125</v>
      </c>
      <c r="H70" s="7">
        <v>6.0474438231676633</v>
      </c>
      <c r="I70" s="7">
        <v>0.4420866489832006</v>
      </c>
      <c r="J70" s="7">
        <v>0.44177031575715731</v>
      </c>
      <c r="K70" s="7">
        <v>350.07338377459024</v>
      </c>
      <c r="L70" s="7">
        <v>0</v>
      </c>
      <c r="M70" s="7">
        <v>849.7907050816741</v>
      </c>
      <c r="N70" s="7">
        <v>277.46631085220611</v>
      </c>
      <c r="O70" s="19">
        <v>0</v>
      </c>
    </row>
    <row r="71" spans="2:15" x14ac:dyDescent="0.3">
      <c r="B71" s="4">
        <v>5209276</v>
      </c>
      <c r="C71" s="6">
        <v>44396.822916666664</v>
      </c>
      <c r="D71" s="8">
        <v>1.0030736898266424</v>
      </c>
      <c r="E71" s="19">
        <v>2262</v>
      </c>
      <c r="F71" s="7">
        <v>3202.476675645557</v>
      </c>
      <c r="G71" s="7">
        <v>-940.47667564555695</v>
      </c>
      <c r="H71" s="7">
        <v>6.1723868784489886</v>
      </c>
      <c r="I71" s="7">
        <v>0.44208664898320071</v>
      </c>
      <c r="J71" s="7">
        <v>0.31225832419167254</v>
      </c>
      <c r="K71" s="7">
        <v>267.73961375111179</v>
      </c>
      <c r="L71" s="7">
        <v>21.923696609253824</v>
      </c>
      <c r="M71" s="7">
        <v>848.96803407369669</v>
      </c>
      <c r="N71" s="7">
        <v>503.69337870802241</v>
      </c>
      <c r="O71" s="19">
        <v>0</v>
      </c>
    </row>
    <row r="72" spans="2:15" x14ac:dyDescent="0.3">
      <c r="B72" s="4">
        <v>5281268</v>
      </c>
      <c r="C72" s="6">
        <v>44497.291666666664</v>
      </c>
      <c r="D72" s="8">
        <v>1.3822032647065097</v>
      </c>
      <c r="E72" s="19">
        <v>2156.0000000000005</v>
      </c>
      <c r="F72" s="7">
        <v>8039.0194826894112</v>
      </c>
      <c r="G72" s="7">
        <v>-5883.0194826894112</v>
      </c>
      <c r="H72" s="7">
        <v>5.8111467425296031</v>
      </c>
      <c r="I72" s="7">
        <v>0.46382189239332083</v>
      </c>
      <c r="J72" s="7">
        <v>0.12439327982141615</v>
      </c>
      <c r="K72" s="7">
        <v>281.46042789696122</v>
      </c>
      <c r="L72" s="7">
        <v>386.73968167470025</v>
      </c>
      <c r="M72" s="7">
        <v>0</v>
      </c>
      <c r="N72" s="7">
        <v>80.02626343087617</v>
      </c>
      <c r="O72" s="19">
        <v>0</v>
      </c>
    </row>
    <row r="73" spans="2:15" x14ac:dyDescent="0.3">
      <c r="B73" s="4">
        <v>5281281</v>
      </c>
      <c r="C73" s="6">
        <v>44503.291666666664</v>
      </c>
      <c r="D73" s="8">
        <v>1.1443576419223644</v>
      </c>
      <c r="E73" s="19">
        <v>2156</v>
      </c>
      <c r="F73" s="7">
        <v>3811.3362462368736</v>
      </c>
      <c r="G73" s="7">
        <v>-1655.3362462368736</v>
      </c>
      <c r="H73" s="7">
        <v>7.9250646694115039</v>
      </c>
      <c r="I73" s="7">
        <v>0.463821892393321</v>
      </c>
      <c r="J73" s="7">
        <v>0.26237517117188253</v>
      </c>
      <c r="K73" s="7">
        <v>228.29564520790308</v>
      </c>
      <c r="L73" s="7">
        <v>0</v>
      </c>
      <c r="M73" s="7">
        <v>1029.6088880314553</v>
      </c>
      <c r="N73" s="7">
        <v>677.23143317178005</v>
      </c>
      <c r="O73" s="19">
        <v>0</v>
      </c>
    </row>
    <row r="74" spans="2:15" x14ac:dyDescent="0.3">
      <c r="B74" s="4">
        <v>5288868</v>
      </c>
      <c r="C74" s="6">
        <v>44510.291666666664</v>
      </c>
      <c r="D74" s="8">
        <v>0.9929327012509741</v>
      </c>
      <c r="E74" s="19">
        <v>2156.0000000000005</v>
      </c>
      <c r="F74" s="7">
        <v>4182.0595588691176</v>
      </c>
      <c r="G74" s="7">
        <v>-2026.0595588691172</v>
      </c>
      <c r="H74" s="7">
        <v>7.4837883731121844</v>
      </c>
      <c r="I74" s="7">
        <v>0.46382189239332083</v>
      </c>
      <c r="J74" s="7">
        <v>0.23911663282729834</v>
      </c>
      <c r="K74" s="7">
        <v>317.76931588755281</v>
      </c>
      <c r="L74" s="7">
        <v>23.957509513867198</v>
      </c>
      <c r="M74" s="7">
        <v>875.20042175875108</v>
      </c>
      <c r="N74" s="7">
        <v>564.57752591010615</v>
      </c>
      <c r="O74" s="19">
        <v>0</v>
      </c>
    </row>
    <row r="75" spans="2:15" x14ac:dyDescent="0.3">
      <c r="B75" s="4">
        <v>5299115</v>
      </c>
      <c r="C75" s="6">
        <v>44529.291666666664</v>
      </c>
      <c r="D75" s="8">
        <v>0.99333734961156894</v>
      </c>
      <c r="E75" s="19">
        <v>2156.0000000000005</v>
      </c>
      <c r="F75" s="7">
        <v>2394.4904672202606</v>
      </c>
      <c r="G75" s="7">
        <v>-238.49046722026014</v>
      </c>
      <c r="H75" s="7">
        <v>7.4963200907056189</v>
      </c>
      <c r="I75" s="7">
        <v>0.46382189239332089</v>
      </c>
      <c r="J75" s="7">
        <v>0.41762538364201124</v>
      </c>
      <c r="K75" s="7">
        <v>318.25795427618777</v>
      </c>
      <c r="L75" s="7">
        <v>0</v>
      </c>
      <c r="M75" s="7">
        <v>896.3330628520805</v>
      </c>
      <c r="N75" s="7">
        <v>411.77842117111675</v>
      </c>
      <c r="O75" s="19">
        <v>0</v>
      </c>
    </row>
    <row r="76" spans="2:15" x14ac:dyDescent="0.3">
      <c r="B76" s="4">
        <v>5319204</v>
      </c>
      <c r="C76" s="6">
        <v>44563.041666666664</v>
      </c>
      <c r="D76" s="8">
        <v>1.2107273017888469</v>
      </c>
      <c r="E76" s="19">
        <v>2155.9999999999995</v>
      </c>
      <c r="F76" s="7">
        <v>2053.5814301300525</v>
      </c>
      <c r="G76" s="7">
        <v>102.41856986994708</v>
      </c>
      <c r="H76" s="7">
        <v>8.2992780330550939</v>
      </c>
      <c r="I76" s="7">
        <v>0.463821892393321</v>
      </c>
      <c r="J76" s="7">
        <v>0.48695415011454907</v>
      </c>
      <c r="K76" s="7">
        <v>205.97048871585952</v>
      </c>
      <c r="L76" s="7">
        <v>1179.714956709179</v>
      </c>
      <c r="M76" s="7">
        <v>0</v>
      </c>
      <c r="N76" s="7">
        <v>1361.5965382537963</v>
      </c>
      <c r="O76" s="19">
        <v>0</v>
      </c>
    </row>
    <row r="77" spans="2:15" x14ac:dyDescent="0.3">
      <c r="B77" s="4">
        <v>5326142</v>
      </c>
      <c r="C77" s="6">
        <v>44599.291666666664</v>
      </c>
      <c r="D77" s="8">
        <v>0.99464567549905092</v>
      </c>
      <c r="E77" s="19">
        <v>2155.9999999999995</v>
      </c>
      <c r="F77" s="7">
        <v>136.63503744083417</v>
      </c>
      <c r="G77" s="7">
        <v>2019.3649625591654</v>
      </c>
      <c r="H77" s="7">
        <v>5.0041666030883789</v>
      </c>
      <c r="I77" s="7">
        <v>0.46382189239332106</v>
      </c>
      <c r="J77" s="7">
        <v>7.318766977562551</v>
      </c>
      <c r="K77" s="7">
        <v>209.16712939443204</v>
      </c>
      <c r="L77" s="7">
        <v>222.42307466696045</v>
      </c>
      <c r="M77" s="7">
        <v>0</v>
      </c>
      <c r="N77" s="7">
        <v>45.429021698378328</v>
      </c>
      <c r="O77" s="19">
        <v>0</v>
      </c>
    </row>
    <row r="78" spans="2:15" x14ac:dyDescent="0.3">
      <c r="B78" s="4">
        <v>5326592</v>
      </c>
      <c r="C78" s="6">
        <v>44607.916666666664</v>
      </c>
      <c r="D78" s="8">
        <v>0.77474457519907425</v>
      </c>
      <c r="E78" s="19">
        <v>2156.0000000000005</v>
      </c>
      <c r="F78" s="7">
        <v>1902.3255411504811</v>
      </c>
      <c r="G78" s="7">
        <v>253.6744588495194</v>
      </c>
      <c r="H78" s="7">
        <v>7.7423936602474637</v>
      </c>
      <c r="I78" s="7">
        <v>0.46382189239332094</v>
      </c>
      <c r="J78" s="7">
        <v>0.52567238275906447</v>
      </c>
      <c r="K78" s="7">
        <v>227.0526364573721</v>
      </c>
      <c r="L78" s="7">
        <v>0</v>
      </c>
      <c r="M78" s="7">
        <v>532.8826911769313</v>
      </c>
      <c r="N78" s="7">
        <v>399.83777194977085</v>
      </c>
      <c r="O78" s="19">
        <v>0</v>
      </c>
    </row>
    <row r="79" spans="2:15" x14ac:dyDescent="0.3">
      <c r="B79" s="4">
        <v>5327292</v>
      </c>
      <c r="C79" s="6">
        <v>44621.71875</v>
      </c>
      <c r="D79" s="8">
        <v>0.90315994819570444</v>
      </c>
      <c r="E79" s="19">
        <v>2156</v>
      </c>
      <c r="F79" s="7">
        <v>3289.8287664781642</v>
      </c>
      <c r="G79" s="7">
        <v>-1133.8287664781642</v>
      </c>
      <c r="H79" s="7">
        <v>7.5427959199301799</v>
      </c>
      <c r="I79" s="7">
        <v>0.46382189239332089</v>
      </c>
      <c r="J79" s="7">
        <v>0.3039671882590177</v>
      </c>
      <c r="K79" s="7">
        <v>260.53419938375225</v>
      </c>
      <c r="L79" s="7">
        <v>14.845508785097424</v>
      </c>
      <c r="M79" s="7">
        <v>788.2916647561749</v>
      </c>
      <c r="N79" s="7">
        <v>456.85268001813142</v>
      </c>
      <c r="O79" s="19">
        <v>0</v>
      </c>
    </row>
    <row r="80" spans="2:15" x14ac:dyDescent="0.3">
      <c r="B80" s="4">
        <v>5344461</v>
      </c>
      <c r="C80" s="6">
        <v>44706.635416666664</v>
      </c>
      <c r="D80" s="8">
        <v>1.2671471195309898</v>
      </c>
      <c r="E80" s="19">
        <v>2156</v>
      </c>
      <c r="F80" s="7">
        <v>2221.9543451093423</v>
      </c>
      <c r="G80" s="7">
        <v>-65.954345109342285</v>
      </c>
      <c r="H80" s="7">
        <v>7.4397445762355021</v>
      </c>
      <c r="I80" s="7">
        <v>0.463821892393321</v>
      </c>
      <c r="J80" s="7">
        <v>0.45005425165510776</v>
      </c>
      <c r="K80" s="7">
        <v>274.89542042236332</v>
      </c>
      <c r="L80" s="7">
        <v>706.47075309505681</v>
      </c>
      <c r="M80" s="7">
        <v>0</v>
      </c>
      <c r="N80" s="7">
        <v>172.12351390088367</v>
      </c>
      <c r="O80" s="19">
        <v>0</v>
      </c>
    </row>
    <row r="81" spans="2:15" x14ac:dyDescent="0.3">
      <c r="B81" s="4">
        <v>5344542</v>
      </c>
      <c r="C81" s="6">
        <v>44713.291666666664</v>
      </c>
      <c r="D81" s="8">
        <v>0.81733435610452032</v>
      </c>
      <c r="E81" s="19">
        <v>2156</v>
      </c>
      <c r="F81" s="7">
        <v>1894.3110662529707</v>
      </c>
      <c r="G81" s="7">
        <v>261.6889337470293</v>
      </c>
      <c r="H81" s="7">
        <v>6.9894987962931214</v>
      </c>
      <c r="I81" s="7">
        <v>0.463821892393321</v>
      </c>
      <c r="J81" s="7">
        <v>0.5278964040357127</v>
      </c>
      <c r="K81" s="7">
        <v>284.02340229267747</v>
      </c>
      <c r="L81" s="7">
        <v>0</v>
      </c>
      <c r="M81" s="7">
        <v>836.09820191675988</v>
      </c>
      <c r="N81" s="7">
        <v>470.33934162004044</v>
      </c>
      <c r="O81" s="19">
        <v>0</v>
      </c>
    </row>
    <row r="82" spans="2:15" x14ac:dyDescent="0.3">
      <c r="B82" s="4">
        <v>5345287</v>
      </c>
      <c r="C82" s="6">
        <v>44717.159722222219</v>
      </c>
      <c r="D82" s="8">
        <v>1.1087854333729106</v>
      </c>
      <c r="E82" s="19">
        <v>2156.0000000000005</v>
      </c>
      <c r="F82" s="7">
        <v>1997.5432097026512</v>
      </c>
      <c r="G82" s="7">
        <v>158.45679029734924</v>
      </c>
      <c r="H82" s="7">
        <v>5.9498484658737141</v>
      </c>
      <c r="I82" s="7">
        <v>0.46382189239332089</v>
      </c>
      <c r="J82" s="7">
        <v>0.50061495297959402</v>
      </c>
      <c r="K82" s="7">
        <v>240.08755575354391</v>
      </c>
      <c r="L82" s="7">
        <v>311.58798512921351</v>
      </c>
      <c r="M82" s="7">
        <v>0</v>
      </c>
      <c r="N82" s="7">
        <v>134.02930070077616</v>
      </c>
      <c r="O82" s="19">
        <v>0</v>
      </c>
    </row>
    <row r="83" spans="2:15" x14ac:dyDescent="0.3">
      <c r="B83" s="4">
        <v>5345681</v>
      </c>
      <c r="C83" s="6">
        <v>44720.923611111109</v>
      </c>
      <c r="D83" s="8">
        <v>1.1675429217676885</v>
      </c>
      <c r="E83" s="19">
        <v>2261.9999999999991</v>
      </c>
      <c r="F83" s="7">
        <v>2657.1626863766764</v>
      </c>
      <c r="G83" s="7">
        <v>-395.16268637667736</v>
      </c>
      <c r="H83" s="7">
        <v>6.3085233807131953</v>
      </c>
      <c r="I83" s="7">
        <v>0.44208664898320088</v>
      </c>
      <c r="J83" s="7">
        <v>0.37634127753148833</v>
      </c>
      <c r="K83" s="7">
        <v>240.76588805485338</v>
      </c>
      <c r="L83" s="7">
        <v>159.37946389466538</v>
      </c>
      <c r="M83" s="7">
        <v>611.988789321735</v>
      </c>
      <c r="N83" s="7">
        <v>476.33302023882572</v>
      </c>
      <c r="O83" s="19">
        <v>0</v>
      </c>
    </row>
    <row r="84" spans="2:15" x14ac:dyDescent="0.3">
      <c r="B84" s="4">
        <v>5346451</v>
      </c>
      <c r="C84" s="6">
        <v>44729.861111111109</v>
      </c>
      <c r="D84" s="8">
        <v>0.98857721496587692</v>
      </c>
      <c r="E84" s="19">
        <v>2262.0000000000005</v>
      </c>
      <c r="F84" s="7">
        <v>2384.438992767557</v>
      </c>
      <c r="G84" s="7">
        <v>-122.43899276755656</v>
      </c>
      <c r="H84" s="7">
        <v>5.4488610699591762</v>
      </c>
      <c r="I84" s="7">
        <v>0.4420866489832006</v>
      </c>
      <c r="J84" s="7">
        <v>0.41938586100679626</v>
      </c>
      <c r="K84" s="7">
        <v>276.05131602330113</v>
      </c>
      <c r="L84" s="7">
        <v>94.091056653487357</v>
      </c>
      <c r="M84" s="7">
        <v>765.16827494043594</v>
      </c>
      <c r="N84" s="7">
        <v>414.35228845853555</v>
      </c>
      <c r="O84" s="19">
        <v>0</v>
      </c>
    </row>
    <row r="85" spans="2:15" x14ac:dyDescent="0.3">
      <c r="B85" s="4">
        <v>5347048</v>
      </c>
      <c r="C85" s="6">
        <v>44738.166666666664</v>
      </c>
      <c r="D85" s="8">
        <v>1.3519583863628706</v>
      </c>
      <c r="E85" s="19">
        <v>2262</v>
      </c>
      <c r="F85" s="7">
        <v>2083.8854937444403</v>
      </c>
      <c r="G85" s="7">
        <v>178.11450625555972</v>
      </c>
      <c r="H85" s="7">
        <v>5.125482846691523</v>
      </c>
      <c r="I85" s="7">
        <v>0.44208664898320071</v>
      </c>
      <c r="J85" s="7">
        <v>0.47987281594975972</v>
      </c>
      <c r="K85" s="7">
        <v>302.53565746791816</v>
      </c>
      <c r="L85" s="7">
        <v>865.54482158647807</v>
      </c>
      <c r="M85" s="7">
        <v>281.00122795420549</v>
      </c>
      <c r="N85" s="7">
        <v>983.14706250303163</v>
      </c>
      <c r="O85" s="19">
        <v>0</v>
      </c>
    </row>
    <row r="86" spans="2:15" x14ac:dyDescent="0.3">
      <c r="B86" s="4">
        <v>5348099</v>
      </c>
      <c r="C86" s="6">
        <v>44767.444444444445</v>
      </c>
      <c r="D86" s="8">
        <v>1.1404456034535615</v>
      </c>
      <c r="E86" s="19">
        <v>2155.9999999999995</v>
      </c>
      <c r="F86" s="7">
        <v>2033.8828358207481</v>
      </c>
      <c r="G86" s="7">
        <v>122.1171641792514</v>
      </c>
      <c r="H86" s="7">
        <v>5.0189260429059956</v>
      </c>
      <c r="I86" s="7">
        <v>0.463821892393321</v>
      </c>
      <c r="J86" s="7">
        <v>0.49167040617482888</v>
      </c>
      <c r="K86" s="7">
        <v>197.04219130713523</v>
      </c>
      <c r="L86" s="7">
        <v>0</v>
      </c>
      <c r="M86" s="7">
        <v>630.44860611691138</v>
      </c>
      <c r="N86" s="7">
        <v>521.73300857619415</v>
      </c>
      <c r="O86" s="19">
        <v>0</v>
      </c>
    </row>
    <row r="87" spans="2:15" x14ac:dyDescent="0.3">
      <c r="B87" s="4">
        <v>5348111</v>
      </c>
      <c r="C87" s="6">
        <v>44770.319444444445</v>
      </c>
      <c r="D87" s="8">
        <v>1.1379650908486458</v>
      </c>
      <c r="E87" s="19">
        <v>2156</v>
      </c>
      <c r="F87" s="7">
        <v>5399.4121366287873</v>
      </c>
      <c r="G87" s="7">
        <v>-3243.4121366287873</v>
      </c>
      <c r="H87" s="7">
        <v>5.0020833015441886</v>
      </c>
      <c r="I87" s="7">
        <v>0.463821892393321</v>
      </c>
      <c r="J87" s="7">
        <v>0.18520534730367269</v>
      </c>
      <c r="K87" s="7">
        <v>239.41265135203156</v>
      </c>
      <c r="L87" s="7">
        <v>230.58310136624965</v>
      </c>
      <c r="M87" s="7">
        <v>524.99369970616476</v>
      </c>
      <c r="N87" s="7">
        <v>374.59434388147491</v>
      </c>
      <c r="O87" s="19">
        <v>0</v>
      </c>
    </row>
    <row r="88" spans="2:15" x14ac:dyDescent="0.3">
      <c r="B88" s="4">
        <v>5349422</v>
      </c>
      <c r="C88" s="6">
        <v>44763.802083333336</v>
      </c>
      <c r="D88" s="8">
        <v>1.3592789229106348</v>
      </c>
      <c r="E88" s="19">
        <v>2156</v>
      </c>
      <c r="F88" s="7">
        <v>3484.5521672713762</v>
      </c>
      <c r="G88" s="7">
        <v>-1328.5521672713762</v>
      </c>
      <c r="H88" s="7">
        <v>5.856621874717006</v>
      </c>
      <c r="I88" s="7">
        <v>0.46382189239332094</v>
      </c>
      <c r="J88" s="7">
        <v>0.28698092380205714</v>
      </c>
      <c r="K88" s="7">
        <v>394.94621597929478</v>
      </c>
      <c r="L88" s="7">
        <v>0.17958165769992424</v>
      </c>
      <c r="M88" s="7">
        <v>739.86769256727655</v>
      </c>
      <c r="N88" s="7">
        <v>2.2543048644644717E-3</v>
      </c>
      <c r="O88" s="19">
        <v>0</v>
      </c>
    </row>
    <row r="89" spans="2:15" s="16" customFormat="1" x14ac:dyDescent="0.3">
      <c r="B89" s="4">
        <v>5350354</v>
      </c>
      <c r="C89" s="6">
        <v>44778.743055555555</v>
      </c>
      <c r="D89" s="8">
        <v>1.0599209580862097</v>
      </c>
      <c r="E89" s="19">
        <v>2155.9999999999995</v>
      </c>
      <c r="F89" s="7">
        <v>3470.7247450361087</v>
      </c>
      <c r="G89" s="7">
        <v>-1314.7247450361092</v>
      </c>
      <c r="H89" s="7">
        <v>5.0217971002545641</v>
      </c>
      <c r="I89" s="7">
        <v>0.46382189239332106</v>
      </c>
      <c r="J89" s="7">
        <v>0.28812426033790711</v>
      </c>
      <c r="K89" s="7">
        <v>253.74923495759026</v>
      </c>
      <c r="L89" s="7">
        <v>270.43767199127433</v>
      </c>
      <c r="M89" s="7">
        <v>386.34105328024981</v>
      </c>
      <c r="N89" s="7">
        <v>306.44980435741729</v>
      </c>
      <c r="O89" s="19">
        <v>0</v>
      </c>
    </row>
    <row r="90" spans="2:15" x14ac:dyDescent="0.3">
      <c r="B90" s="4">
        <v>5351252</v>
      </c>
      <c r="C90" s="6">
        <v>44784.291666666664</v>
      </c>
      <c r="D90" s="8">
        <v>0.84126752201804722</v>
      </c>
      <c r="E90" s="19">
        <v>2156</v>
      </c>
      <c r="F90" s="7">
        <v>4817.0970499395225</v>
      </c>
      <c r="G90" s="7">
        <v>-2661.0970499395225</v>
      </c>
      <c r="H90" s="7">
        <v>5.0509573365296294</v>
      </c>
      <c r="I90" s="7">
        <v>0.463821892393321</v>
      </c>
      <c r="J90" s="7">
        <v>0.20759390762379487</v>
      </c>
      <c r="K90" s="7">
        <v>200.106955007034</v>
      </c>
      <c r="L90" s="7">
        <v>283.75927592171109</v>
      </c>
      <c r="M90" s="7">
        <v>270.46863672152352</v>
      </c>
      <c r="N90" s="7">
        <v>221.78078451451913</v>
      </c>
      <c r="O90" s="19">
        <v>0</v>
      </c>
    </row>
    <row r="91" spans="2:15" s="16" customFormat="1" x14ac:dyDescent="0.3">
      <c r="B91" s="4">
        <v>5351426</v>
      </c>
      <c r="C91" s="6">
        <v>44787.395833333336</v>
      </c>
      <c r="D91" s="8">
        <v>1.137063069105386</v>
      </c>
      <c r="E91" s="19">
        <v>2155.9999999999995</v>
      </c>
      <c r="F91" s="7">
        <v>1997.3979793047642</v>
      </c>
      <c r="G91" s="7">
        <v>158.6020206952353</v>
      </c>
      <c r="H91" s="7"/>
      <c r="I91" s="7">
        <v>0.46382189239332106</v>
      </c>
      <c r="J91" s="7">
        <v>0.50065135259026883</v>
      </c>
      <c r="K91" s="7">
        <v>198.139021044044</v>
      </c>
      <c r="L91" s="7">
        <v>454.22603129862102</v>
      </c>
      <c r="M91" s="7">
        <v>0</v>
      </c>
      <c r="N91" s="7">
        <v>315.57949212103028</v>
      </c>
      <c r="O91" s="19">
        <v>0</v>
      </c>
    </row>
    <row r="92" spans="2:15" x14ac:dyDescent="0.3">
      <c r="B92" s="4">
        <v>5354587</v>
      </c>
      <c r="C92" s="6">
        <v>44819.451388888891</v>
      </c>
      <c r="D92" s="8">
        <v>1.5252802679807225</v>
      </c>
      <c r="E92" s="19">
        <v>2156</v>
      </c>
      <c r="F92" s="7">
        <v>9048.6779879651476</v>
      </c>
      <c r="G92" s="7">
        <v>-6892.6779879651476</v>
      </c>
      <c r="H92" s="7">
        <v>5.4867944728833038</v>
      </c>
      <c r="I92" s="7">
        <v>0.463821892393321</v>
      </c>
      <c r="J92" s="7">
        <v>0.11051338121767756</v>
      </c>
      <c r="K92" s="7">
        <v>225.57261661570212</v>
      </c>
      <c r="L92" s="7">
        <v>503.24069970507367</v>
      </c>
      <c r="M92" s="7">
        <v>0</v>
      </c>
      <c r="N92" s="7">
        <v>89.13585630080658</v>
      </c>
      <c r="O92" s="19">
        <v>0</v>
      </c>
    </row>
    <row r="93" spans="2:15" x14ac:dyDescent="0.3">
      <c r="B93" s="4">
        <v>5355395</v>
      </c>
      <c r="C93" s="6">
        <v>44828.701388888891</v>
      </c>
      <c r="D93" s="8">
        <v>1.1424634266891405</v>
      </c>
      <c r="E93" s="19">
        <v>2156.0000000000009</v>
      </c>
      <c r="F93" s="7">
        <v>3462.4580697428996</v>
      </c>
      <c r="G93" s="7">
        <v>-1306.4580697428987</v>
      </c>
      <c r="H93" s="7">
        <v>5.5391377326386504</v>
      </c>
      <c r="I93" s="7">
        <v>0.46382189239332078</v>
      </c>
      <c r="J93" s="7">
        <v>0.28881216172366636</v>
      </c>
      <c r="K93" s="7">
        <v>206.91355534158393</v>
      </c>
      <c r="L93" s="7">
        <v>8.5657116757491436E-2</v>
      </c>
      <c r="M93" s="7">
        <v>876.89881543617219</v>
      </c>
      <c r="N93" s="7">
        <v>373.83043140206223</v>
      </c>
      <c r="O93" s="19">
        <v>0</v>
      </c>
    </row>
    <row r="94" spans="2:15" s="16" customFormat="1" x14ac:dyDescent="0.3">
      <c r="B94" s="4">
        <v>5355877</v>
      </c>
      <c r="C94" s="6">
        <v>44835.291666666664</v>
      </c>
      <c r="D94" s="8">
        <v>0.90461105221469362</v>
      </c>
      <c r="E94" s="19">
        <v>2155.9999999999995</v>
      </c>
      <c r="F94" s="7">
        <v>4815.3552439854175</v>
      </c>
      <c r="G94" s="7">
        <v>-2659.3552439854179</v>
      </c>
      <c r="H94" s="7">
        <v>6.1050508937835692</v>
      </c>
      <c r="I94" s="7">
        <v>0.463821892393321</v>
      </c>
      <c r="J94" s="7">
        <v>0.20766899830475483</v>
      </c>
      <c r="K94" s="7">
        <v>205.93192612588547</v>
      </c>
      <c r="L94" s="7">
        <v>0</v>
      </c>
      <c r="M94" s="7">
        <v>699.70452351827112</v>
      </c>
      <c r="N94" s="7">
        <v>491.92949581339923</v>
      </c>
      <c r="O94" s="19">
        <v>0</v>
      </c>
    </row>
    <row r="95" spans="2:15" x14ac:dyDescent="0.3">
      <c r="B95" s="4">
        <v>5355965</v>
      </c>
      <c r="C95" s="6">
        <v>44838.993055555555</v>
      </c>
      <c r="D95" s="8">
        <v>1.1405132288924293</v>
      </c>
      <c r="E95" s="19">
        <v>2156.0000000000009</v>
      </c>
      <c r="F95" s="7">
        <v>2007.4521962752265</v>
      </c>
      <c r="G95" s="7">
        <v>148.54780372477444</v>
      </c>
      <c r="H95" s="7">
        <v>7.8869731336901836</v>
      </c>
      <c r="I95" s="7">
        <v>0.46382189239332083</v>
      </c>
      <c r="J95" s="7">
        <v>0.4981438670646669</v>
      </c>
      <c r="K95" s="7">
        <v>187.50917208757289</v>
      </c>
      <c r="L95" s="7">
        <v>48.659785265340275</v>
      </c>
      <c r="M95" s="7">
        <v>776.4601137681376</v>
      </c>
      <c r="N95" s="7">
        <v>485.08491455428594</v>
      </c>
      <c r="O95" s="19">
        <v>0</v>
      </c>
    </row>
    <row r="96" spans="2:15" s="16" customFormat="1" ht="15" customHeight="1" x14ac:dyDescent="0.3">
      <c r="B96" s="13">
        <v>5356520</v>
      </c>
      <c r="C96" s="14">
        <v>44845.388888888891</v>
      </c>
      <c r="D96" s="15">
        <v>0.8413742432216802</v>
      </c>
      <c r="E96" s="20">
        <v>2155.9999999999995</v>
      </c>
      <c r="F96" s="17">
        <v>2120.5657995001643</v>
      </c>
      <c r="G96" s="17">
        <v>35.434200499835242</v>
      </c>
      <c r="H96" s="17">
        <v>7.8733923074304846</v>
      </c>
      <c r="I96" s="17">
        <v>0.46382189239332106</v>
      </c>
      <c r="J96" s="17">
        <v>0.47157225691167365</v>
      </c>
      <c r="K96" s="17">
        <v>186.45494225898909</v>
      </c>
      <c r="L96" s="17">
        <v>0</v>
      </c>
      <c r="M96" s="17">
        <v>783.98600465597985</v>
      </c>
      <c r="N96" s="17">
        <v>529.5472305723107</v>
      </c>
      <c r="O96" s="20">
        <v>0</v>
      </c>
    </row>
    <row r="97" spans="2:15" s="16" customFormat="1" x14ac:dyDescent="0.3">
      <c r="B97" s="4">
        <v>5356935</v>
      </c>
      <c r="C97" s="6">
        <v>44847.958333333336</v>
      </c>
      <c r="D97" s="8">
        <v>1.1252186712063781</v>
      </c>
      <c r="E97" s="19">
        <v>2156.0000000000005</v>
      </c>
      <c r="F97" s="7">
        <v>2714.2615336738072</v>
      </c>
      <c r="G97" s="7">
        <v>-558.26153367380675</v>
      </c>
      <c r="H97" s="7">
        <v>5.2150119729262503</v>
      </c>
      <c r="I97" s="7">
        <v>0.46382189239332083</v>
      </c>
      <c r="J97" s="7">
        <v>0.36842433479373671</v>
      </c>
      <c r="K97" s="7">
        <v>232.03430479524124</v>
      </c>
      <c r="L97" s="7">
        <v>163.51601903747229</v>
      </c>
      <c r="M97" s="7">
        <v>700.63563283628173</v>
      </c>
      <c r="N97" s="7">
        <v>519.69450338561001</v>
      </c>
      <c r="O97" s="19">
        <v>0</v>
      </c>
    </row>
    <row r="98" spans="2:15" x14ac:dyDescent="0.3">
      <c r="B98" s="4">
        <v>5360106</v>
      </c>
      <c r="C98" s="6">
        <v>44889.71875</v>
      </c>
      <c r="D98" s="8">
        <v>1.5219211467927742</v>
      </c>
      <c r="E98" s="19">
        <v>2156</v>
      </c>
      <c r="F98" s="7">
        <v>4074.0533226825723</v>
      </c>
      <c r="G98" s="7">
        <v>-1918.0533226825723</v>
      </c>
      <c r="H98" s="7">
        <v>6.1113670784882386</v>
      </c>
      <c r="I98" s="7">
        <v>0.46382189239332094</v>
      </c>
      <c r="J98" s="7">
        <v>0.24545579568937675</v>
      </c>
      <c r="K98" s="7">
        <v>340.35086454718606</v>
      </c>
      <c r="L98" s="7">
        <v>176.38605212583033</v>
      </c>
      <c r="M98" s="7">
        <v>0</v>
      </c>
      <c r="N98" s="7">
        <v>94.519642102338111</v>
      </c>
      <c r="O98" s="19">
        <v>0</v>
      </c>
    </row>
    <row r="99" spans="2:15" x14ac:dyDescent="0.3">
      <c r="B99" s="4">
        <v>5360653</v>
      </c>
      <c r="C99" s="6">
        <v>44899.166666666664</v>
      </c>
      <c r="D99" s="8">
        <v>1.0339172441862292</v>
      </c>
      <c r="E99" s="19">
        <v>2156</v>
      </c>
      <c r="F99" s="7">
        <v>4932.7664221402165</v>
      </c>
      <c r="G99" s="7">
        <v>-2776.7664221402165</v>
      </c>
      <c r="H99" s="7">
        <v>7.8001783523470323</v>
      </c>
      <c r="I99" s="7">
        <v>0.463821892393321</v>
      </c>
      <c r="J99" s="7">
        <v>0.20272599884551651</v>
      </c>
      <c r="K99" s="7">
        <v>208.4819928714071</v>
      </c>
      <c r="L99" s="7">
        <v>31.063322537047473</v>
      </c>
      <c r="M99" s="7">
        <v>747.0220943954721</v>
      </c>
      <c r="N99" s="7">
        <v>509.49442391373566</v>
      </c>
      <c r="O99" s="19">
        <v>0</v>
      </c>
    </row>
    <row r="100" spans="2:15" s="16" customFormat="1" x14ac:dyDescent="0.3">
      <c r="B100" s="4">
        <v>5360983</v>
      </c>
      <c r="C100" s="6">
        <v>44928.777777777781</v>
      </c>
      <c r="D100" s="8">
        <v>0.93953542852861482</v>
      </c>
      <c r="E100" s="19">
        <v>2156.0000000000005</v>
      </c>
      <c r="F100" s="7">
        <v>4067.798735672664</v>
      </c>
      <c r="G100" s="7">
        <v>-1911.7987356726635</v>
      </c>
      <c r="H100" s="7">
        <v>9.5096619965054945</v>
      </c>
      <c r="I100" s="7">
        <v>0.46382189239332083</v>
      </c>
      <c r="J100" s="7">
        <v>0.24583320488068267</v>
      </c>
      <c r="K100" s="7">
        <v>264.28735943118824</v>
      </c>
      <c r="L100" s="7">
        <v>402.33866131900271</v>
      </c>
      <c r="M100" s="7">
        <v>467.18207888995192</v>
      </c>
      <c r="N100" s="7">
        <v>514.99265516352352</v>
      </c>
      <c r="O100" s="19">
        <v>0</v>
      </c>
    </row>
    <row r="101" spans="2:15" s="16" customFormat="1" x14ac:dyDescent="0.3">
      <c r="B101" s="4">
        <v>5367586</v>
      </c>
      <c r="C101" s="6">
        <v>44992.864583333336</v>
      </c>
      <c r="D101" s="8">
        <v>1.1743229199281469</v>
      </c>
      <c r="E101" s="19">
        <v>2155.9999999999995</v>
      </c>
      <c r="F101" s="7">
        <v>11723.792128892534</v>
      </c>
      <c r="G101" s="7">
        <v>-9567.7921288925336</v>
      </c>
      <c r="H101" s="7">
        <v>7.6441895268741993</v>
      </c>
      <c r="I101" s="7">
        <v>0.46382189239332106</v>
      </c>
      <c r="J101" s="7">
        <v>8.5296633461758864E-2</v>
      </c>
      <c r="K101" s="7">
        <v>310.37988921636685</v>
      </c>
      <c r="L101" s="7">
        <v>91.423471297559743</v>
      </c>
      <c r="M101" s="7">
        <v>545.63262913039466</v>
      </c>
      <c r="N101" s="7">
        <v>297.95488183280912</v>
      </c>
      <c r="O101" s="19">
        <v>0</v>
      </c>
    </row>
    <row r="102" spans="2:15" s="16" customFormat="1" x14ac:dyDescent="0.3">
      <c r="B102" s="4">
        <v>5368720</v>
      </c>
      <c r="C102" s="6">
        <v>45008.888888888891</v>
      </c>
      <c r="D102" s="8">
        <v>0.96847224405014476</v>
      </c>
      <c r="E102" s="19">
        <v>2155.9999999999991</v>
      </c>
      <c r="F102" s="7">
        <v>3420.2335357072466</v>
      </c>
      <c r="G102" s="7">
        <v>-1264.2335357072475</v>
      </c>
      <c r="H102" s="7">
        <v>7.3624857275101334</v>
      </c>
      <c r="I102" s="7">
        <v>0.46382189239332111</v>
      </c>
      <c r="J102" s="7">
        <v>0.29237769572165107</v>
      </c>
      <c r="K102" s="7">
        <v>237.62673339622845</v>
      </c>
      <c r="L102" s="7">
        <v>29.945748966554941</v>
      </c>
      <c r="M102" s="7">
        <v>812.91566261237574</v>
      </c>
      <c r="N102" s="7">
        <v>522.01165649030509</v>
      </c>
      <c r="O102" s="19">
        <v>0</v>
      </c>
    </row>
    <row r="103" spans="2:15" s="16" customFormat="1" x14ac:dyDescent="0.3">
      <c r="B103" s="4">
        <v>5375015</v>
      </c>
      <c r="C103" s="6">
        <v>45099.645833333336</v>
      </c>
      <c r="D103" s="8">
        <v>1.3159712285285434</v>
      </c>
      <c r="E103" s="19">
        <v>2156.0000000000005</v>
      </c>
      <c r="F103" s="7">
        <v>6220.735796328664</v>
      </c>
      <c r="G103" s="7">
        <v>-4064.7357963286636</v>
      </c>
      <c r="H103" s="7">
        <v>7.3020272274388276</v>
      </c>
      <c r="I103" s="7">
        <v>0.46382189239332083</v>
      </c>
      <c r="J103" s="7">
        <v>0.16075268790392563</v>
      </c>
      <c r="K103" s="7">
        <v>266.208848317677</v>
      </c>
      <c r="L103" s="7">
        <v>420.83880076381263</v>
      </c>
      <c r="M103" s="7">
        <v>0</v>
      </c>
      <c r="N103" s="7">
        <v>62.099190292459205</v>
      </c>
      <c r="O103" s="19">
        <v>0</v>
      </c>
    </row>
    <row r="104" spans="2:15" s="16" customFormat="1" x14ac:dyDescent="0.3">
      <c r="B104" s="13">
        <v>5376297</v>
      </c>
      <c r="C104" s="14">
        <v>45108.291666666664</v>
      </c>
      <c r="D104" s="15">
        <v>0.83293115041087029</v>
      </c>
      <c r="E104" s="20">
        <v>2156</v>
      </c>
      <c r="F104" s="17">
        <v>2156.0569734699943</v>
      </c>
      <c r="G104" s="17">
        <v>-5.6973469994318293E-2</v>
      </c>
      <c r="H104" s="17">
        <v>7.5104732223909929</v>
      </c>
      <c r="I104" s="17">
        <v>0.463821892393321</v>
      </c>
      <c r="J104" s="17">
        <v>0.46380963597199532</v>
      </c>
      <c r="K104" s="17">
        <v>239.47402672379135</v>
      </c>
      <c r="L104" s="17">
        <v>11.666103380902124</v>
      </c>
      <c r="M104" s="17">
        <v>783.50616274408173</v>
      </c>
      <c r="N104" s="17">
        <v>465.08837366004013</v>
      </c>
      <c r="O104" s="20">
        <v>0</v>
      </c>
    </row>
    <row r="105" spans="2:15" x14ac:dyDescent="0.3">
      <c r="B105" s="4">
        <v>5376451</v>
      </c>
      <c r="C105" s="6">
        <v>45110.583333333336</v>
      </c>
      <c r="D105" s="8">
        <v>0.83832536647758815</v>
      </c>
      <c r="E105" s="19">
        <v>2156.0000000000005</v>
      </c>
      <c r="F105" s="7">
        <v>4772.9344029518288</v>
      </c>
      <c r="G105" s="7">
        <v>-2616.9344029518284</v>
      </c>
      <c r="H105" s="7">
        <v>7.6470615346486399</v>
      </c>
      <c r="I105" s="7">
        <v>0.46382189239332083</v>
      </c>
      <c r="J105" s="7">
        <v>0.20951471685459336</v>
      </c>
      <c r="K105" s="7">
        <v>171.90235866087593</v>
      </c>
      <c r="L105" s="7">
        <v>5.1027218763330868</v>
      </c>
      <c r="M105" s="7">
        <v>705.18269891751049</v>
      </c>
      <c r="N105" s="7">
        <v>452.69098615602019</v>
      </c>
      <c r="O105" s="19">
        <v>0</v>
      </c>
    </row>
    <row r="106" spans="2:15" s="16" customFormat="1" x14ac:dyDescent="0.3">
      <c r="B106" s="4">
        <v>5379646</v>
      </c>
      <c r="C106" s="6">
        <v>45154.486111111109</v>
      </c>
      <c r="D106" s="8">
        <v>1.6256751272536742</v>
      </c>
      <c r="E106" s="19">
        <v>2155.9999999999995</v>
      </c>
      <c r="F106" s="7">
        <v>3080.2210193688657</v>
      </c>
      <c r="G106" s="7">
        <v>-924.22101936886611</v>
      </c>
      <c r="H106" s="7">
        <v>7.477187628216214</v>
      </c>
      <c r="I106" s="7">
        <v>0.46382189239332106</v>
      </c>
      <c r="J106" s="7">
        <v>0.32465202779666086</v>
      </c>
      <c r="K106" s="7">
        <v>110.19337869472815</v>
      </c>
      <c r="L106" s="7">
        <v>115.68207732907875</v>
      </c>
      <c r="M106" s="7">
        <v>0</v>
      </c>
      <c r="N106" s="7">
        <v>82.223349795350231</v>
      </c>
      <c r="O106" s="19">
        <v>0</v>
      </c>
    </row>
    <row r="107" spans="2:15" x14ac:dyDescent="0.3">
      <c r="B107" s="4">
        <v>5379971</v>
      </c>
      <c r="C107" s="6">
        <v>45157.989583333336</v>
      </c>
      <c r="D107" s="8">
        <v>0.8574803022213594</v>
      </c>
      <c r="E107" s="19">
        <v>2156.012878383407</v>
      </c>
      <c r="F107" s="7">
        <v>2304.0091248847257</v>
      </c>
      <c r="G107" s="7">
        <v>-147.99624650131864</v>
      </c>
      <c r="H107" s="7">
        <v>5.7874999046325684</v>
      </c>
      <c r="I107" s="7">
        <v>0.46381912187361646</v>
      </c>
      <c r="J107" s="7">
        <v>0.43402605883778006</v>
      </c>
      <c r="K107" s="7">
        <v>225.00586484168971</v>
      </c>
      <c r="L107" s="7">
        <v>71.995728777362515</v>
      </c>
      <c r="M107" s="7">
        <v>649.01551553980812</v>
      </c>
      <c r="N107" s="7">
        <v>404.00265333527477</v>
      </c>
      <c r="O107" s="19">
        <v>0</v>
      </c>
    </row>
    <row r="108" spans="2:15" x14ac:dyDescent="0.3">
      <c r="B108" s="4">
        <v>5380412</v>
      </c>
      <c r="C108" s="6">
        <v>45170.291666666664</v>
      </c>
      <c r="D108" s="8">
        <v>0.43985689988856957</v>
      </c>
      <c r="E108" s="19">
        <v>2156.0025804938127</v>
      </c>
      <c r="F108" s="7">
        <v>0</v>
      </c>
      <c r="G108" s="7">
        <v>2156.0025804938127</v>
      </c>
      <c r="I108" s="7">
        <v>0.46382133725042163</v>
      </c>
      <c r="J108" s="7">
        <v>0</v>
      </c>
      <c r="K108" s="7">
        <v>225</v>
      </c>
      <c r="L108" s="7">
        <v>72</v>
      </c>
      <c r="M108" s="7">
        <v>649</v>
      </c>
      <c r="N108" s="7">
        <v>404</v>
      </c>
      <c r="O108" s="19">
        <v>0</v>
      </c>
    </row>
    <row r="109" spans="2:15" x14ac:dyDescent="0.3">
      <c r="B109" s="21" t="s">
        <v>41</v>
      </c>
      <c r="C109" s="6"/>
      <c r="E109" s="19"/>
      <c r="O109" s="19"/>
    </row>
    <row r="110" spans="2:15" x14ac:dyDescent="0.3">
      <c r="B110" s="4">
        <v>4913849</v>
      </c>
      <c r="C110" s="6">
        <v>43849.958333333336</v>
      </c>
      <c r="D110" s="8">
        <v>0.70912536520298086</v>
      </c>
      <c r="E110" s="19">
        <v>1967.8647997970982</v>
      </c>
      <c r="F110" s="7">
        <v>4010.5150404863175</v>
      </c>
      <c r="G110" s="7">
        <v>-2042.6502406892193</v>
      </c>
      <c r="H110" s="7">
        <v>9.8128300222753193</v>
      </c>
      <c r="I110" s="7">
        <v>0.50816499187500463</v>
      </c>
      <c r="J110" s="7">
        <v>0.24934453303502371</v>
      </c>
      <c r="K110" s="7">
        <v>294.66599043552947</v>
      </c>
      <c r="L110" s="7">
        <v>19.681535051384813</v>
      </c>
      <c r="M110" s="7">
        <v>518.90589901598082</v>
      </c>
      <c r="N110" s="7">
        <v>414.38091433757728</v>
      </c>
      <c r="O110" s="19">
        <v>0</v>
      </c>
    </row>
    <row r="111" spans="2:15" x14ac:dyDescent="0.3">
      <c r="B111" s="4">
        <v>4942599</v>
      </c>
      <c r="C111" s="6">
        <v>43903.048611111109</v>
      </c>
      <c r="D111" s="8">
        <v>0.77498493500674137</v>
      </c>
      <c r="E111" s="19">
        <v>2173</v>
      </c>
      <c r="F111" s="7">
        <v>3060.8167559286662</v>
      </c>
      <c r="G111" s="7">
        <v>-887.81675592866623</v>
      </c>
      <c r="H111" s="7">
        <v>9.1883474691907132</v>
      </c>
      <c r="I111" s="7">
        <v>0.46019328117809477</v>
      </c>
      <c r="J111" s="7">
        <v>0.32671018219664555</v>
      </c>
      <c r="K111" s="7">
        <v>258.39898731432635</v>
      </c>
      <c r="L111" s="7">
        <v>246.94489776828146</v>
      </c>
      <c r="M111" s="7">
        <v>334.35330100401876</v>
      </c>
      <c r="N111" s="7">
        <v>211.20710647449943</v>
      </c>
      <c r="O111" s="19">
        <v>0</v>
      </c>
    </row>
    <row r="112" spans="2:15" x14ac:dyDescent="0.3">
      <c r="B112" s="4">
        <v>4973395</v>
      </c>
      <c r="C112" s="6">
        <v>43977.572916666664</v>
      </c>
      <c r="D112" s="8">
        <v>0.93408442355467469</v>
      </c>
      <c r="E112" s="19">
        <v>2173.0000000000005</v>
      </c>
      <c r="F112" s="7">
        <v>2174.5221305355608</v>
      </c>
      <c r="G112" s="7">
        <v>-1.5221305355603363</v>
      </c>
      <c r="H112" s="7">
        <v>6.93416804164056</v>
      </c>
      <c r="I112" s="7">
        <v>0.46019328117809472</v>
      </c>
      <c r="J112" s="7">
        <v>0.45987115327895567</v>
      </c>
      <c r="K112" s="7">
        <v>354.99059989607747</v>
      </c>
      <c r="L112" s="7">
        <v>56.694485556259878</v>
      </c>
      <c r="M112" s="7">
        <v>818.59137494797858</v>
      </c>
      <c r="N112" s="7">
        <v>517.68111666988659</v>
      </c>
      <c r="O112" s="19">
        <v>0</v>
      </c>
    </row>
    <row r="113" spans="2:15" x14ac:dyDescent="0.3">
      <c r="B113" s="4">
        <v>4978566</v>
      </c>
      <c r="C113" s="6">
        <v>43979.291666666664</v>
      </c>
      <c r="D113" s="8">
        <v>0.9155283277733588</v>
      </c>
      <c r="E113" s="19">
        <v>2173</v>
      </c>
      <c r="F113" s="7">
        <v>2173.0024563554084</v>
      </c>
      <c r="G113" s="7">
        <v>-2.4563554084124917E-3</v>
      </c>
      <c r="H113" s="7">
        <v>6.3996914165136776</v>
      </c>
      <c r="I113" s="7">
        <v>0.46019328117809483</v>
      </c>
      <c r="J113" s="7">
        <v>0.46019276097700074</v>
      </c>
      <c r="K113" s="7">
        <v>328.09501564062549</v>
      </c>
      <c r="L113" s="7">
        <v>0</v>
      </c>
      <c r="M113" s="7">
        <v>897.97037804924457</v>
      </c>
      <c r="N113" s="7">
        <v>496.38059977578507</v>
      </c>
      <c r="O113" s="19">
        <v>0</v>
      </c>
    </row>
    <row r="114" spans="2:15" x14ac:dyDescent="0.3">
      <c r="B114" s="4">
        <v>5010022</v>
      </c>
      <c r="C114" s="6">
        <v>44044.458333333336</v>
      </c>
      <c r="D114" s="8">
        <v>1.0510581558387389</v>
      </c>
      <c r="E114" s="19">
        <v>2173</v>
      </c>
      <c r="F114" s="7">
        <v>2173.1596792138612</v>
      </c>
      <c r="G114" s="7">
        <v>-0.15967921386118178</v>
      </c>
      <c r="H114" s="7">
        <v>8.4290210858863936</v>
      </c>
      <c r="I114" s="7">
        <v>0.46019328117809483</v>
      </c>
      <c r="J114" s="7">
        <v>0.46015946714129591</v>
      </c>
      <c r="K114" s="7">
        <v>193.41671236345542</v>
      </c>
      <c r="L114" s="7">
        <v>0</v>
      </c>
      <c r="M114" s="7">
        <v>731.10978064690585</v>
      </c>
      <c r="N114" s="7">
        <v>483.850179605243</v>
      </c>
      <c r="O114" s="19">
        <v>0</v>
      </c>
    </row>
    <row r="115" spans="2:15" x14ac:dyDescent="0.3">
      <c r="B115" s="4">
        <v>5012269</v>
      </c>
      <c r="C115" s="6">
        <v>44047.927083333336</v>
      </c>
      <c r="D115" s="8">
        <v>0.76862169230164612</v>
      </c>
      <c r="E115" s="19">
        <v>2173</v>
      </c>
      <c r="F115" s="7">
        <v>2213.9765842519005</v>
      </c>
      <c r="G115" s="7">
        <v>-40.976584251900476</v>
      </c>
      <c r="H115" s="7">
        <v>7.1751850901827323</v>
      </c>
      <c r="I115" s="7">
        <v>0.46019328117809477</v>
      </c>
      <c r="J115" s="7">
        <v>0.45167596040221836</v>
      </c>
      <c r="K115" s="7">
        <v>208.07894417252865</v>
      </c>
      <c r="L115" s="7">
        <v>0</v>
      </c>
      <c r="M115" s="7">
        <v>768.74442444056183</v>
      </c>
      <c r="N115" s="7">
        <v>472.19169648830461</v>
      </c>
      <c r="O115" s="19">
        <v>0</v>
      </c>
    </row>
    <row r="116" spans="2:15" x14ac:dyDescent="0.3">
      <c r="B116" s="4">
        <v>5018825</v>
      </c>
      <c r="C116" s="6">
        <v>44062.895833333336</v>
      </c>
      <c r="D116" s="8">
        <v>0.76974136078435329</v>
      </c>
      <c r="E116" s="19">
        <v>2172.9525475039973</v>
      </c>
      <c r="F116" s="7">
        <v>2189.1326172935219</v>
      </c>
      <c r="G116" s="7">
        <v>-16.180069789524623</v>
      </c>
      <c r="H116" s="7">
        <v>9.2514394351414264</v>
      </c>
      <c r="I116" s="7">
        <v>0.46020333078541853</v>
      </c>
      <c r="J116" s="7">
        <v>0.45680192789613833</v>
      </c>
      <c r="K116" s="7">
        <v>308.5719471494138</v>
      </c>
      <c r="L116" s="7">
        <v>17.516899350994048</v>
      </c>
      <c r="M116" s="7">
        <v>775.67993130320735</v>
      </c>
      <c r="N116" s="7">
        <v>483.67241588769298</v>
      </c>
      <c r="O116" s="19">
        <v>0</v>
      </c>
    </row>
    <row r="117" spans="2:15" x14ac:dyDescent="0.3">
      <c r="B117" s="4">
        <v>5020687</v>
      </c>
      <c r="C117" s="6">
        <v>44065.232638888891</v>
      </c>
      <c r="D117" s="8">
        <v>0.79780996458828013</v>
      </c>
      <c r="E117" s="19">
        <v>2173</v>
      </c>
      <c r="F117" s="7">
        <v>2031.0265266042891</v>
      </c>
      <c r="G117" s="7">
        <v>141.97347339571093</v>
      </c>
      <c r="H117" s="7">
        <v>8.0324807157847875</v>
      </c>
      <c r="I117" s="7">
        <v>0.46019328117809477</v>
      </c>
      <c r="J117" s="7">
        <v>0.49236186081326988</v>
      </c>
      <c r="K117" s="7">
        <v>256.64932860832209</v>
      </c>
      <c r="L117" s="7">
        <v>0</v>
      </c>
      <c r="M117" s="7">
        <v>779.63408333220286</v>
      </c>
      <c r="N117" s="7">
        <v>394.83317174247475</v>
      </c>
      <c r="O117" s="19">
        <v>0</v>
      </c>
    </row>
    <row r="118" spans="2:15" x14ac:dyDescent="0.3">
      <c r="B118" s="4">
        <v>5128698</v>
      </c>
      <c r="C118" s="6">
        <v>44257.5625</v>
      </c>
      <c r="D118" s="8">
        <v>0.80683142588590773</v>
      </c>
      <c r="E118" s="19">
        <v>2262.0000000000005</v>
      </c>
      <c r="F118" s="7">
        <v>2261.9872179593499</v>
      </c>
      <c r="G118" s="7">
        <v>1.2782040650563431E-2</v>
      </c>
      <c r="H118" s="7">
        <v>10.44254463246652</v>
      </c>
      <c r="I118" s="7">
        <v>0.4420866489832006</v>
      </c>
      <c r="J118" s="7">
        <v>0.44208914712707764</v>
      </c>
      <c r="K118" s="7">
        <v>222.52426064975646</v>
      </c>
      <c r="L118" s="7">
        <v>0</v>
      </c>
      <c r="M118" s="7">
        <v>906.47584625588843</v>
      </c>
      <c r="N118" s="7">
        <v>467.25809455420546</v>
      </c>
      <c r="O118" s="19">
        <v>0</v>
      </c>
    </row>
    <row r="119" spans="2:15" x14ac:dyDescent="0.3">
      <c r="B119" s="4">
        <v>5136945</v>
      </c>
      <c r="C119" s="6">
        <v>44271.322916666664</v>
      </c>
      <c r="D119" s="8">
        <v>0.84883900527272316</v>
      </c>
      <c r="E119" s="19">
        <v>2262.0000000000005</v>
      </c>
      <c r="F119" s="7">
        <v>2262.0048529984842</v>
      </c>
      <c r="G119" s="7">
        <v>-4.8529984837841766E-3</v>
      </c>
      <c r="H119" s="7">
        <v>8.6353674845016872</v>
      </c>
      <c r="I119" s="7">
        <v>0.4420866489832006</v>
      </c>
      <c r="J119" s="7">
        <v>0.44208570051227469</v>
      </c>
      <c r="K119" s="7">
        <v>230.20247354869815</v>
      </c>
      <c r="L119" s="7">
        <v>0</v>
      </c>
      <c r="M119" s="7">
        <v>780.24306206602921</v>
      </c>
      <c r="N119" s="7">
        <v>491.34502168842408</v>
      </c>
      <c r="O119" s="19">
        <v>0</v>
      </c>
    </row>
    <row r="120" spans="2:15" x14ac:dyDescent="0.3">
      <c r="B120" s="4">
        <v>5139332</v>
      </c>
      <c r="C120" s="6">
        <v>44274.416666666664</v>
      </c>
      <c r="D120" s="8">
        <v>0.89662649250690285</v>
      </c>
      <c r="E120" s="19">
        <v>2261.9999999999991</v>
      </c>
      <c r="F120" s="7">
        <v>2261.5849378653006</v>
      </c>
      <c r="G120" s="7">
        <v>0.41506213469847353</v>
      </c>
      <c r="H120" s="7">
        <v>9.0393620055832269</v>
      </c>
      <c r="I120" s="7">
        <v>0.44208664898320088</v>
      </c>
      <c r="J120" s="7">
        <v>0.44216778386572353</v>
      </c>
      <c r="K120" s="7">
        <v>254.31729534669969</v>
      </c>
      <c r="L120" s="7">
        <v>0</v>
      </c>
      <c r="M120" s="7">
        <v>912.59489997193941</v>
      </c>
      <c r="N120" s="7">
        <v>495.34048435343806</v>
      </c>
      <c r="O120" s="19">
        <v>0</v>
      </c>
    </row>
    <row r="121" spans="2:15" x14ac:dyDescent="0.3">
      <c r="B121" s="4">
        <v>5191186</v>
      </c>
      <c r="C121" s="6">
        <v>44365.875</v>
      </c>
      <c r="D121" s="8">
        <v>0.96526339191396826</v>
      </c>
      <c r="E121" s="19">
        <v>2262</v>
      </c>
      <c r="F121" s="7">
        <v>3789.4046016301486</v>
      </c>
      <c r="G121" s="7">
        <v>-1527.4046016301486</v>
      </c>
      <c r="H121" s="7">
        <v>5.890970958790823</v>
      </c>
      <c r="I121" s="7">
        <v>0.44208664898320071</v>
      </c>
      <c r="J121" s="7">
        <v>0.26389369970412085</v>
      </c>
      <c r="K121" s="7">
        <v>352.74593349300557</v>
      </c>
      <c r="L121" s="7">
        <v>60.789577421790234</v>
      </c>
      <c r="M121" s="7">
        <v>825.79175140827033</v>
      </c>
      <c r="N121" s="7">
        <v>367.94231084913127</v>
      </c>
      <c r="O121" s="19">
        <v>0</v>
      </c>
    </row>
    <row r="122" spans="2:15" x14ac:dyDescent="0.3">
      <c r="B122" s="4">
        <v>5204917</v>
      </c>
      <c r="C122" s="6">
        <v>44387.243055555555</v>
      </c>
      <c r="D122" s="8">
        <v>0.89702232167297413</v>
      </c>
      <c r="E122" s="19">
        <v>2261.9999999999995</v>
      </c>
      <c r="F122" s="7">
        <v>2249.4373563547283</v>
      </c>
      <c r="G122" s="7">
        <v>12.562643645271237</v>
      </c>
      <c r="H122" s="7">
        <v>6.1991759629966134</v>
      </c>
      <c r="I122" s="7">
        <v>0.44208664898320077</v>
      </c>
      <c r="J122" s="7">
        <v>0.44455561172884844</v>
      </c>
      <c r="K122" s="7">
        <v>286.64049383668237</v>
      </c>
      <c r="L122" s="7">
        <v>0</v>
      </c>
      <c r="M122" s="7">
        <v>546.4820779584046</v>
      </c>
      <c r="N122" s="7">
        <v>261.06610172406471</v>
      </c>
      <c r="O122" s="19">
        <v>0</v>
      </c>
    </row>
    <row r="123" spans="2:15" x14ac:dyDescent="0.3">
      <c r="B123" s="4">
        <v>5209274</v>
      </c>
      <c r="C123" s="6">
        <v>44396.239583333336</v>
      </c>
      <c r="D123" s="8">
        <v>0.90823566913929277</v>
      </c>
      <c r="E123" s="19">
        <v>2261.9999999999986</v>
      </c>
      <c r="F123" s="7">
        <v>2279.0302558159274</v>
      </c>
      <c r="G123" s="7">
        <v>-17.03025581592874</v>
      </c>
      <c r="H123" s="7">
        <v>6.2529292320354388</v>
      </c>
      <c r="I123" s="7">
        <v>0.44208664898320099</v>
      </c>
      <c r="J123" s="7">
        <v>0.43878311727019387</v>
      </c>
      <c r="K123" s="7">
        <v>307.9836461914266</v>
      </c>
      <c r="L123" s="7">
        <v>5.0797682123277545E-2</v>
      </c>
      <c r="M123" s="7">
        <v>739.22425256631516</v>
      </c>
      <c r="N123" s="7">
        <v>410.69245185996232</v>
      </c>
      <c r="O123" s="19">
        <v>0</v>
      </c>
    </row>
    <row r="124" spans="2:15" x14ac:dyDescent="0.3">
      <c r="B124" s="4">
        <v>5286827</v>
      </c>
      <c r="C124" s="6">
        <v>44507.291666666664</v>
      </c>
      <c r="D124" s="8">
        <v>0.97770027308161245</v>
      </c>
      <c r="E124" s="19">
        <v>2156</v>
      </c>
      <c r="F124" s="7">
        <v>13933.297479430714</v>
      </c>
      <c r="G124" s="7">
        <v>-11777.297479430714</v>
      </c>
      <c r="H124" s="7">
        <v>7.5066507250254482</v>
      </c>
      <c r="I124" s="7">
        <v>0.46382189239332089</v>
      </c>
      <c r="J124" s="7">
        <v>7.1770519611475209E-2</v>
      </c>
      <c r="K124" s="7">
        <v>370.76041830924436</v>
      </c>
      <c r="L124" s="7">
        <v>2.395501823732165E-2</v>
      </c>
      <c r="M124" s="7">
        <v>1003.4633533262768</v>
      </c>
      <c r="N124" s="7">
        <v>634.61286346279383</v>
      </c>
      <c r="O124" s="19">
        <v>0</v>
      </c>
    </row>
    <row r="125" spans="2:15" x14ac:dyDescent="0.3">
      <c r="B125" s="4">
        <v>5300336</v>
      </c>
      <c r="C125" s="6">
        <v>44530.291666666664</v>
      </c>
      <c r="D125" s="8">
        <v>0.83707920183932405</v>
      </c>
      <c r="E125" s="19">
        <v>2156.0000000000005</v>
      </c>
      <c r="F125" s="7">
        <v>2004.5474989076126</v>
      </c>
      <c r="G125" s="7">
        <v>151.45250109238782</v>
      </c>
      <c r="H125" s="7">
        <v>7.2644809406849138</v>
      </c>
      <c r="I125" s="7">
        <v>0.46382189239332094</v>
      </c>
      <c r="J125" s="7">
        <v>0.49886570437714978</v>
      </c>
      <c r="K125" s="7">
        <v>384.65571512788915</v>
      </c>
      <c r="L125" s="7">
        <v>0</v>
      </c>
      <c r="M125" s="7">
        <v>0.10860362197547277</v>
      </c>
      <c r="N125" s="7">
        <v>219.38349287901181</v>
      </c>
      <c r="O125" s="19">
        <v>0</v>
      </c>
    </row>
    <row r="126" spans="2:15" x14ac:dyDescent="0.3">
      <c r="B126" s="4">
        <v>5326596</v>
      </c>
      <c r="C126" s="6">
        <v>44608.15625</v>
      </c>
      <c r="D126" s="8">
        <v>0.77408094508185799</v>
      </c>
      <c r="E126" s="19">
        <v>2155.9999999999995</v>
      </c>
      <c r="F126" s="7">
        <v>1881.2951740669214</v>
      </c>
      <c r="G126" s="7">
        <v>274.70482593307815</v>
      </c>
      <c r="H126" s="7">
        <v>8.9065547432851719</v>
      </c>
      <c r="I126" s="7">
        <v>0.463821892393321</v>
      </c>
      <c r="J126" s="7">
        <v>0.53154869782514413</v>
      </c>
      <c r="K126" s="7">
        <v>286.03118851331084</v>
      </c>
      <c r="L126" s="7">
        <v>0</v>
      </c>
      <c r="M126" s="7">
        <v>885.54909466479273</v>
      </c>
      <c r="N126" s="7">
        <v>508.04892846128269</v>
      </c>
      <c r="O126" s="19">
        <v>0</v>
      </c>
    </row>
    <row r="127" spans="2:15" x14ac:dyDescent="0.3">
      <c r="B127" s="4">
        <v>5327285</v>
      </c>
      <c r="C127" s="6">
        <v>44611.690972222219</v>
      </c>
      <c r="D127" s="8">
        <v>0.86149470119784732</v>
      </c>
      <c r="E127" s="19">
        <v>2156.0000000000005</v>
      </c>
      <c r="F127" s="7">
        <v>2190.7360771236185</v>
      </c>
      <c r="G127" s="7">
        <v>-34.736077123618088</v>
      </c>
      <c r="H127" s="7">
        <v>7.2062760014446132</v>
      </c>
      <c r="I127" s="7">
        <v>0.46382189239332094</v>
      </c>
      <c r="J127" s="7">
        <v>0.4564675820343338</v>
      </c>
      <c r="K127" s="7">
        <v>253.3626917235313</v>
      </c>
      <c r="L127" s="7">
        <v>54.062607537394804</v>
      </c>
      <c r="M127" s="7">
        <v>522.30534857213308</v>
      </c>
      <c r="N127" s="7">
        <v>412.25732776415543</v>
      </c>
      <c r="O127" s="19">
        <v>0</v>
      </c>
    </row>
    <row r="128" spans="2:15" x14ac:dyDescent="0.3">
      <c r="B128" s="4">
        <v>5345258</v>
      </c>
      <c r="C128" s="6">
        <v>44719.041666666664</v>
      </c>
      <c r="D128" s="8">
        <v>0.95860825750591505</v>
      </c>
      <c r="E128" s="19">
        <v>2261.9999999999995</v>
      </c>
      <c r="F128" s="7">
        <v>2017.6176638350328</v>
      </c>
      <c r="G128" s="7">
        <v>244.38233616496677</v>
      </c>
      <c r="H128" s="7">
        <v>5.5536970815501681</v>
      </c>
      <c r="I128" s="7">
        <v>0.44208664898320077</v>
      </c>
      <c r="J128" s="7">
        <v>0.49563404302241643</v>
      </c>
      <c r="K128" s="7">
        <v>275.34649465641144</v>
      </c>
      <c r="L128" s="7">
        <v>23.293503034413675</v>
      </c>
      <c r="M128" s="7">
        <v>764.6659932023648</v>
      </c>
      <c r="N128" s="7">
        <v>448.0471994867118</v>
      </c>
      <c r="O128" s="19">
        <v>0</v>
      </c>
    </row>
    <row r="129" spans="2:15" s="16" customFormat="1" x14ac:dyDescent="0.3">
      <c r="B129" s="4">
        <v>5345973</v>
      </c>
      <c r="C129" s="6">
        <v>44725.25</v>
      </c>
      <c r="D129" s="8">
        <v>1.2765941885327996</v>
      </c>
      <c r="E129" s="19">
        <v>2262.0000000000009</v>
      </c>
      <c r="F129" s="7">
        <v>5107.5012303694857</v>
      </c>
      <c r="G129" s="7">
        <v>-2845.5012303694848</v>
      </c>
      <c r="H129" s="7">
        <v>5.4659128996266864</v>
      </c>
      <c r="I129" s="7">
        <v>0.44208664898320055</v>
      </c>
      <c r="J129" s="7">
        <v>0.19579045699567224</v>
      </c>
      <c r="K129" s="7">
        <v>281.22160177105354</v>
      </c>
      <c r="L129" s="7">
        <v>229.28499930345092</v>
      </c>
      <c r="M129" s="7">
        <v>583.39093522823237</v>
      </c>
      <c r="N129" s="7">
        <v>518.46522366161889</v>
      </c>
      <c r="O129" s="19">
        <v>0</v>
      </c>
    </row>
    <row r="130" spans="2:15" s="16" customFormat="1" x14ac:dyDescent="0.3">
      <c r="B130" s="4">
        <v>5348102</v>
      </c>
      <c r="C130" s="6">
        <v>44768.059027777781</v>
      </c>
      <c r="D130" s="8">
        <v>1.1443145062140148</v>
      </c>
      <c r="E130" s="19">
        <v>2155.9999999999995</v>
      </c>
      <c r="F130" s="7">
        <v>2695.32554549015</v>
      </c>
      <c r="G130" s="7">
        <v>-539.32554549015049</v>
      </c>
      <c r="H130" s="7">
        <v>5.019318163394928</v>
      </c>
      <c r="I130" s="7">
        <v>0.463821892393321</v>
      </c>
      <c r="J130" s="7">
        <v>0.37101269702771578</v>
      </c>
      <c r="K130" s="7">
        <v>285.92136553823411</v>
      </c>
      <c r="L130" s="7">
        <v>1.0143359660063693</v>
      </c>
      <c r="M130" s="7">
        <v>857.81736995735685</v>
      </c>
      <c r="N130" s="7">
        <v>514.29784138359844</v>
      </c>
      <c r="O130" s="19">
        <v>0</v>
      </c>
    </row>
    <row r="131" spans="2:15" s="16" customFormat="1" x14ac:dyDescent="0.3">
      <c r="B131" s="4">
        <v>5351330</v>
      </c>
      <c r="C131" s="6">
        <v>44787.75</v>
      </c>
      <c r="D131" s="8">
        <v>1.136531262216721</v>
      </c>
      <c r="E131" s="19">
        <v>2156</v>
      </c>
      <c r="F131" s="7">
        <v>2016.6157817222856</v>
      </c>
      <c r="G131" s="7">
        <v>139.38421827771435</v>
      </c>
      <c r="H131" s="7">
        <v>5.0062499841054278</v>
      </c>
      <c r="I131" s="7">
        <v>0.463821892393321</v>
      </c>
      <c r="J131" s="7">
        <v>0.49588028074735813</v>
      </c>
      <c r="K131" s="7">
        <v>239.08631144860013</v>
      </c>
      <c r="L131" s="7">
        <v>1152.3445634260167</v>
      </c>
      <c r="M131" s="7">
        <v>0</v>
      </c>
      <c r="N131" s="7">
        <v>1357.7530485823113</v>
      </c>
      <c r="O131" s="19">
        <v>0</v>
      </c>
    </row>
    <row r="132" spans="2:15" x14ac:dyDescent="0.3">
      <c r="B132" s="4">
        <v>5356454</v>
      </c>
      <c r="C132" s="6">
        <v>44840.541666666664</v>
      </c>
      <c r="D132" s="8">
        <v>1.0694588230158295</v>
      </c>
      <c r="E132" s="19">
        <v>2156</v>
      </c>
      <c r="F132" s="7">
        <v>8489.8137604653948</v>
      </c>
      <c r="G132" s="7">
        <v>-6333.8137604653948</v>
      </c>
      <c r="H132" s="7">
        <v>8.5471659693490754</v>
      </c>
      <c r="I132" s="7">
        <v>0.46382189239332089</v>
      </c>
      <c r="J132" s="7">
        <v>0.11778821399554257</v>
      </c>
      <c r="K132" s="7">
        <v>219.99179556211033</v>
      </c>
      <c r="L132" s="7">
        <v>0</v>
      </c>
      <c r="M132" s="7">
        <v>923.02217789577617</v>
      </c>
      <c r="N132" s="7">
        <v>539.39486661412957</v>
      </c>
      <c r="O132" s="19">
        <v>0</v>
      </c>
    </row>
    <row r="133" spans="2:15" x14ac:dyDescent="0.3">
      <c r="B133" s="4">
        <v>5361281</v>
      </c>
      <c r="C133" s="6">
        <v>44906.9375</v>
      </c>
      <c r="D133" s="8">
        <v>1.1439083214527326</v>
      </c>
      <c r="E133" s="19">
        <v>2156.0000000000009</v>
      </c>
      <c r="F133" s="7">
        <v>2699.7381592837974</v>
      </c>
      <c r="G133" s="7">
        <v>-543.73815928379645</v>
      </c>
      <c r="H133" s="7">
        <v>7.7076315662410142</v>
      </c>
      <c r="I133" s="7">
        <v>0.46382189239332083</v>
      </c>
      <c r="J133" s="7">
        <v>0.37040629164766331</v>
      </c>
      <c r="K133" s="7">
        <v>235.18386316113717</v>
      </c>
      <c r="L133" s="7">
        <v>4.8840061616242415E-3</v>
      </c>
      <c r="M133" s="7">
        <v>709.50370723474305</v>
      </c>
      <c r="N133" s="7">
        <v>415.12679871983192</v>
      </c>
      <c r="O133" s="19">
        <v>0</v>
      </c>
    </row>
    <row r="134" spans="2:15" x14ac:dyDescent="0.3">
      <c r="B134" s="4">
        <v>5361785</v>
      </c>
      <c r="C134" s="6">
        <v>44912.399305555555</v>
      </c>
      <c r="D134" s="8">
        <v>1.0306268587562295</v>
      </c>
      <c r="E134" s="19">
        <v>2156</v>
      </c>
      <c r="F134" s="7">
        <v>2911.1846071538353</v>
      </c>
      <c r="G134" s="7">
        <v>-755.18460715383526</v>
      </c>
      <c r="H134" s="7">
        <v>7.4474319880551629</v>
      </c>
      <c r="I134" s="7">
        <v>0.46382189239332094</v>
      </c>
      <c r="J134" s="7">
        <v>0.3435027780590203</v>
      </c>
      <c r="K134" s="7">
        <v>233.65357350282935</v>
      </c>
      <c r="L134" s="7">
        <v>101.19253004228489</v>
      </c>
      <c r="M134" s="7">
        <v>647.66398807384314</v>
      </c>
      <c r="N134" s="7">
        <v>453.19719192168378</v>
      </c>
      <c r="O134" s="19">
        <v>0</v>
      </c>
    </row>
    <row r="135" spans="2:15" s="16" customFormat="1" x14ac:dyDescent="0.3">
      <c r="B135" s="13">
        <v>5362415</v>
      </c>
      <c r="C135" s="14">
        <v>44918.767361111109</v>
      </c>
      <c r="D135" s="15">
        <v>0.85659472916142065</v>
      </c>
      <c r="E135" s="20">
        <v>2156</v>
      </c>
      <c r="F135" s="17">
        <v>2149.2109984867097</v>
      </c>
      <c r="G135" s="17">
        <v>6.789001513290259</v>
      </c>
      <c r="H135" s="17">
        <v>8.9788137661455441</v>
      </c>
      <c r="I135" s="17">
        <v>0.46382189239332094</v>
      </c>
      <c r="J135" s="17">
        <v>0.46528702891624613</v>
      </c>
      <c r="K135" s="17">
        <v>263.69080294988305</v>
      </c>
      <c r="L135" s="17">
        <v>0</v>
      </c>
      <c r="M135" s="17">
        <v>812.11293645072919</v>
      </c>
      <c r="N135" s="17">
        <v>592.1219225803892</v>
      </c>
      <c r="O135" s="20">
        <v>0</v>
      </c>
    </row>
    <row r="136" spans="2:15" ht="13.8" customHeight="1" x14ac:dyDescent="0.3">
      <c r="B136" s="4">
        <v>5368204</v>
      </c>
      <c r="C136" s="6">
        <v>45009.190972222219</v>
      </c>
      <c r="D136" s="8">
        <v>0.95777878501408586</v>
      </c>
      <c r="E136" s="19">
        <v>2155.9999999999991</v>
      </c>
      <c r="F136" s="7">
        <v>2272.5570257143872</v>
      </c>
      <c r="G136" s="7">
        <v>-116.55702571438815</v>
      </c>
      <c r="H136" s="7">
        <v>8.1251252976790909</v>
      </c>
      <c r="I136" s="7">
        <v>0.46382189239332117</v>
      </c>
      <c r="J136" s="7">
        <v>0.44003296229085653</v>
      </c>
      <c r="K136" s="7">
        <v>267.0258791854036</v>
      </c>
      <c r="L136" s="7">
        <v>4.2459368976198758E-2</v>
      </c>
      <c r="M136" s="7">
        <v>897.33404193440458</v>
      </c>
      <c r="N136" s="7">
        <v>551.75632828172957</v>
      </c>
      <c r="O136" s="19">
        <v>0</v>
      </c>
    </row>
    <row r="137" spans="2:15" s="16" customFormat="1" x14ac:dyDescent="0.3">
      <c r="B137" s="13">
        <v>5375852</v>
      </c>
      <c r="C137" s="14">
        <v>45104.177083333336</v>
      </c>
      <c r="D137" s="15">
        <v>0.7959870591403041</v>
      </c>
      <c r="E137" s="20">
        <v>2156.0000000000009</v>
      </c>
      <c r="F137" s="17">
        <v>2155.9994670872343</v>
      </c>
      <c r="G137" s="17">
        <v>5.3291276663003373E-4</v>
      </c>
      <c r="H137" s="17">
        <v>6.466985450682885</v>
      </c>
      <c r="I137" s="17">
        <v>0.46382189239332083</v>
      </c>
      <c r="J137" s="17">
        <v>0.46382200703927118</v>
      </c>
      <c r="K137" s="17">
        <v>215.12586088404001</v>
      </c>
      <c r="L137" s="17">
        <v>0</v>
      </c>
      <c r="M137" s="17">
        <v>166.59025988421408</v>
      </c>
      <c r="N137" s="17">
        <v>0.2812831383676721</v>
      </c>
      <c r="O137" s="20">
        <v>0</v>
      </c>
    </row>
    <row r="138" spans="2:15" s="16" customFormat="1" x14ac:dyDescent="0.3">
      <c r="B138" s="13">
        <v>5376350</v>
      </c>
      <c r="C138" s="14">
        <v>45113.645833333336</v>
      </c>
      <c r="D138" s="15">
        <v>0.83724480925385958</v>
      </c>
      <c r="E138" s="20">
        <v>2156.0000000000009</v>
      </c>
      <c r="F138" s="17">
        <v>2155.9695130017831</v>
      </c>
      <c r="G138" s="17">
        <v>3.0486998217838845E-2</v>
      </c>
      <c r="H138" s="17">
        <v>7.8249891289881059</v>
      </c>
      <c r="I138" s="17">
        <v>0.46382189239332083</v>
      </c>
      <c r="J138" s="17">
        <v>0.46382845117679222</v>
      </c>
      <c r="K138" s="17">
        <v>169.50918344101083</v>
      </c>
      <c r="L138" s="17">
        <v>0</v>
      </c>
      <c r="M138" s="17">
        <v>796.59649741014528</v>
      </c>
      <c r="N138" s="17">
        <v>471.23061995150584</v>
      </c>
      <c r="O138" s="20">
        <v>0</v>
      </c>
    </row>
    <row r="139" spans="2:15" s="16" customFormat="1" x14ac:dyDescent="0.3">
      <c r="B139" s="13">
        <v>5376984</v>
      </c>
      <c r="C139" s="14">
        <v>45114.430555555555</v>
      </c>
      <c r="D139" s="15">
        <v>0.83901065501404892</v>
      </c>
      <c r="E139" s="20">
        <v>2156.0000000000009</v>
      </c>
      <c r="F139" s="17">
        <v>2161.3990298818276</v>
      </c>
      <c r="G139" s="17">
        <v>-5.3990298818266638</v>
      </c>
      <c r="H139" s="17">
        <v>7.4871432544478598</v>
      </c>
      <c r="I139" s="17">
        <v>0.46382189239332083</v>
      </c>
      <c r="J139" s="17">
        <v>0.46266329639958903</v>
      </c>
      <c r="K139" s="17">
        <v>207.41219125816241</v>
      </c>
      <c r="L139" s="17">
        <v>0</v>
      </c>
      <c r="M139" s="17">
        <v>736.80919625883155</v>
      </c>
      <c r="N139" s="17">
        <v>481.92595050018565</v>
      </c>
      <c r="O139" s="20">
        <v>0</v>
      </c>
    </row>
    <row r="140" spans="2:15" s="16" customFormat="1" x14ac:dyDescent="0.3">
      <c r="B140" s="13">
        <v>5376992</v>
      </c>
      <c r="C140" s="14">
        <v>45117.1875</v>
      </c>
      <c r="D140" s="15">
        <v>0.80766456001433184</v>
      </c>
      <c r="E140" s="20">
        <v>2156</v>
      </c>
      <c r="F140" s="17">
        <v>2155.9862422642968</v>
      </c>
      <c r="G140" s="17">
        <v>1.3757735703165963E-2</v>
      </c>
      <c r="H140" s="17">
        <v>8.4481221690293662</v>
      </c>
      <c r="I140" s="17">
        <v>0.46382189239332094</v>
      </c>
      <c r="J140" s="17">
        <v>0.46382485212417807</v>
      </c>
      <c r="K140" s="17">
        <v>202.85041778580967</v>
      </c>
      <c r="L140" s="17">
        <v>0</v>
      </c>
      <c r="M140" s="17">
        <v>670.16328051345988</v>
      </c>
      <c r="N140" s="17">
        <v>442.17291082615759</v>
      </c>
      <c r="O140" s="20">
        <v>0</v>
      </c>
    </row>
    <row r="141" spans="2:15" x14ac:dyDescent="0.3">
      <c r="B141" s="4">
        <v>5377612</v>
      </c>
      <c r="C141" s="6">
        <v>45125</v>
      </c>
      <c r="D141" s="8">
        <v>1.1015267032903113</v>
      </c>
      <c r="E141" s="19">
        <v>2156</v>
      </c>
      <c r="F141" s="7">
        <v>6190.2748209285128</v>
      </c>
      <c r="G141" s="7">
        <v>-4034.2748209285128</v>
      </c>
      <c r="H141" s="7">
        <v>6.2232351448858667</v>
      </c>
      <c r="I141" s="7">
        <v>0.463821892393321</v>
      </c>
      <c r="J141" s="7">
        <v>0.16154371638220813</v>
      </c>
      <c r="K141" s="7">
        <v>255.08323461037719</v>
      </c>
      <c r="L141" s="7">
        <v>540.47259478891556</v>
      </c>
      <c r="M141" s="7">
        <v>312.54562137147673</v>
      </c>
      <c r="N141" s="7">
        <v>821.51792864251775</v>
      </c>
      <c r="O141" s="19">
        <v>0</v>
      </c>
    </row>
    <row r="142" spans="2:15" x14ac:dyDescent="0.3">
      <c r="B142" s="4">
        <v>5380406</v>
      </c>
      <c r="C142" s="6">
        <v>45164.291666666664</v>
      </c>
      <c r="D142" s="8">
        <v>0.85447770050556593</v>
      </c>
      <c r="E142" s="19">
        <v>2155.9896513256272</v>
      </c>
      <c r="F142" s="7">
        <v>0</v>
      </c>
      <c r="G142" s="7">
        <v>2155.9896513256272</v>
      </c>
      <c r="I142" s="7">
        <v>0.46382411872206442</v>
      </c>
      <c r="J142" s="7">
        <v>0</v>
      </c>
      <c r="K142" s="7">
        <v>259</v>
      </c>
      <c r="L142" s="7">
        <v>72</v>
      </c>
      <c r="M142" s="7">
        <v>649.0012579810591</v>
      </c>
      <c r="N142" s="7">
        <v>403.99496807576367</v>
      </c>
      <c r="O142" s="19">
        <v>0</v>
      </c>
    </row>
    <row r="143" spans="2:15" x14ac:dyDescent="0.3">
      <c r="B143" s="4">
        <v>5380972</v>
      </c>
      <c r="C143" s="6">
        <v>45170.604166666664</v>
      </c>
      <c r="D143" s="8">
        <v>0.63437139561707034</v>
      </c>
      <c r="E143" s="19">
        <v>2156.0553633217992</v>
      </c>
      <c r="F143" s="7">
        <v>0</v>
      </c>
      <c r="G143" s="7">
        <v>2156.0553633217992</v>
      </c>
      <c r="I143" s="7">
        <v>0.46380998234633286</v>
      </c>
      <c r="J143" s="7">
        <v>0</v>
      </c>
      <c r="K143" s="7">
        <v>259</v>
      </c>
      <c r="L143" s="7">
        <v>72</v>
      </c>
      <c r="M143" s="7">
        <v>649</v>
      </c>
      <c r="N143" s="7">
        <v>404</v>
      </c>
      <c r="O143" s="19">
        <v>0</v>
      </c>
    </row>
    <row r="144" spans="2:15" x14ac:dyDescent="0.3">
      <c r="B144" s="4" t="s">
        <v>19</v>
      </c>
      <c r="C144" s="6">
        <v>44065.291666666664</v>
      </c>
      <c r="D144" s="8">
        <v>0.93791579902768518</v>
      </c>
      <c r="E144" s="19">
        <v>2173.0000000000005</v>
      </c>
      <c r="F144" s="7">
        <v>2286.5755276940163</v>
      </c>
      <c r="G144" s="7">
        <v>-113.57552769401582</v>
      </c>
      <c r="H144" s="7">
        <v>7.5016043996822841</v>
      </c>
      <c r="I144" s="7">
        <v>0.46019328117809477</v>
      </c>
      <c r="J144" s="7">
        <v>0.43733521499221489</v>
      </c>
      <c r="K144" s="7">
        <v>244.39405963235677</v>
      </c>
      <c r="L144" s="7">
        <v>92.358589652208138</v>
      </c>
      <c r="M144" s="7">
        <v>378.03204400674451</v>
      </c>
      <c r="N144" s="7">
        <v>376.95227189504806</v>
      </c>
      <c r="O144" s="19">
        <v>0</v>
      </c>
    </row>
    <row r="145" spans="2:15" x14ac:dyDescent="0.3">
      <c r="B145" s="3" t="s">
        <v>33</v>
      </c>
      <c r="C145" s="6"/>
      <c r="E145" s="19"/>
      <c r="O145" s="19"/>
    </row>
    <row r="146" spans="2:15" x14ac:dyDescent="0.3">
      <c r="B146" s="4">
        <v>4907185</v>
      </c>
      <c r="C146" s="6">
        <v>43832.291666666664</v>
      </c>
      <c r="D146" s="8">
        <v>0.99344761546488103</v>
      </c>
      <c r="E146" s="19">
        <v>2173</v>
      </c>
      <c r="F146" s="7">
        <v>1213.3577304367147</v>
      </c>
      <c r="G146" s="7">
        <v>959.64226956328525</v>
      </c>
      <c r="H146" s="7">
        <v>9.5535442821131458</v>
      </c>
      <c r="I146" s="7">
        <v>0.46019328117809477</v>
      </c>
      <c r="J146" s="7">
        <v>0.8241592523913599</v>
      </c>
      <c r="K146" s="7">
        <v>367.00793337031178</v>
      </c>
      <c r="L146" s="7">
        <v>357.64114156735718</v>
      </c>
      <c r="M146" s="7">
        <v>0</v>
      </c>
      <c r="N146" s="7">
        <v>133.12198047229407</v>
      </c>
      <c r="O146" s="19">
        <v>0</v>
      </c>
    </row>
    <row r="147" spans="2:15" x14ac:dyDescent="0.3">
      <c r="B147" s="4">
        <v>4909886</v>
      </c>
      <c r="C147" s="6">
        <v>43840.545138888891</v>
      </c>
      <c r="D147" s="8">
        <v>0.77373201269225877</v>
      </c>
      <c r="E147" s="19">
        <v>2173.0000000000005</v>
      </c>
      <c r="F147" s="7">
        <v>4670.5168027587069</v>
      </c>
      <c r="G147" s="7">
        <v>-2497.5168027587065</v>
      </c>
      <c r="H147" s="7">
        <v>9.4844972072682694</v>
      </c>
      <c r="I147" s="7">
        <v>0.46019328117809472</v>
      </c>
      <c r="J147" s="7">
        <v>0.21410906806059146</v>
      </c>
      <c r="K147" s="7">
        <v>249.48964720317392</v>
      </c>
      <c r="L147" s="7">
        <v>63.067328875546899</v>
      </c>
      <c r="M147" s="7">
        <v>311.41554666900663</v>
      </c>
      <c r="N147" s="7">
        <v>370.85704052391969</v>
      </c>
      <c r="O147" s="19">
        <v>0</v>
      </c>
    </row>
    <row r="148" spans="2:15" x14ac:dyDescent="0.3">
      <c r="B148" s="4">
        <v>4915161</v>
      </c>
      <c r="C148" s="6">
        <v>43847.517361111109</v>
      </c>
      <c r="D148" s="8">
        <v>0.79111093608100369</v>
      </c>
      <c r="E148" s="19">
        <v>2173.0000000000005</v>
      </c>
      <c r="F148" s="7">
        <v>4755.4342884224707</v>
      </c>
      <c r="G148" s="7">
        <v>-2582.4342884224702</v>
      </c>
      <c r="H148" s="7">
        <v>9.6589527283028769</v>
      </c>
      <c r="I148" s="7">
        <v>0.46019328117809472</v>
      </c>
      <c r="J148" s="7">
        <v>0.21028573613867177</v>
      </c>
      <c r="K148" s="7">
        <v>363.20060384260267</v>
      </c>
      <c r="L148" s="7">
        <v>3.0446860913957807</v>
      </c>
      <c r="M148" s="7">
        <v>390.60277866516475</v>
      </c>
      <c r="N148" s="7">
        <v>270.85527469056865</v>
      </c>
      <c r="O148" s="19">
        <v>0</v>
      </c>
    </row>
    <row r="149" spans="2:15" x14ac:dyDescent="0.3">
      <c r="B149" s="4">
        <v>4918863</v>
      </c>
      <c r="C149" s="6">
        <v>43857.388888888891</v>
      </c>
      <c r="D149" s="8">
        <v>0.76927059715349788</v>
      </c>
      <c r="E149" s="19">
        <v>2173.0000000000005</v>
      </c>
      <c r="F149" s="7">
        <v>2174.3064298457725</v>
      </c>
      <c r="G149" s="7">
        <v>-1.3064298457720724</v>
      </c>
      <c r="H149" s="7">
        <v>10.072493052633369</v>
      </c>
      <c r="I149" s="7">
        <v>0.46019328117809466</v>
      </c>
      <c r="J149" s="7">
        <v>0.45991677450493113</v>
      </c>
      <c r="K149" s="7">
        <v>226.19572303752653</v>
      </c>
      <c r="L149" s="7">
        <v>524.00903029632389</v>
      </c>
      <c r="M149" s="7">
        <v>229.93648986290043</v>
      </c>
      <c r="N149" s="7">
        <v>607.93494407205048</v>
      </c>
      <c r="O149" s="19">
        <v>0</v>
      </c>
    </row>
    <row r="150" spans="2:15" x14ac:dyDescent="0.3">
      <c r="B150" s="4">
        <v>4952854</v>
      </c>
      <c r="C150" s="6">
        <v>43916.291666666664</v>
      </c>
      <c r="D150" s="8">
        <v>0.77192513524403417</v>
      </c>
      <c r="E150" s="19">
        <v>2173.0000000000005</v>
      </c>
      <c r="F150" s="7">
        <v>3549.1737935222263</v>
      </c>
      <c r="G150" s="7">
        <v>-1376.1737935222259</v>
      </c>
      <c r="H150" s="7">
        <v>9.3669348395407859</v>
      </c>
      <c r="I150" s="7">
        <v>0.46019328117809477</v>
      </c>
      <c r="J150" s="7">
        <v>0.28175571504138508</v>
      </c>
      <c r="K150" s="7">
        <v>264.32461645681718</v>
      </c>
      <c r="L150" s="7">
        <v>271.30460298366188</v>
      </c>
      <c r="M150" s="7">
        <v>437.540872430847</v>
      </c>
      <c r="N150" s="7">
        <v>317.68150944234668</v>
      </c>
      <c r="O150" s="19">
        <v>0</v>
      </c>
    </row>
    <row r="151" spans="2:15" x14ac:dyDescent="0.3">
      <c r="B151" s="4">
        <v>4970908</v>
      </c>
      <c r="C151" s="6">
        <v>43961.291666666664</v>
      </c>
      <c r="D151" s="8">
        <v>0.82208472688100909</v>
      </c>
      <c r="E151" s="19">
        <v>2173.0000000000005</v>
      </c>
      <c r="F151" s="7">
        <v>2102.9459642747324</v>
      </c>
      <c r="G151" s="7">
        <v>70.054035725268022</v>
      </c>
      <c r="H151" s="7">
        <v>7.4820431591298062</v>
      </c>
      <c r="I151" s="7">
        <v>0.46019328117809466</v>
      </c>
      <c r="J151" s="7">
        <v>0.47552339289178153</v>
      </c>
      <c r="K151" s="7">
        <v>334.40521654476925</v>
      </c>
      <c r="L151" s="7">
        <v>75.715574208276394</v>
      </c>
      <c r="M151" s="7">
        <v>663.97217648037895</v>
      </c>
      <c r="N151" s="7">
        <v>396.36003494257881</v>
      </c>
      <c r="O151" s="19">
        <v>0</v>
      </c>
    </row>
    <row r="152" spans="2:15" x14ac:dyDescent="0.3">
      <c r="B152" s="4">
        <v>5090280</v>
      </c>
      <c r="C152" s="6">
        <v>44199.784722222219</v>
      </c>
      <c r="D152" s="8">
        <v>1.1921590145747967</v>
      </c>
      <c r="E152" s="19">
        <v>2262</v>
      </c>
      <c r="F152" s="7">
        <v>2264.9786130350108</v>
      </c>
      <c r="G152" s="7">
        <v>-2.9786130350107669</v>
      </c>
      <c r="H152" s="7">
        <v>8.7943650499711268</v>
      </c>
      <c r="I152" s="7">
        <v>0.44208664898320066</v>
      </c>
      <c r="J152" s="7">
        <v>0.44150527260830369</v>
      </c>
      <c r="K152" s="7">
        <v>321.74167881168694</v>
      </c>
      <c r="L152" s="7">
        <v>40.487740446359098</v>
      </c>
      <c r="M152" s="7">
        <v>794.15157124624398</v>
      </c>
      <c r="N152" s="7">
        <v>459.36393152884352</v>
      </c>
      <c r="O152" s="19">
        <v>0</v>
      </c>
    </row>
    <row r="153" spans="2:15" x14ac:dyDescent="0.3">
      <c r="B153" s="4">
        <v>5097372</v>
      </c>
      <c r="C153" s="6">
        <v>44204.583333333336</v>
      </c>
      <c r="D153" s="8">
        <v>0.84771361535715306</v>
      </c>
      <c r="E153" s="19">
        <v>2261.9999999999995</v>
      </c>
      <c r="F153" s="7">
        <v>2862.1083497349587</v>
      </c>
      <c r="G153" s="7">
        <v>-600.10834973495912</v>
      </c>
      <c r="H153" s="7">
        <v>8.581399579182591</v>
      </c>
      <c r="I153" s="7">
        <v>0.44208664898320083</v>
      </c>
      <c r="J153" s="7">
        <v>0.34939278245444605</v>
      </c>
      <c r="K153" s="7">
        <v>262.11556108801801</v>
      </c>
      <c r="L153" s="7">
        <v>61.983073875381095</v>
      </c>
      <c r="M153" s="7">
        <v>703.40274480811547</v>
      </c>
      <c r="N153" s="7">
        <v>455.15894822527918</v>
      </c>
      <c r="O153" s="19">
        <v>0</v>
      </c>
    </row>
    <row r="154" spans="2:15" x14ac:dyDescent="0.3">
      <c r="B154" s="4">
        <v>5141346</v>
      </c>
      <c r="C154" s="6">
        <v>44277.958333333336</v>
      </c>
      <c r="D154" s="8">
        <v>0.94809107103148227</v>
      </c>
      <c r="E154" s="19">
        <v>2262</v>
      </c>
      <c r="F154" s="7">
        <v>4748.3819929667125</v>
      </c>
      <c r="G154" s="7">
        <v>-2486.3819929667125</v>
      </c>
      <c r="H154" s="7">
        <v>9.1817482400645307</v>
      </c>
      <c r="I154" s="7">
        <v>0.44208664898320077</v>
      </c>
      <c r="J154" s="7">
        <v>0.2105980524484333</v>
      </c>
      <c r="K154" s="7">
        <v>304.43139540381799</v>
      </c>
      <c r="L154" s="7">
        <v>2.1425474130755244</v>
      </c>
      <c r="M154" s="7">
        <v>1115.1812535058141</v>
      </c>
      <c r="N154" s="7">
        <v>701.11435904713414</v>
      </c>
      <c r="O154" s="19">
        <v>0</v>
      </c>
    </row>
    <row r="155" spans="2:15" x14ac:dyDescent="0.3">
      <c r="B155" s="4">
        <v>5147406</v>
      </c>
      <c r="C155" s="6">
        <v>44287.583333333336</v>
      </c>
      <c r="D155" s="8">
        <v>1.0184276052933563</v>
      </c>
      <c r="E155" s="19">
        <v>2262</v>
      </c>
      <c r="F155" s="7">
        <v>3949.6433265960336</v>
      </c>
      <c r="G155" s="7">
        <v>-1687.6433265960336</v>
      </c>
      <c r="H155" s="7">
        <v>7.2650886207892382</v>
      </c>
      <c r="I155" s="7">
        <v>0.44208664898320071</v>
      </c>
      <c r="J155" s="7">
        <v>0.25318741904268133</v>
      </c>
      <c r="K155" s="7">
        <v>282.14506800337631</v>
      </c>
      <c r="L155" s="7">
        <v>9.2653061511860577E-2</v>
      </c>
      <c r="M155" s="7">
        <v>741.71142167771768</v>
      </c>
      <c r="N155" s="7">
        <v>526.47988202205465</v>
      </c>
      <c r="O155" s="19">
        <v>0</v>
      </c>
    </row>
    <row r="156" spans="2:15" x14ac:dyDescent="0.3">
      <c r="B156" s="4">
        <v>5150412</v>
      </c>
      <c r="C156" s="6">
        <v>44292.375</v>
      </c>
      <c r="D156" s="8">
        <v>0.90563027870915713</v>
      </c>
      <c r="E156" s="19">
        <v>2262</v>
      </c>
      <c r="F156" s="7">
        <v>4125.1729741515273</v>
      </c>
      <c r="G156" s="7">
        <v>-1863.1729741515273</v>
      </c>
      <c r="H156" s="7">
        <v>7.3928713479046939</v>
      </c>
      <c r="I156" s="7">
        <v>0.44208664898320071</v>
      </c>
      <c r="J156" s="7">
        <v>0.2424140772437989</v>
      </c>
      <c r="K156" s="7">
        <v>310.92096777417112</v>
      </c>
      <c r="L156" s="7">
        <v>5.8980308696746757</v>
      </c>
      <c r="M156" s="7">
        <v>819.54832261925969</v>
      </c>
      <c r="N156" s="7">
        <v>385.33988739949388</v>
      </c>
      <c r="O156" s="19">
        <v>0</v>
      </c>
    </row>
    <row r="157" spans="2:15" x14ac:dyDescent="0.3">
      <c r="B157" s="4">
        <v>5158953</v>
      </c>
      <c r="C157" s="6">
        <v>44307.291666666664</v>
      </c>
      <c r="D157" s="8">
        <v>0.93499570028966672</v>
      </c>
      <c r="E157" s="19">
        <v>2262.0000000000005</v>
      </c>
      <c r="F157" s="7">
        <v>2262.2349992265308</v>
      </c>
      <c r="G157" s="7">
        <v>-0.23499922653036265</v>
      </c>
      <c r="H157" s="7">
        <v>7.3360794950660564</v>
      </c>
      <c r="I157" s="7">
        <v>0.4420866489832006</v>
      </c>
      <c r="J157" s="7">
        <v>0.44204072536314959</v>
      </c>
      <c r="K157" s="7">
        <v>340.37982954604144</v>
      </c>
      <c r="L157" s="7">
        <v>7.7160788388120825</v>
      </c>
      <c r="M157" s="7">
        <v>853.33864072378992</v>
      </c>
      <c r="N157" s="7">
        <v>471.28473615105946</v>
      </c>
      <c r="O157" s="19">
        <v>0</v>
      </c>
    </row>
    <row r="158" spans="2:15" x14ac:dyDescent="0.3">
      <c r="B158" s="4">
        <v>5177258</v>
      </c>
      <c r="C158" s="6">
        <v>44338.291666666664</v>
      </c>
      <c r="D158" s="8">
        <v>1.1225540166851646</v>
      </c>
      <c r="E158" s="19">
        <v>2267.6067431662987</v>
      </c>
      <c r="F158" s="7">
        <v>10834.587714472915</v>
      </c>
      <c r="G158" s="7">
        <v>-8566.980971306617</v>
      </c>
      <c r="H158" s="7">
        <v>6.9612180389289477</v>
      </c>
      <c r="I158" s="7">
        <v>0.44099357307593939</v>
      </c>
      <c r="J158" s="7">
        <v>9.2297005327133336E-2</v>
      </c>
      <c r="K158" s="7">
        <v>304.8684390051144</v>
      </c>
      <c r="L158" s="7">
        <v>537.54056135672795</v>
      </c>
      <c r="M158" s="7">
        <v>0</v>
      </c>
      <c r="N158" s="7">
        <v>87.874190379138824</v>
      </c>
      <c r="O158" s="19">
        <v>0</v>
      </c>
    </row>
    <row r="159" spans="2:15" x14ac:dyDescent="0.3">
      <c r="B159" s="4">
        <v>5188518</v>
      </c>
      <c r="C159" s="6">
        <v>44362.069444444445</v>
      </c>
      <c r="D159" s="8">
        <v>1.1649021078621469</v>
      </c>
      <c r="E159" s="19">
        <v>2262</v>
      </c>
      <c r="F159" s="7">
        <v>2316.2494893782577</v>
      </c>
      <c r="G159" s="7">
        <v>-54.249489378257749</v>
      </c>
      <c r="H159" s="7">
        <v>6.551689948766068</v>
      </c>
      <c r="I159" s="7">
        <v>0.44208664898320071</v>
      </c>
      <c r="J159" s="7">
        <v>0.43173242113414401</v>
      </c>
      <c r="K159" s="7">
        <v>324.58695747520238</v>
      </c>
      <c r="L159" s="7">
        <v>217.02363259266528</v>
      </c>
      <c r="M159" s="7">
        <v>517.80886470423889</v>
      </c>
      <c r="N159" s="7">
        <v>451.0841645323672</v>
      </c>
      <c r="O159" s="19">
        <v>0</v>
      </c>
    </row>
    <row r="160" spans="2:15" x14ac:dyDescent="0.3">
      <c r="B160" s="4">
        <v>5281279</v>
      </c>
      <c r="C160" s="6">
        <v>44503.291666666664</v>
      </c>
      <c r="D160" s="8">
        <v>1.0170850065143815</v>
      </c>
      <c r="E160" s="19">
        <v>2158.217803206875</v>
      </c>
      <c r="F160" s="7">
        <v>14552.239198265812</v>
      </c>
      <c r="G160" s="7">
        <v>-12394.021395058937</v>
      </c>
      <c r="H160" s="7">
        <v>7.5570958612721926</v>
      </c>
      <c r="I160" s="7">
        <v>0.46334526502103246</v>
      </c>
      <c r="J160" s="7">
        <v>6.8717946865467269E-2</v>
      </c>
      <c r="K160" s="7">
        <v>328.71649853255281</v>
      </c>
      <c r="L160" s="7">
        <v>7.0952268845715087</v>
      </c>
      <c r="M160" s="7">
        <v>833.9397222497845</v>
      </c>
      <c r="N160" s="7">
        <v>676.08546850768994</v>
      </c>
      <c r="O160" s="19">
        <v>0</v>
      </c>
    </row>
    <row r="161" spans="2:15" x14ac:dyDescent="0.3">
      <c r="B161" s="4" t="s">
        <v>25</v>
      </c>
      <c r="C161" s="6">
        <v>44899.291666666664</v>
      </c>
      <c r="D161" s="8">
        <v>1.1392923515646842</v>
      </c>
      <c r="E161" s="19">
        <v>2156.0000000000005</v>
      </c>
      <c r="F161" s="7">
        <v>1996.556483924634</v>
      </c>
      <c r="G161" s="7">
        <v>159.44351607536646</v>
      </c>
      <c r="H161" s="7">
        <v>8.812427653053593</v>
      </c>
      <c r="I161" s="7">
        <v>0.46382189239332089</v>
      </c>
      <c r="J161" s="7">
        <v>0.50086236380064664</v>
      </c>
      <c r="K161" s="7">
        <v>234.34181559625577</v>
      </c>
      <c r="L161" s="7">
        <v>0</v>
      </c>
      <c r="M161" s="7">
        <v>589.50883908008552</v>
      </c>
      <c r="N161" s="7">
        <v>631.57046044597735</v>
      </c>
      <c r="O161" s="19">
        <v>0</v>
      </c>
    </row>
    <row r="162" spans="2:15" x14ac:dyDescent="0.3">
      <c r="B162" s="3" t="s">
        <v>42</v>
      </c>
      <c r="C162" s="6"/>
      <c r="E162" s="19"/>
      <c r="O162" s="19"/>
    </row>
    <row r="163" spans="2:15" x14ac:dyDescent="0.3">
      <c r="B163" s="4">
        <v>4916727</v>
      </c>
      <c r="C163" s="6">
        <v>43852.9375</v>
      </c>
      <c r="D163" s="8">
        <v>0.78470221993215672</v>
      </c>
      <c r="E163" s="19">
        <v>2173</v>
      </c>
      <c r="F163" s="7">
        <v>6255.9147951957548</v>
      </c>
      <c r="G163" s="7">
        <v>-4082.9147951957548</v>
      </c>
      <c r="H163" s="7">
        <v>9.8517615547632094</v>
      </c>
      <c r="I163" s="7">
        <v>0.46019328117809483</v>
      </c>
      <c r="J163" s="7">
        <v>0.15984872440525444</v>
      </c>
      <c r="K163" s="7">
        <v>323.77130834299453</v>
      </c>
      <c r="L163" s="7">
        <v>0</v>
      </c>
      <c r="M163" s="7">
        <v>641.47773627034212</v>
      </c>
      <c r="N163" s="7">
        <v>661.25857701060579</v>
      </c>
      <c r="O163" s="19">
        <v>0</v>
      </c>
    </row>
    <row r="164" spans="2:15" x14ac:dyDescent="0.3">
      <c r="B164" s="13">
        <v>4942593</v>
      </c>
      <c r="C164" s="14">
        <v>43900.465277777781</v>
      </c>
      <c r="D164" s="15">
        <v>0.77010515963456372</v>
      </c>
      <c r="E164" s="20">
        <v>2172.9999999999995</v>
      </c>
      <c r="F164" s="17">
        <v>2173.0053950491733</v>
      </c>
      <c r="G164" s="17">
        <v>-5.3950491737850825E-3</v>
      </c>
      <c r="H164" s="17">
        <v>10.163153915113799</v>
      </c>
      <c r="I164" s="17">
        <v>0.46019328117809488</v>
      </c>
      <c r="J164" s="17">
        <v>0.46019213862898434</v>
      </c>
      <c r="K164" s="17">
        <v>273.13742999595166</v>
      </c>
      <c r="L164" s="17">
        <v>43.635892356512109</v>
      </c>
      <c r="M164" s="17">
        <v>514.87904964282802</v>
      </c>
      <c r="N164" s="17">
        <v>336.05145151417668</v>
      </c>
      <c r="O164" s="20">
        <v>0</v>
      </c>
    </row>
    <row r="165" spans="2:15" x14ac:dyDescent="0.3">
      <c r="B165" s="4">
        <v>4945145</v>
      </c>
      <c r="C165" s="6">
        <v>43910.611111111109</v>
      </c>
      <c r="D165" s="8">
        <v>0.83014778420705093</v>
      </c>
      <c r="E165" s="19">
        <v>2173.0000000000005</v>
      </c>
      <c r="F165" s="7">
        <v>2730.5039080160409</v>
      </c>
      <c r="G165" s="7">
        <v>-557.50390801604044</v>
      </c>
      <c r="H165" s="7">
        <v>9.7993721628003545</v>
      </c>
      <c r="I165" s="7">
        <v>0.46019328117809472</v>
      </c>
      <c r="J165" s="7">
        <v>0.36623276643708996</v>
      </c>
      <c r="K165" s="7">
        <v>381.56112866977844</v>
      </c>
      <c r="L165" s="7">
        <v>79.638565905194227</v>
      </c>
      <c r="M165" s="7">
        <v>746.88286680783585</v>
      </c>
      <c r="N165" s="7">
        <v>413.16375906327517</v>
      </c>
      <c r="O165" s="19">
        <v>0</v>
      </c>
    </row>
    <row r="166" spans="2:15" x14ac:dyDescent="0.3">
      <c r="B166" s="13">
        <v>4972073</v>
      </c>
      <c r="C166" s="14">
        <v>43962.861111111109</v>
      </c>
      <c r="D166" s="15">
        <v>0.93691219222626976</v>
      </c>
      <c r="E166" s="20">
        <v>2173</v>
      </c>
      <c r="F166" s="17">
        <v>2176.4619484515006</v>
      </c>
      <c r="G166" s="17">
        <v>-3.4619484515005752</v>
      </c>
      <c r="H166" s="17">
        <v>7.5206892317286691</v>
      </c>
      <c r="I166" s="17">
        <v>0.46019328117809488</v>
      </c>
      <c r="J166" s="17">
        <v>0.45946128335093367</v>
      </c>
      <c r="K166" s="17">
        <v>448.99250089398282</v>
      </c>
      <c r="L166" s="17">
        <v>0</v>
      </c>
      <c r="M166" s="17">
        <v>870.87499416128935</v>
      </c>
      <c r="N166" s="17">
        <v>365.48642389007364</v>
      </c>
      <c r="O166" s="20">
        <v>0</v>
      </c>
    </row>
    <row r="167" spans="2:15" x14ac:dyDescent="0.3">
      <c r="B167" s="13">
        <v>4972656</v>
      </c>
      <c r="C167" s="14">
        <v>43964.274305555555</v>
      </c>
      <c r="D167" s="15">
        <v>0.82315639833477694</v>
      </c>
      <c r="E167" s="20">
        <v>2173.0000000000005</v>
      </c>
      <c r="F167" s="17">
        <v>2173.1798956376761</v>
      </c>
      <c r="G167" s="17">
        <v>-0.17989563767559957</v>
      </c>
      <c r="H167" s="17">
        <v>7.8200159171910633</v>
      </c>
      <c r="I167" s="17">
        <v>0.46019328117809472</v>
      </c>
      <c r="J167" s="17">
        <v>0.46015518641937825</v>
      </c>
      <c r="K167" s="17">
        <v>378.90373224995852</v>
      </c>
      <c r="L167" s="17">
        <v>0</v>
      </c>
      <c r="M167" s="17">
        <v>860.24685722444963</v>
      </c>
      <c r="N167" s="17">
        <v>388.14771099443902</v>
      </c>
      <c r="O167" s="20">
        <v>0</v>
      </c>
    </row>
    <row r="168" spans="2:15" x14ac:dyDescent="0.3">
      <c r="B168" s="4">
        <v>4973966</v>
      </c>
      <c r="C168" s="6">
        <v>43966.927083333336</v>
      </c>
      <c r="D168" s="8">
        <v>0.87426301195029477</v>
      </c>
      <c r="E168" s="19">
        <v>2173.0000000000009</v>
      </c>
      <c r="F168" s="7">
        <v>3688.9336818201291</v>
      </c>
      <c r="G168" s="7">
        <v>-1515.9336818201282</v>
      </c>
      <c r="H168" s="7">
        <v>6.1769599868672591</v>
      </c>
      <c r="I168" s="7">
        <v>0.46019328117809466</v>
      </c>
      <c r="J168" s="7">
        <v>0.27108104570386243</v>
      </c>
      <c r="K168" s="7">
        <v>348.67739862017174</v>
      </c>
      <c r="L168" s="7">
        <v>0</v>
      </c>
      <c r="M168" s="7">
        <v>1019.4776523755676</v>
      </c>
      <c r="N168" s="7">
        <v>505.27953585741926</v>
      </c>
      <c r="O168" s="19">
        <v>0</v>
      </c>
    </row>
    <row r="169" spans="2:15" x14ac:dyDescent="0.3">
      <c r="B169" s="13">
        <v>4975636</v>
      </c>
      <c r="C169" s="14">
        <v>43974.6875</v>
      </c>
      <c r="D169" s="15">
        <v>0.88608401088592814</v>
      </c>
      <c r="E169" s="20">
        <v>2173</v>
      </c>
      <c r="F169" s="17">
        <v>2173.1027662827255</v>
      </c>
      <c r="G169" s="17">
        <v>-0.10276628272549715</v>
      </c>
      <c r="H169" s="17">
        <v>6.2280248422898294</v>
      </c>
      <c r="I169" s="17">
        <v>0.46019328117809483</v>
      </c>
      <c r="J169" s="17">
        <v>0.46017151858427008</v>
      </c>
      <c r="K169" s="17">
        <v>354.98906000298632</v>
      </c>
      <c r="L169" s="17">
        <v>0</v>
      </c>
      <c r="M169" s="17">
        <v>803.63539143697255</v>
      </c>
      <c r="N169" s="17">
        <v>353.14583687353417</v>
      </c>
      <c r="O169" s="20">
        <v>0</v>
      </c>
    </row>
    <row r="170" spans="2:15" x14ac:dyDescent="0.3">
      <c r="B170" s="4">
        <v>4998566</v>
      </c>
      <c r="C170" s="6">
        <v>44041.256944444445</v>
      </c>
      <c r="D170" s="8">
        <v>0.90608399862742739</v>
      </c>
      <c r="E170" s="19">
        <v>2173</v>
      </c>
      <c r="F170" s="7">
        <v>3524.3541256641543</v>
      </c>
      <c r="G170" s="7">
        <v>-1351.3541256641543</v>
      </c>
      <c r="H170" s="7">
        <v>7.8593137229849281</v>
      </c>
      <c r="I170" s="7">
        <v>0.46019328117809483</v>
      </c>
      <c r="J170" s="7">
        <v>0.28373993201138747</v>
      </c>
      <c r="K170" s="7">
        <v>190.39845091157676</v>
      </c>
      <c r="L170" s="7">
        <v>0</v>
      </c>
      <c r="M170" s="7">
        <v>724.28520666784311</v>
      </c>
      <c r="N170" s="7">
        <v>459.25673875856995</v>
      </c>
      <c r="O170" s="19">
        <v>0</v>
      </c>
    </row>
    <row r="171" spans="2:15" x14ac:dyDescent="0.3">
      <c r="B171" s="13">
        <v>5010024</v>
      </c>
      <c r="C171" s="14">
        <v>44045.395833333336</v>
      </c>
      <c r="D171" s="15">
        <v>1.050900834000517</v>
      </c>
      <c r="E171" s="20">
        <v>2173</v>
      </c>
      <c r="F171" s="17">
        <v>2173.2646173378221</v>
      </c>
      <c r="G171" s="17">
        <v>-0.26461733782207375</v>
      </c>
      <c r="H171" s="17">
        <v>6.402914410666801</v>
      </c>
      <c r="I171" s="17">
        <v>0.46019328117809477</v>
      </c>
      <c r="J171" s="17">
        <v>0.46013724790907756</v>
      </c>
      <c r="K171" s="17">
        <v>219.92022331035204</v>
      </c>
      <c r="L171" s="17">
        <v>15.45593177810516</v>
      </c>
      <c r="M171" s="17">
        <v>669.88663471712448</v>
      </c>
      <c r="N171" s="17">
        <v>441.72065734656633</v>
      </c>
      <c r="O171" s="20">
        <v>0</v>
      </c>
    </row>
    <row r="172" spans="2:15" x14ac:dyDescent="0.3">
      <c r="B172" s="4">
        <v>5012273</v>
      </c>
      <c r="C172" s="6">
        <v>44050.333333333336</v>
      </c>
      <c r="D172" s="8">
        <v>0.85710614994862611</v>
      </c>
      <c r="E172" s="19">
        <v>2173.0000000000005</v>
      </c>
      <c r="F172" s="7">
        <v>2259.7686814163767</v>
      </c>
      <c r="G172" s="7">
        <v>-86.768681416376239</v>
      </c>
      <c r="H172" s="7">
        <v>6.7282905402976434</v>
      </c>
      <c r="I172" s="7">
        <v>0.46019328117809472</v>
      </c>
      <c r="J172" s="7">
        <v>0.44252316983755186</v>
      </c>
      <c r="K172" s="7">
        <v>267.56232264937449</v>
      </c>
      <c r="L172" s="7">
        <v>0</v>
      </c>
      <c r="M172" s="7">
        <v>693.98541818082879</v>
      </c>
      <c r="N172" s="7">
        <v>391.38662507245016</v>
      </c>
      <c r="O172" s="19">
        <v>0</v>
      </c>
    </row>
    <row r="173" spans="2:15" x14ac:dyDescent="0.3">
      <c r="B173" s="4">
        <v>5014861</v>
      </c>
      <c r="C173" s="6">
        <v>44052.760416666664</v>
      </c>
      <c r="D173" s="8">
        <v>1.1546864184802206</v>
      </c>
      <c r="E173" s="19">
        <v>2173.0000000000005</v>
      </c>
      <c r="F173" s="7">
        <v>2132.5844778319984</v>
      </c>
      <c r="G173" s="7">
        <v>40.415522168002099</v>
      </c>
      <c r="H173" s="7">
        <v>6.564829351807048</v>
      </c>
      <c r="I173" s="7">
        <v>0.46019328117809472</v>
      </c>
      <c r="J173" s="7">
        <v>0.46891460122442957</v>
      </c>
      <c r="K173" s="7">
        <v>320.70066340556247</v>
      </c>
      <c r="L173" s="7">
        <v>0</v>
      </c>
      <c r="M173" s="7">
        <v>1044.5271296196697</v>
      </c>
      <c r="N173" s="7">
        <v>537.64395330206298</v>
      </c>
      <c r="O173" s="19">
        <v>0</v>
      </c>
    </row>
    <row r="174" spans="2:15" x14ac:dyDescent="0.3">
      <c r="B174" s="13">
        <v>5015529</v>
      </c>
      <c r="C174" s="14">
        <v>44055.416666666664</v>
      </c>
      <c r="D174" s="15">
        <v>1.1570820021299253</v>
      </c>
      <c r="E174" s="20">
        <v>2172.9999999999995</v>
      </c>
      <c r="F174" s="17">
        <v>2175.4368892267044</v>
      </c>
      <c r="G174" s="17">
        <v>-2.4368892267048068</v>
      </c>
      <c r="H174" s="17">
        <v>9.1744583026081532</v>
      </c>
      <c r="I174" s="17">
        <v>0.46019328117809488</v>
      </c>
      <c r="J174" s="17">
        <v>0.45967778010580057</v>
      </c>
      <c r="K174" s="17">
        <v>338.99375413752404</v>
      </c>
      <c r="L174" s="17">
        <v>0</v>
      </c>
      <c r="M174" s="17">
        <v>1084.6594153097012</v>
      </c>
      <c r="N174" s="17">
        <v>673.15673502284687</v>
      </c>
      <c r="O174" s="20">
        <v>0</v>
      </c>
    </row>
    <row r="175" spans="2:15" x14ac:dyDescent="0.3">
      <c r="B175" s="13">
        <v>5015532</v>
      </c>
      <c r="C175" s="14">
        <v>44063.395833333336</v>
      </c>
      <c r="D175" s="15">
        <v>0.76937500000000003</v>
      </c>
      <c r="E175" s="20">
        <v>2173.0625</v>
      </c>
      <c r="F175" s="17">
        <v>2172.9600459788489</v>
      </c>
      <c r="G175" s="17">
        <v>0.10245402115106117</v>
      </c>
      <c r="H175" s="17">
        <v>8.345159296190932</v>
      </c>
      <c r="I175" s="17">
        <v>0.46018004544277946</v>
      </c>
      <c r="J175" s="17">
        <v>0.46020174271061298</v>
      </c>
      <c r="K175" s="17">
        <v>251.1875</v>
      </c>
      <c r="L175" s="17">
        <v>54.625</v>
      </c>
      <c r="M175" s="17">
        <v>548.375</v>
      </c>
      <c r="N175" s="17">
        <v>358.625</v>
      </c>
      <c r="O175" s="20">
        <v>0</v>
      </c>
    </row>
    <row r="176" spans="2:15" x14ac:dyDescent="0.3">
      <c r="B176" s="13">
        <v>5020680</v>
      </c>
      <c r="C176" s="14">
        <v>44064.381944444445</v>
      </c>
      <c r="D176" s="15">
        <v>0.79780996458828035</v>
      </c>
      <c r="E176" s="20">
        <v>2173</v>
      </c>
      <c r="F176" s="17">
        <v>2191.6017208431622</v>
      </c>
      <c r="G176" s="17">
        <v>-18.601720843162184</v>
      </c>
      <c r="H176" s="17">
        <v>8.8571994521511286</v>
      </c>
      <c r="I176" s="17">
        <v>0.46019328117809477</v>
      </c>
      <c r="J176" s="17">
        <v>0.45628728545407227</v>
      </c>
      <c r="K176" s="17">
        <v>256.61730947930863</v>
      </c>
      <c r="L176" s="17">
        <v>1.526245149647145</v>
      </c>
      <c r="M176" s="17">
        <v>779.63408333220343</v>
      </c>
      <c r="N176" s="17">
        <v>394.83317174247486</v>
      </c>
      <c r="O176" s="20">
        <v>0</v>
      </c>
    </row>
    <row r="177" spans="2:15" x14ac:dyDescent="0.3">
      <c r="B177" s="4">
        <v>5023152</v>
      </c>
      <c r="C177" s="6">
        <v>44070.25</v>
      </c>
      <c r="D177" s="8">
        <v>0.85384158084283879</v>
      </c>
      <c r="E177" s="19">
        <v>2172.9999999999995</v>
      </c>
      <c r="F177" s="7">
        <v>2130.1198438900838</v>
      </c>
      <c r="G177" s="7">
        <v>42.880156109915788</v>
      </c>
      <c r="H177" s="7">
        <v>8.984283829979951</v>
      </c>
      <c r="I177" s="7">
        <v>0.46019328117809488</v>
      </c>
      <c r="J177" s="7">
        <v>0.46945715419174366</v>
      </c>
      <c r="K177" s="7">
        <v>229.80536261541553</v>
      </c>
      <c r="L177" s="7">
        <v>0</v>
      </c>
      <c r="M177" s="7">
        <v>661.7682709686577</v>
      </c>
      <c r="N177" s="7">
        <v>468.316324883596</v>
      </c>
      <c r="O177" s="19">
        <v>0</v>
      </c>
    </row>
    <row r="178" spans="2:15" x14ac:dyDescent="0.3">
      <c r="B178" s="13">
        <v>5024311</v>
      </c>
      <c r="C178" s="14">
        <v>44075.291666666664</v>
      </c>
      <c r="D178" s="15">
        <v>0.81857380909302924</v>
      </c>
      <c r="E178" s="20">
        <v>2173</v>
      </c>
      <c r="F178" s="17">
        <v>2174.4771663969705</v>
      </c>
      <c r="G178" s="17">
        <v>-1.4771663969704605</v>
      </c>
      <c r="H178" s="17">
        <v>8.100329572083508</v>
      </c>
      <c r="I178" s="17">
        <v>0.46019328117809477</v>
      </c>
      <c r="J178" s="17">
        <v>0.4598806625580546</v>
      </c>
      <c r="K178" s="17">
        <v>272.72650741070157</v>
      </c>
      <c r="L178" s="17">
        <v>0</v>
      </c>
      <c r="M178" s="17">
        <v>760.97013557461435</v>
      </c>
      <c r="N178" s="17">
        <v>428.13088610671662</v>
      </c>
      <c r="O178" s="20">
        <v>0</v>
      </c>
    </row>
    <row r="179" spans="2:15" x14ac:dyDescent="0.3">
      <c r="B179" s="13">
        <v>5100963</v>
      </c>
      <c r="C179" s="14">
        <v>44213.4375</v>
      </c>
      <c r="D179" s="15">
        <v>0.79711815790143992</v>
      </c>
      <c r="E179" s="20">
        <v>2261.9999999999995</v>
      </c>
      <c r="F179" s="17">
        <v>2255.5689810581848</v>
      </c>
      <c r="G179" s="17">
        <v>6.4310189418147274</v>
      </c>
      <c r="H179" s="17">
        <v>9.5440473740122886</v>
      </c>
      <c r="I179" s="17">
        <v>0.44208664898320077</v>
      </c>
      <c r="J179" s="17">
        <v>0.44334711480686206</v>
      </c>
      <c r="K179" s="17">
        <v>203.98553880726902</v>
      </c>
      <c r="L179" s="17">
        <v>99.883482058698291</v>
      </c>
      <c r="M179" s="17">
        <v>555.98969899285044</v>
      </c>
      <c r="N179" s="17">
        <v>391.27638337361287</v>
      </c>
      <c r="O179" s="20">
        <v>0</v>
      </c>
    </row>
    <row r="180" spans="2:15" x14ac:dyDescent="0.3">
      <c r="B180" s="4">
        <v>5103920</v>
      </c>
      <c r="C180" s="6">
        <v>44218.1875</v>
      </c>
      <c r="D180" s="8">
        <v>0.82494556396063867</v>
      </c>
      <c r="E180" s="19">
        <v>2262.8320183052724</v>
      </c>
      <c r="F180" s="7">
        <v>2908.9996539392678</v>
      </c>
      <c r="G180" s="7">
        <v>-646.16763563399536</v>
      </c>
      <c r="H180" s="7">
        <v>9.6854910285288156</v>
      </c>
      <c r="I180" s="7">
        <v>0.44192409861203091</v>
      </c>
      <c r="J180" s="7">
        <v>0.34376078341770661</v>
      </c>
      <c r="K180" s="7">
        <v>208.95493081461717</v>
      </c>
      <c r="L180" s="7">
        <v>524.07370838276381</v>
      </c>
      <c r="M180" s="7">
        <v>232.32077304666561</v>
      </c>
      <c r="N180" s="7">
        <v>643.14760838764539</v>
      </c>
      <c r="O180" s="19">
        <v>0</v>
      </c>
    </row>
    <row r="181" spans="2:15" x14ac:dyDescent="0.3">
      <c r="B181" s="4">
        <v>5135632</v>
      </c>
      <c r="C181" s="6">
        <v>44269.052083333336</v>
      </c>
      <c r="D181" s="8">
        <v>0.92325418350799249</v>
      </c>
      <c r="E181" s="19">
        <v>2262.0000000000005</v>
      </c>
      <c r="F181" s="7">
        <v>2809.050480796634</v>
      </c>
      <c r="G181" s="7">
        <v>-547.05048079663356</v>
      </c>
      <c r="H181" s="7">
        <v>8.8926720133363713</v>
      </c>
      <c r="I181" s="7">
        <v>0.44208664898320066</v>
      </c>
      <c r="J181" s="7">
        <v>0.35599217843760661</v>
      </c>
      <c r="K181" s="7">
        <v>273.55723115717609</v>
      </c>
      <c r="L181" s="7">
        <v>77.790620731581853</v>
      </c>
      <c r="M181" s="7">
        <v>619.84517705506084</v>
      </c>
      <c r="N181" s="7">
        <v>403.33515678846663</v>
      </c>
      <c r="O181" s="19">
        <v>0</v>
      </c>
    </row>
    <row r="182" spans="2:15" x14ac:dyDescent="0.3">
      <c r="B182" s="4">
        <v>5136947</v>
      </c>
      <c r="C182" s="6">
        <v>44270.975694444445</v>
      </c>
      <c r="D182" s="8">
        <v>0.87947632987812774</v>
      </c>
      <c r="E182" s="19">
        <v>2262</v>
      </c>
      <c r="F182" s="7">
        <v>4034.0943554236801</v>
      </c>
      <c r="G182" s="7">
        <v>-1772.0943554236801</v>
      </c>
      <c r="H182" s="7">
        <v>8.6979810567058937</v>
      </c>
      <c r="I182" s="7">
        <v>0.44208664898320066</v>
      </c>
      <c r="J182" s="7">
        <v>0.24788711217315468</v>
      </c>
      <c r="K182" s="7">
        <v>264.5532739691696</v>
      </c>
      <c r="L182" s="7">
        <v>0</v>
      </c>
      <c r="M182" s="7">
        <v>925.75320831351462</v>
      </c>
      <c r="N182" s="7">
        <v>521.21344191564856</v>
      </c>
      <c r="O182" s="19">
        <v>0</v>
      </c>
    </row>
    <row r="183" spans="2:15" x14ac:dyDescent="0.3">
      <c r="B183" s="4">
        <v>5140106</v>
      </c>
      <c r="C183" s="6">
        <v>44275.291666666664</v>
      </c>
      <c r="D183" s="8">
        <v>0.89561674276191716</v>
      </c>
      <c r="E183" s="19">
        <v>2262</v>
      </c>
      <c r="F183" s="7">
        <v>3644.5469744765674</v>
      </c>
      <c r="G183" s="7">
        <v>-1382.5469744765674</v>
      </c>
      <c r="H183" s="7">
        <v>8.8571133960302539</v>
      </c>
      <c r="I183" s="7">
        <v>0.44208664898320066</v>
      </c>
      <c r="J183" s="7">
        <v>0.2743825246328786</v>
      </c>
      <c r="K183" s="7">
        <v>261.21618659650352</v>
      </c>
      <c r="L183" s="7">
        <v>109.54836413797508</v>
      </c>
      <c r="M183" s="7">
        <v>531.21759457331234</v>
      </c>
      <c r="N183" s="7">
        <v>379.29841540072437</v>
      </c>
      <c r="O183" s="19">
        <v>0</v>
      </c>
    </row>
    <row r="184" spans="2:15" x14ac:dyDescent="0.3">
      <c r="B184" s="4">
        <v>5144311</v>
      </c>
      <c r="C184" s="6">
        <v>44286.666666666664</v>
      </c>
      <c r="D184" s="8">
        <v>0.98154883850987784</v>
      </c>
      <c r="E184" s="19">
        <v>2261.9999999999995</v>
      </c>
      <c r="F184" s="7">
        <v>0</v>
      </c>
      <c r="G184" s="7">
        <v>2261.9999999999995</v>
      </c>
      <c r="I184" s="7">
        <v>0.44208664898320083</v>
      </c>
      <c r="J184" s="7">
        <v>0</v>
      </c>
      <c r="K184" s="7">
        <v>283.52045427435525</v>
      </c>
      <c r="L184" s="7">
        <v>0</v>
      </c>
      <c r="M184" s="7">
        <v>1149.7924441107116</v>
      </c>
      <c r="N184" s="7">
        <v>687.92974393475458</v>
      </c>
      <c r="O184" s="19">
        <v>0</v>
      </c>
    </row>
    <row r="185" spans="2:15" x14ac:dyDescent="0.3">
      <c r="B185" s="4">
        <v>5156772</v>
      </c>
      <c r="C185" s="6">
        <v>44305.368055555555</v>
      </c>
      <c r="D185" s="8">
        <v>1.0263640346719327</v>
      </c>
      <c r="E185" s="19">
        <v>2261.9999999999995</v>
      </c>
      <c r="F185" s="7">
        <v>2327.6390932099348</v>
      </c>
      <c r="G185" s="7">
        <v>-65.639093209935254</v>
      </c>
      <c r="H185" s="7">
        <v>6.3169004168174716</v>
      </c>
      <c r="I185" s="7">
        <v>0.44208664898320083</v>
      </c>
      <c r="J185" s="7">
        <v>0.42961986801009949</v>
      </c>
      <c r="K185" s="7">
        <v>287.39068084656463</v>
      </c>
      <c r="L185" s="7">
        <v>0</v>
      </c>
      <c r="M185" s="7">
        <v>1010.293734693284</v>
      </c>
      <c r="N185" s="7">
        <v>549.3801608227227</v>
      </c>
      <c r="O185" s="19">
        <v>0</v>
      </c>
    </row>
    <row r="186" spans="2:15" x14ac:dyDescent="0.3">
      <c r="B186" s="13">
        <v>5158593</v>
      </c>
      <c r="C186" s="14">
        <v>44307.232638888891</v>
      </c>
      <c r="D186" s="15">
        <v>0.895725308219815</v>
      </c>
      <c r="E186" s="20">
        <v>2261.9999999999995</v>
      </c>
      <c r="F186" s="17">
        <v>2261.9742660949482</v>
      </c>
      <c r="G186" s="17">
        <v>2.5733905051311012E-2</v>
      </c>
      <c r="H186" s="17">
        <v>7.2374737594701068</v>
      </c>
      <c r="I186" s="17">
        <v>0.44208664898320083</v>
      </c>
      <c r="J186" s="17">
        <v>0.44209167849039721</v>
      </c>
      <c r="K186" s="17">
        <v>304.05258720523926</v>
      </c>
      <c r="L186" s="17">
        <v>0</v>
      </c>
      <c r="M186" s="17">
        <v>949.92613926634203</v>
      </c>
      <c r="N186" s="17">
        <v>468.54226053399663</v>
      </c>
      <c r="O186" s="20">
        <v>0</v>
      </c>
    </row>
    <row r="187" spans="2:15" x14ac:dyDescent="0.3">
      <c r="B187" s="13">
        <v>5159843</v>
      </c>
      <c r="C187" s="14">
        <v>44309.892361111109</v>
      </c>
      <c r="D187" s="15">
        <v>0.90563863662195987</v>
      </c>
      <c r="E187" s="20">
        <v>2262.0000000000005</v>
      </c>
      <c r="F187" s="17">
        <v>2282.81819704283</v>
      </c>
      <c r="G187" s="17">
        <v>-20.818197042829524</v>
      </c>
      <c r="H187" s="17">
        <v>5.4741221880644897</v>
      </c>
      <c r="I187" s="17">
        <v>0.44208664898320066</v>
      </c>
      <c r="J187" s="17">
        <v>0.4380550327202592</v>
      </c>
      <c r="K187" s="17">
        <v>293.767462621589</v>
      </c>
      <c r="L187" s="17">
        <v>1058.8672605130694</v>
      </c>
      <c r="M187" s="17">
        <v>0</v>
      </c>
      <c r="N187" s="17">
        <v>1029.2083520568692</v>
      </c>
      <c r="O187" s="20">
        <v>0</v>
      </c>
    </row>
    <row r="188" spans="2:15" x14ac:dyDescent="0.3">
      <c r="B188" s="4">
        <v>5191967</v>
      </c>
      <c r="C188" s="6">
        <v>44365.083333333336</v>
      </c>
      <c r="D188" s="8">
        <v>1.0911093893113704</v>
      </c>
      <c r="E188" s="19">
        <v>2262</v>
      </c>
      <c r="F188" s="7">
        <v>2844.55971588071</v>
      </c>
      <c r="G188" s="7">
        <v>-582.55971588070997</v>
      </c>
      <c r="H188" s="7">
        <v>5.7368433460018942</v>
      </c>
      <c r="I188" s="7">
        <v>0.44208664898320071</v>
      </c>
      <c r="J188" s="7">
        <v>0.35154825346684204</v>
      </c>
      <c r="K188" s="7">
        <v>334.63890599480482</v>
      </c>
      <c r="L188" s="7">
        <v>811.63536636657807</v>
      </c>
      <c r="M188" s="7">
        <v>297.91551018868569</v>
      </c>
      <c r="N188" s="7">
        <v>416.65599405931329</v>
      </c>
      <c r="O188" s="19">
        <v>0</v>
      </c>
    </row>
    <row r="189" spans="2:15" x14ac:dyDescent="0.3">
      <c r="B189" s="13">
        <v>5193835</v>
      </c>
      <c r="C189" s="14">
        <v>44370.1875</v>
      </c>
      <c r="D189" s="15">
        <v>0.89886898874182986</v>
      </c>
      <c r="E189" s="20">
        <v>2262</v>
      </c>
      <c r="F189" s="17">
        <v>2261.9993869869709</v>
      </c>
      <c r="G189" s="17">
        <v>6.1301302912397659E-4</v>
      </c>
      <c r="H189" s="17">
        <v>6.267231489429423</v>
      </c>
      <c r="I189" s="17">
        <v>0.44208664898320071</v>
      </c>
      <c r="J189" s="17">
        <v>0.44208676879087061</v>
      </c>
      <c r="K189" s="17">
        <v>336.1267446914714</v>
      </c>
      <c r="L189" s="17">
        <v>0</v>
      </c>
      <c r="M189" s="17">
        <v>884.50985749560891</v>
      </c>
      <c r="N189" s="17">
        <v>509.3924961541594</v>
      </c>
      <c r="O189" s="20">
        <v>0</v>
      </c>
    </row>
    <row r="190" spans="2:15" x14ac:dyDescent="0.3">
      <c r="B190" s="13">
        <v>5196661</v>
      </c>
      <c r="C190" s="14">
        <v>44373.3125</v>
      </c>
      <c r="D190" s="15">
        <v>0.89626296048816045</v>
      </c>
      <c r="E190" s="20">
        <v>2262</v>
      </c>
      <c r="F190" s="17">
        <v>2261.9104486679485</v>
      </c>
      <c r="G190" s="17">
        <v>8.9551332051541976E-2</v>
      </c>
      <c r="H190" s="17">
        <v>5.5255480614211114</v>
      </c>
      <c r="I190" s="17">
        <v>0.44208664898320066</v>
      </c>
      <c r="J190" s="17">
        <v>0.44210415164265476</v>
      </c>
      <c r="K190" s="17">
        <v>342.64513184254412</v>
      </c>
      <c r="L190" s="17">
        <v>38.392392232975915</v>
      </c>
      <c r="M190" s="17">
        <v>798.54649787046799</v>
      </c>
      <c r="N190" s="17">
        <v>332.0411165304829</v>
      </c>
      <c r="O190" s="20">
        <v>0</v>
      </c>
    </row>
    <row r="191" spans="2:15" x14ac:dyDescent="0.3">
      <c r="B191" s="13">
        <v>5196665</v>
      </c>
      <c r="C191" s="14">
        <v>44374.8125</v>
      </c>
      <c r="D191" s="15">
        <v>0.88495490423133993</v>
      </c>
      <c r="E191" s="20">
        <v>2262.0000000000005</v>
      </c>
      <c r="F191" s="17">
        <v>2262.0083960917277</v>
      </c>
      <c r="G191" s="17">
        <v>-8.3960917272634106E-3</v>
      </c>
      <c r="H191" s="17">
        <v>5.2614889456762519</v>
      </c>
      <c r="I191" s="17">
        <v>0.44208664898320066</v>
      </c>
      <c r="J191" s="17">
        <v>0.44208500805204287</v>
      </c>
      <c r="K191" s="17">
        <v>295.83572996555881</v>
      </c>
      <c r="L191" s="17">
        <v>0</v>
      </c>
      <c r="M191" s="17">
        <v>720.09238992053577</v>
      </c>
      <c r="N191" s="17">
        <v>541.218967889027</v>
      </c>
      <c r="O191" s="20">
        <v>0</v>
      </c>
    </row>
    <row r="192" spans="2:15" x14ac:dyDescent="0.3">
      <c r="B192" s="13">
        <v>5198735</v>
      </c>
      <c r="C192" s="14">
        <v>44378.291666666664</v>
      </c>
      <c r="D192" s="15">
        <v>0.89682875908811854</v>
      </c>
      <c r="E192" s="20">
        <v>2261.9999999999995</v>
      </c>
      <c r="F192" s="17">
        <v>2262.0168755691998</v>
      </c>
      <c r="G192" s="17">
        <v>-1.6875569200237805E-2</v>
      </c>
      <c r="H192" s="17">
        <v>6.1992503605112734</v>
      </c>
      <c r="I192" s="17">
        <v>0.44208664898320077</v>
      </c>
      <c r="J192" s="17">
        <v>0.44208335083634875</v>
      </c>
      <c r="K192" s="17">
        <v>294.04921182324688</v>
      </c>
      <c r="L192" s="17">
        <v>0</v>
      </c>
      <c r="M192" s="17">
        <v>902.21298413565148</v>
      </c>
      <c r="N192" s="17">
        <v>394.64730895764887</v>
      </c>
      <c r="O192" s="20">
        <v>0</v>
      </c>
    </row>
    <row r="193" spans="2:15" x14ac:dyDescent="0.3">
      <c r="B193" s="13">
        <v>5202629</v>
      </c>
      <c r="C193" s="14">
        <v>44383.052083333336</v>
      </c>
      <c r="D193" s="15">
        <v>0.84429885991072651</v>
      </c>
      <c r="E193" s="20">
        <v>2262</v>
      </c>
      <c r="F193" s="17">
        <v>2273.0480002280792</v>
      </c>
      <c r="G193" s="17">
        <v>-11.048000228079218</v>
      </c>
      <c r="H193" s="17">
        <v>5.8948256698814596</v>
      </c>
      <c r="I193" s="17">
        <v>0.44208664898320071</v>
      </c>
      <c r="J193" s="17">
        <v>0.43993791591715581</v>
      </c>
      <c r="K193" s="17">
        <v>294.24194358688101</v>
      </c>
      <c r="L193" s="17">
        <v>0</v>
      </c>
      <c r="M193" s="17">
        <v>921.71344444658837</v>
      </c>
      <c r="N193" s="17">
        <v>580.11481201225479</v>
      </c>
      <c r="O193" s="20">
        <v>0</v>
      </c>
    </row>
    <row r="194" spans="2:15" x14ac:dyDescent="0.3">
      <c r="B194" s="13">
        <v>5204915</v>
      </c>
      <c r="C194" s="14">
        <v>44386.583333333336</v>
      </c>
      <c r="D194" s="15">
        <v>0.90057471727776084</v>
      </c>
      <c r="E194" s="20">
        <v>2262</v>
      </c>
      <c r="F194" s="17">
        <v>2263.9169152987783</v>
      </c>
      <c r="G194" s="17">
        <v>-1.9169152987783491</v>
      </c>
      <c r="H194" s="17">
        <v>6.521981937972714</v>
      </c>
      <c r="I194" s="17">
        <v>0.44208664898320066</v>
      </c>
      <c r="J194" s="17">
        <v>0.44171232311678094</v>
      </c>
      <c r="K194" s="17">
        <v>306.1920579615703</v>
      </c>
      <c r="L194" s="17">
        <v>0</v>
      </c>
      <c r="M194" s="17">
        <v>803.86813385410414</v>
      </c>
      <c r="N194" s="17">
        <v>488.82131431626777</v>
      </c>
      <c r="O194" s="20">
        <v>0</v>
      </c>
    </row>
    <row r="195" spans="2:15" x14ac:dyDescent="0.3">
      <c r="B195" s="13">
        <v>5206651</v>
      </c>
      <c r="C195" s="14">
        <v>44388.21875</v>
      </c>
      <c r="D195" s="15">
        <v>0.89677347093101123</v>
      </c>
      <c r="E195" s="20">
        <v>2261.9999999999995</v>
      </c>
      <c r="F195" s="17">
        <v>2274.7137696259747</v>
      </c>
      <c r="G195" s="17">
        <v>-12.713769625975146</v>
      </c>
      <c r="H195" s="17">
        <v>5.9056230854316842</v>
      </c>
      <c r="I195" s="17">
        <v>0.44208664898320088</v>
      </c>
      <c r="J195" s="17">
        <v>0.43961575005739184</v>
      </c>
      <c r="K195" s="17">
        <v>282.70221456862805</v>
      </c>
      <c r="L195" s="17">
        <v>86.04368074933376</v>
      </c>
      <c r="M195" s="17">
        <v>531.15393183375454</v>
      </c>
      <c r="N195" s="17">
        <v>240.70897021030041</v>
      </c>
      <c r="O195" s="20">
        <v>0</v>
      </c>
    </row>
    <row r="196" spans="2:15" x14ac:dyDescent="0.3">
      <c r="B196" s="13">
        <v>5206752</v>
      </c>
      <c r="C196" s="14">
        <v>44391.458333333336</v>
      </c>
      <c r="D196" s="15">
        <v>0.8489849265685625</v>
      </c>
      <c r="E196" s="20">
        <v>2262.0000000000005</v>
      </c>
      <c r="F196" s="17">
        <v>2261.9972374932509</v>
      </c>
      <c r="G196" s="17">
        <v>2.762506749604654E-3</v>
      </c>
      <c r="H196" s="17">
        <v>7.3584429590536091</v>
      </c>
      <c r="I196" s="17">
        <v>0.44208664898320066</v>
      </c>
      <c r="J196" s="17">
        <v>0.44208718888985099</v>
      </c>
      <c r="K196" s="17">
        <v>317.42546738871289</v>
      </c>
      <c r="L196" s="17">
        <v>0</v>
      </c>
      <c r="M196" s="17">
        <v>964.45985857746552</v>
      </c>
      <c r="N196" s="17">
        <v>557.7798252659735</v>
      </c>
      <c r="O196" s="20">
        <v>0</v>
      </c>
    </row>
    <row r="197" spans="2:15" x14ac:dyDescent="0.3">
      <c r="B197" s="13">
        <v>5208002</v>
      </c>
      <c r="C197" s="14">
        <v>44392.399305555555</v>
      </c>
      <c r="D197" s="15">
        <v>0.84884980038659541</v>
      </c>
      <c r="E197" s="20">
        <v>2262.0000000000005</v>
      </c>
      <c r="F197" s="17">
        <v>2261.9780645440837</v>
      </c>
      <c r="G197" s="17">
        <v>2.1935455916718638E-2</v>
      </c>
      <c r="H197" s="17">
        <v>6.745380575906375</v>
      </c>
      <c r="I197" s="17">
        <v>0.44208664898320055</v>
      </c>
      <c r="J197" s="17">
        <v>0.44209093610355432</v>
      </c>
      <c r="K197" s="17">
        <v>363.89024327962517</v>
      </c>
      <c r="L197" s="17">
        <v>0</v>
      </c>
      <c r="M197" s="17">
        <v>986.41378151933793</v>
      </c>
      <c r="N197" s="17">
        <v>667.6152323153035</v>
      </c>
      <c r="O197" s="20">
        <v>0</v>
      </c>
    </row>
    <row r="198" spans="2:15" x14ac:dyDescent="0.3">
      <c r="B198" s="13">
        <v>5209264</v>
      </c>
      <c r="C198" s="14">
        <v>44394.229166666664</v>
      </c>
      <c r="D198" s="15">
        <v>0.90037922015838101</v>
      </c>
      <c r="E198" s="20">
        <v>2262.0000000000005</v>
      </c>
      <c r="F198" s="17">
        <v>2272.2541886015274</v>
      </c>
      <c r="G198" s="17">
        <v>-10.254188601526948</v>
      </c>
      <c r="H198" s="17">
        <v>6.1746842479296369</v>
      </c>
      <c r="I198" s="17">
        <v>0.4420866489832006</v>
      </c>
      <c r="J198" s="17">
        <v>0.44009160815562454</v>
      </c>
      <c r="K198" s="17">
        <v>362.6694734577182</v>
      </c>
      <c r="L198" s="17">
        <v>0</v>
      </c>
      <c r="M198" s="17">
        <v>721.39273937103701</v>
      </c>
      <c r="N198" s="17">
        <v>311.57765797132754</v>
      </c>
      <c r="O198" s="20">
        <v>0</v>
      </c>
    </row>
    <row r="199" spans="2:15" x14ac:dyDescent="0.3">
      <c r="B199" s="13">
        <v>5209268</v>
      </c>
      <c r="C199" s="14">
        <v>44395.347222222219</v>
      </c>
      <c r="D199" s="15">
        <v>0.89943327778862059</v>
      </c>
      <c r="E199" s="20">
        <v>2261.9999999999995</v>
      </c>
      <c r="F199" s="17">
        <v>2262.0177012678055</v>
      </c>
      <c r="G199" s="17">
        <v>-1.770126780593273E-2</v>
      </c>
      <c r="H199" s="17">
        <v>6.8694745723483086</v>
      </c>
      <c r="I199" s="17">
        <v>0.44208664898320083</v>
      </c>
      <c r="J199" s="17">
        <v>0.44208318946378028</v>
      </c>
      <c r="K199" s="17">
        <v>333.35071246185976</v>
      </c>
      <c r="L199" s="17">
        <v>0.2509903191254243</v>
      </c>
      <c r="M199" s="17">
        <v>672.09849688633528</v>
      </c>
      <c r="N199" s="17">
        <v>370.74729089154221</v>
      </c>
      <c r="O199" s="20">
        <v>0</v>
      </c>
    </row>
    <row r="200" spans="2:15" x14ac:dyDescent="0.3">
      <c r="B200" s="13">
        <v>5209279</v>
      </c>
      <c r="C200" s="14">
        <v>44398.395833333336</v>
      </c>
      <c r="D200" s="15">
        <v>0.90115222367032721</v>
      </c>
      <c r="E200" s="20">
        <v>2261.9999999999995</v>
      </c>
      <c r="F200" s="17">
        <v>2244.0569656552084</v>
      </c>
      <c r="G200" s="17">
        <v>17.943034344791158</v>
      </c>
      <c r="H200" s="17">
        <v>5.8782254965457899</v>
      </c>
      <c r="I200" s="17">
        <v>0.44208664898320088</v>
      </c>
      <c r="J200" s="17">
        <v>0.44562148613193742</v>
      </c>
      <c r="K200" s="17">
        <v>326.42446166385008</v>
      </c>
      <c r="L200" s="17">
        <v>0</v>
      </c>
      <c r="M200" s="17">
        <v>906.1733078329213</v>
      </c>
      <c r="N200" s="17">
        <v>490.78849224902143</v>
      </c>
      <c r="O200" s="20">
        <v>0</v>
      </c>
    </row>
    <row r="201" spans="2:15" x14ac:dyDescent="0.3">
      <c r="B201" s="13">
        <v>5298998</v>
      </c>
      <c r="C201" s="14">
        <v>44530.291666666664</v>
      </c>
      <c r="D201" s="15">
        <v>0.90025931091531664</v>
      </c>
      <c r="E201" s="20">
        <v>2156</v>
      </c>
      <c r="F201" s="17">
        <v>2155.6856567643317</v>
      </c>
      <c r="G201" s="17">
        <v>0.31434323566827516</v>
      </c>
      <c r="H201" s="17">
        <v>7.2343182952863936</v>
      </c>
      <c r="I201" s="17">
        <v>0.463821892393321</v>
      </c>
      <c r="J201" s="17">
        <v>0.46388952714979453</v>
      </c>
      <c r="K201" s="17">
        <v>409.10216969890905</v>
      </c>
      <c r="L201" s="17">
        <v>0</v>
      </c>
      <c r="M201" s="17">
        <v>1134.3960553300726</v>
      </c>
      <c r="N201" s="17">
        <v>192.20851892490663</v>
      </c>
      <c r="O201" s="20">
        <v>0</v>
      </c>
    </row>
    <row r="202" spans="2:15" x14ac:dyDescent="0.3">
      <c r="B202" s="4">
        <v>5316928</v>
      </c>
      <c r="C202" s="6">
        <v>44562.291666666664</v>
      </c>
      <c r="D202" s="8">
        <v>1.210874901437254</v>
      </c>
      <c r="E202" s="19">
        <v>2156.0000000000005</v>
      </c>
      <c r="F202" s="7">
        <v>2053.5131057460735</v>
      </c>
      <c r="G202" s="7">
        <v>102.48689425392695</v>
      </c>
      <c r="H202" s="7">
        <v>7.8267277694713364</v>
      </c>
      <c r="I202" s="7">
        <v>0.46382189239332089</v>
      </c>
      <c r="J202" s="7">
        <v>0.48697035202835215</v>
      </c>
      <c r="K202" s="7">
        <v>278.49595545314759</v>
      </c>
      <c r="L202" s="7">
        <v>475.29368920424986</v>
      </c>
      <c r="M202" s="7">
        <v>280.43615677955393</v>
      </c>
      <c r="N202" s="7">
        <v>1085.566385774142</v>
      </c>
      <c r="O202" s="19">
        <v>0</v>
      </c>
    </row>
    <row r="203" spans="2:15" x14ac:dyDescent="0.3">
      <c r="B203" s="4">
        <v>5317177</v>
      </c>
      <c r="C203" s="6">
        <v>45121.291666666664</v>
      </c>
      <c r="D203" s="8">
        <v>0.79286677604161282</v>
      </c>
      <c r="E203" s="19">
        <v>2156</v>
      </c>
      <c r="F203" s="7">
        <v>2156.0064903415991</v>
      </c>
      <c r="G203" s="7">
        <v>-6.4903415991466318E-3</v>
      </c>
      <c r="H203" s="7">
        <v>8.5671993805411084</v>
      </c>
      <c r="I203" s="7">
        <v>0.46382189239332094</v>
      </c>
      <c r="J203" s="7">
        <v>0.46382049612548215</v>
      </c>
      <c r="K203" s="7">
        <v>183.9311891655218</v>
      </c>
      <c r="L203" s="7">
        <v>0</v>
      </c>
      <c r="M203" s="7">
        <v>422.33638574304234</v>
      </c>
      <c r="N203" s="7">
        <v>403.24208076101525</v>
      </c>
      <c r="O203" s="19">
        <v>0</v>
      </c>
    </row>
    <row r="204" spans="2:15" x14ac:dyDescent="0.3">
      <c r="B204" s="4">
        <v>5326594</v>
      </c>
      <c r="C204" s="6">
        <v>44607.534722222219</v>
      </c>
      <c r="D204" s="8">
        <v>0.77619048985921513</v>
      </c>
      <c r="E204" s="19">
        <v>2155.9999999999995</v>
      </c>
      <c r="F204" s="7">
        <v>1900.9155097755304</v>
      </c>
      <c r="G204" s="7">
        <v>255.08449022446916</v>
      </c>
      <c r="H204" s="7">
        <v>7.9531902906446694</v>
      </c>
      <c r="I204" s="7">
        <v>0.463821892393321</v>
      </c>
      <c r="J204" s="7">
        <v>0.52606230779719665</v>
      </c>
      <c r="K204" s="7">
        <v>293.47366842980142</v>
      </c>
      <c r="L204" s="7">
        <v>0</v>
      </c>
      <c r="M204" s="7">
        <v>216.65948080202088</v>
      </c>
      <c r="N204" s="7">
        <v>210.08946698024681</v>
      </c>
      <c r="O204" s="19">
        <v>0</v>
      </c>
    </row>
    <row r="205" spans="2:15" x14ac:dyDescent="0.3">
      <c r="B205" s="4">
        <v>5327283</v>
      </c>
      <c r="C205" s="6">
        <v>44612.916666666664</v>
      </c>
      <c r="D205" s="8">
        <v>0.8466778840346022</v>
      </c>
      <c r="E205" s="19">
        <v>2156.0000000000005</v>
      </c>
      <c r="F205" s="7">
        <v>2289.6535892989873</v>
      </c>
      <c r="G205" s="7">
        <v>-133.65358929898684</v>
      </c>
      <c r="H205" s="7">
        <v>7.8178066232502603</v>
      </c>
      <c r="I205" s="7">
        <v>0.46382189239332083</v>
      </c>
      <c r="J205" s="7">
        <v>0.43674728992789053</v>
      </c>
      <c r="K205" s="7">
        <v>309.32764104439121</v>
      </c>
      <c r="L205" s="7">
        <v>0</v>
      </c>
      <c r="M205" s="7">
        <v>754.11395124215812</v>
      </c>
      <c r="N205" s="7">
        <v>376.74374994665789</v>
      </c>
      <c r="O205" s="19">
        <v>0</v>
      </c>
    </row>
    <row r="206" spans="2:15" x14ac:dyDescent="0.3">
      <c r="B206" s="4">
        <v>5327693</v>
      </c>
      <c r="C206" s="6">
        <v>44621.291666666664</v>
      </c>
      <c r="D206" s="8">
        <v>1.1198748567197279</v>
      </c>
      <c r="E206" s="19">
        <v>2155.9999999999995</v>
      </c>
      <c r="F206" s="7">
        <v>1944.4586053338435</v>
      </c>
      <c r="G206" s="7">
        <v>211.54139466615607</v>
      </c>
      <c r="H206" s="7">
        <v>8.8629098247192264</v>
      </c>
      <c r="I206" s="7">
        <v>0.46382189239332106</v>
      </c>
      <c r="J206" s="7">
        <v>0.51428196890224376</v>
      </c>
      <c r="K206" s="7">
        <v>276.12394602805779</v>
      </c>
      <c r="L206" s="7">
        <v>74.152143698971301</v>
      </c>
      <c r="M206" s="7">
        <v>540.48406595820427</v>
      </c>
      <c r="N206" s="7">
        <v>375.66513374993326</v>
      </c>
      <c r="O206" s="19">
        <v>0</v>
      </c>
    </row>
    <row r="207" spans="2:15" x14ac:dyDescent="0.3">
      <c r="B207" s="4">
        <v>5328119</v>
      </c>
      <c r="C207" s="6">
        <v>44626.958333333336</v>
      </c>
      <c r="D207" s="8">
        <v>0.7861302975330382</v>
      </c>
      <c r="E207" s="19">
        <v>2155.9999999999995</v>
      </c>
      <c r="F207" s="7">
        <v>1900.2919084940143</v>
      </c>
      <c r="G207" s="7">
        <v>255.70809150598529</v>
      </c>
      <c r="H207" s="7">
        <v>7.7274173344469226</v>
      </c>
      <c r="I207" s="7">
        <v>0.463821892393321</v>
      </c>
      <c r="J207" s="7">
        <v>0.5262349408162782</v>
      </c>
      <c r="K207" s="7">
        <v>320.93803308208857</v>
      </c>
      <c r="L207" s="7">
        <v>0</v>
      </c>
      <c r="M207" s="7">
        <v>784.12179772149307</v>
      </c>
      <c r="N207" s="7">
        <v>468.46927736874358</v>
      </c>
      <c r="O207" s="19">
        <v>0</v>
      </c>
    </row>
    <row r="208" spans="2:15" x14ac:dyDescent="0.3">
      <c r="B208" s="4">
        <v>5328583</v>
      </c>
      <c r="C208" s="6">
        <v>44630.170138888891</v>
      </c>
      <c r="D208" s="8">
        <v>0.87575872990895598</v>
      </c>
      <c r="E208" s="19">
        <v>2155.9999999999995</v>
      </c>
      <c r="F208" s="7">
        <v>3941.1801682292507</v>
      </c>
      <c r="G208" s="7">
        <v>-1785.1801682292512</v>
      </c>
      <c r="H208" s="7">
        <v>6.5542806330602188</v>
      </c>
      <c r="I208" s="7">
        <v>0.46382189239332111</v>
      </c>
      <c r="J208" s="7">
        <v>0.25373110523117604</v>
      </c>
      <c r="K208" s="7">
        <v>293.68709058813778</v>
      </c>
      <c r="L208" s="7">
        <v>9.5014144948376611</v>
      </c>
      <c r="M208" s="7">
        <v>817.2833900706064</v>
      </c>
      <c r="N208" s="7">
        <v>473.83045208902342</v>
      </c>
      <c r="O208" s="19">
        <v>0</v>
      </c>
    </row>
    <row r="209" spans="2:15" x14ac:dyDescent="0.3">
      <c r="B209" s="4">
        <v>5329336</v>
      </c>
      <c r="C209" s="6">
        <v>44637.878472222219</v>
      </c>
      <c r="D209" s="8">
        <v>0.97950389363775081</v>
      </c>
      <c r="E209" s="19">
        <v>2156</v>
      </c>
      <c r="F209" s="7">
        <v>2013.6993087068327</v>
      </c>
      <c r="G209" s="7">
        <v>142.30069129316735</v>
      </c>
      <c r="H209" s="7">
        <v>7.7396839968182816</v>
      </c>
      <c r="I209" s="7">
        <v>0.46382189239332094</v>
      </c>
      <c r="J209" s="7">
        <v>0.49659847211358721</v>
      </c>
      <c r="K209" s="7">
        <v>285.73105673063958</v>
      </c>
      <c r="L209" s="7">
        <v>507.60013563690967</v>
      </c>
      <c r="M209" s="7">
        <v>246.76887003769085</v>
      </c>
      <c r="N209" s="7">
        <v>850.49329099431532</v>
      </c>
      <c r="O209" s="19">
        <v>0</v>
      </c>
    </row>
    <row r="210" spans="2:15" x14ac:dyDescent="0.3">
      <c r="B210" s="4">
        <v>5344935</v>
      </c>
      <c r="C210" s="6">
        <v>44717.9375</v>
      </c>
      <c r="D210" s="8">
        <v>1.2234890896565558</v>
      </c>
      <c r="E210" s="19">
        <v>2200.7000087465517</v>
      </c>
      <c r="F210" s="7">
        <v>2027.6084668547617</v>
      </c>
      <c r="G210" s="7">
        <v>173.09154189179003</v>
      </c>
      <c r="H210" s="7">
        <v>5.9114248750583478</v>
      </c>
      <c r="I210" s="7">
        <v>0.45440087064368573</v>
      </c>
      <c r="J210" s="7">
        <v>0.49319186437961859</v>
      </c>
      <c r="K210" s="7">
        <v>272.73784140673348</v>
      </c>
      <c r="L210" s="7">
        <v>142.35496610112003</v>
      </c>
      <c r="M210" s="7">
        <v>527.69568580149303</v>
      </c>
      <c r="N210" s="7">
        <v>446.09742607217368</v>
      </c>
      <c r="O210" s="19">
        <v>0</v>
      </c>
    </row>
    <row r="211" spans="2:15" x14ac:dyDescent="0.3">
      <c r="B211" s="4">
        <v>5346247</v>
      </c>
      <c r="C211" s="6">
        <v>44728.0625</v>
      </c>
      <c r="D211" s="8">
        <v>0.89418856061471452</v>
      </c>
      <c r="E211" s="19">
        <v>2262</v>
      </c>
      <c r="F211" s="7">
        <v>1971.2862958532114</v>
      </c>
      <c r="G211" s="7">
        <v>290.71370414678859</v>
      </c>
      <c r="H211" s="7">
        <v>5.0847200097227567</v>
      </c>
      <c r="I211" s="7">
        <v>0.44208664898320071</v>
      </c>
      <c r="J211" s="7">
        <v>0.50728298680084938</v>
      </c>
      <c r="K211" s="7">
        <v>287.0690819466634</v>
      </c>
      <c r="L211" s="7">
        <v>213.00917938550006</v>
      </c>
      <c r="M211" s="7">
        <v>473.23206644503267</v>
      </c>
      <c r="N211" s="7">
        <v>439.60517619736947</v>
      </c>
      <c r="O211" s="19">
        <v>0</v>
      </c>
    </row>
    <row r="212" spans="2:15" x14ac:dyDescent="0.3">
      <c r="B212" s="4">
        <v>5347045</v>
      </c>
      <c r="C212" s="6">
        <v>44736.770833333336</v>
      </c>
      <c r="D212" s="8">
        <v>1.3437369217315753</v>
      </c>
      <c r="E212" s="19">
        <v>2262.0000000000005</v>
      </c>
      <c r="F212" s="7">
        <v>2066.216103860565</v>
      </c>
      <c r="G212" s="7">
        <v>195.78389613943546</v>
      </c>
      <c r="H212" s="7">
        <v>5.1707567133357202</v>
      </c>
      <c r="I212" s="7">
        <v>0.4420866489832006</v>
      </c>
      <c r="J212" s="7">
        <v>0.48397648151690292</v>
      </c>
      <c r="K212" s="7">
        <v>333.75982676991708</v>
      </c>
      <c r="L212" s="7">
        <v>0</v>
      </c>
      <c r="M212" s="7">
        <v>920.90109484999175</v>
      </c>
      <c r="N212" s="7">
        <v>410.4028614421162</v>
      </c>
      <c r="O212" s="19">
        <v>0</v>
      </c>
    </row>
    <row r="213" spans="2:15" x14ac:dyDescent="0.3">
      <c r="B213" s="4">
        <v>5348079</v>
      </c>
      <c r="C213" s="6">
        <v>44765.048611111109</v>
      </c>
      <c r="D213" s="8">
        <v>1.1484125840148312</v>
      </c>
      <c r="E213" s="19">
        <v>2156</v>
      </c>
      <c r="F213" s="7">
        <v>2011.6150845946606</v>
      </c>
      <c r="G213" s="7">
        <v>144.38491540533937</v>
      </c>
      <c r="H213" s="7">
        <v>5.0798132134580074</v>
      </c>
      <c r="I213" s="7">
        <v>0.463821892393321</v>
      </c>
      <c r="J213" s="7">
        <v>0.4971129952535126</v>
      </c>
      <c r="K213" s="7">
        <v>336.79343070705789</v>
      </c>
      <c r="L213" s="7">
        <v>0</v>
      </c>
      <c r="M213" s="7">
        <v>737.42786448188167</v>
      </c>
      <c r="N213" s="7">
        <v>1.574538939987449E-4</v>
      </c>
      <c r="O213" s="19">
        <v>0</v>
      </c>
    </row>
    <row r="214" spans="2:15" x14ac:dyDescent="0.3">
      <c r="B214" s="4">
        <v>5348107</v>
      </c>
      <c r="C214" s="6">
        <v>44774.291666666664</v>
      </c>
      <c r="D214" s="8">
        <v>1.1415639063133818</v>
      </c>
      <c r="E214" s="19">
        <v>2156</v>
      </c>
      <c r="F214" s="7">
        <v>2007.5492152116392</v>
      </c>
      <c r="G214" s="7">
        <v>148.45078478836081</v>
      </c>
      <c r="H214" s="7">
        <v>5.0558035582691048</v>
      </c>
      <c r="I214" s="7">
        <v>0.46382189239332106</v>
      </c>
      <c r="J214" s="7">
        <v>0.49811979323982764</v>
      </c>
      <c r="K214" s="7">
        <v>268.02231299193113</v>
      </c>
      <c r="L214" s="7">
        <v>300.25259140988402</v>
      </c>
      <c r="M214" s="7">
        <v>452.23390940983882</v>
      </c>
      <c r="N214" s="7">
        <v>345.18791272297307</v>
      </c>
      <c r="O214" s="19">
        <v>0</v>
      </c>
    </row>
    <row r="215" spans="2:15" x14ac:dyDescent="0.3">
      <c r="B215" s="4">
        <v>5350342</v>
      </c>
      <c r="C215" s="6">
        <v>44775.850694444445</v>
      </c>
      <c r="D215" s="8">
        <v>0.90143038896272853</v>
      </c>
      <c r="E215" s="19">
        <v>2156.0000000000009</v>
      </c>
      <c r="F215" s="7">
        <v>1890.9881425763167</v>
      </c>
      <c r="G215" s="7">
        <v>265.01185742368421</v>
      </c>
      <c r="H215" s="7">
        <v>5.016231309122114</v>
      </c>
      <c r="I215" s="7">
        <v>0.46382189239332083</v>
      </c>
      <c r="J215" s="7">
        <v>0.52882404573810904</v>
      </c>
      <c r="K215" s="7">
        <v>344.49391896217327</v>
      </c>
      <c r="L215" s="7">
        <v>382.19352389435909</v>
      </c>
      <c r="M215" s="7">
        <v>106.49314290033689</v>
      </c>
      <c r="N215" s="7">
        <v>198.01689494055665</v>
      </c>
      <c r="O215" s="19">
        <v>0</v>
      </c>
    </row>
    <row r="216" spans="2:15" x14ac:dyDescent="0.3">
      <c r="B216" s="4">
        <v>5355396</v>
      </c>
      <c r="C216" s="6">
        <v>44830.638888888891</v>
      </c>
      <c r="D216" s="8">
        <v>0.79807138036161429</v>
      </c>
      <c r="E216" s="19">
        <v>2156.0000000000009</v>
      </c>
      <c r="F216" s="7">
        <v>1967.0032691795368</v>
      </c>
      <c r="G216" s="7">
        <v>188.99673082046411</v>
      </c>
      <c r="H216" s="7">
        <v>5.9485337319292189</v>
      </c>
      <c r="I216" s="7">
        <v>0.46382189239332078</v>
      </c>
      <c r="J216" s="7">
        <v>0.50838756379754935</v>
      </c>
      <c r="K216" s="7">
        <v>209.26688577026522</v>
      </c>
      <c r="L216" s="7">
        <v>0</v>
      </c>
      <c r="M216" s="7">
        <v>708.59045316445497</v>
      </c>
      <c r="N216" s="7">
        <v>454.27897950142159</v>
      </c>
      <c r="O216" s="19">
        <v>0</v>
      </c>
    </row>
    <row r="217" spans="2:15" x14ac:dyDescent="0.3">
      <c r="B217" s="4">
        <v>5355758</v>
      </c>
      <c r="C217" s="6">
        <v>44833.305555555555</v>
      </c>
      <c r="D217" s="8">
        <v>1.1398004606065706</v>
      </c>
      <c r="E217" s="19">
        <v>2155.9999999999991</v>
      </c>
      <c r="F217" s="7">
        <v>1998.2498170960664</v>
      </c>
      <c r="G217" s="7">
        <v>157.75018290393268</v>
      </c>
      <c r="H217" s="7">
        <v>5.6755461740889093</v>
      </c>
      <c r="I217" s="7">
        <v>0.46382189239332117</v>
      </c>
      <c r="J217" s="7">
        <v>0.50043792895386752</v>
      </c>
      <c r="K217" s="7">
        <v>236.62833042041385</v>
      </c>
      <c r="L217" s="7">
        <v>0</v>
      </c>
      <c r="M217" s="7">
        <v>1123.6345000555064</v>
      </c>
      <c r="N217" s="7">
        <v>542.59725637916392</v>
      </c>
      <c r="O217" s="19">
        <v>0</v>
      </c>
    </row>
    <row r="218" spans="2:15" x14ac:dyDescent="0.3">
      <c r="B218" s="4">
        <v>5355960</v>
      </c>
      <c r="C218" s="6">
        <v>44836.291666666664</v>
      </c>
      <c r="D218" s="8">
        <v>1.0447121827067343</v>
      </c>
      <c r="E218" s="19">
        <v>2155.9999999999995</v>
      </c>
      <c r="F218" s="7">
        <v>3305.8481503636153</v>
      </c>
      <c r="G218" s="7">
        <v>-1149.8481503636158</v>
      </c>
      <c r="H218" s="7">
        <v>6.6277342945679489</v>
      </c>
      <c r="I218" s="7">
        <v>0.463821892393321</v>
      </c>
      <c r="J218" s="7">
        <v>0.30249423280074383</v>
      </c>
      <c r="K218" s="7">
        <v>278.5392298332003</v>
      </c>
      <c r="L218" s="7">
        <v>0</v>
      </c>
      <c r="M218" s="7">
        <v>961.34614313022416</v>
      </c>
      <c r="N218" s="7">
        <v>518.29894859077467</v>
      </c>
      <c r="O218" s="19">
        <v>0</v>
      </c>
    </row>
    <row r="219" spans="2:15" x14ac:dyDescent="0.3">
      <c r="B219" s="4">
        <v>5356457</v>
      </c>
      <c r="C219" s="6">
        <v>44841.364583333336</v>
      </c>
      <c r="D219" s="8">
        <v>1.1412764478334945</v>
      </c>
      <c r="E219" s="19">
        <v>2156</v>
      </c>
      <c r="F219" s="7">
        <v>2000.688544844003</v>
      </c>
      <c r="G219" s="7">
        <v>155.31145515599701</v>
      </c>
      <c r="H219" s="7">
        <v>8.406232016558473</v>
      </c>
      <c r="I219" s="7">
        <v>0.463821892393321</v>
      </c>
      <c r="J219" s="7">
        <v>0.49982792303035434</v>
      </c>
      <c r="K219" s="7">
        <v>240.83335919759381</v>
      </c>
      <c r="L219" s="7">
        <v>48.16818950050294</v>
      </c>
      <c r="M219" s="7">
        <v>825.62400196995122</v>
      </c>
      <c r="N219" s="7">
        <v>521.65087129829647</v>
      </c>
      <c r="O219" s="19">
        <v>0</v>
      </c>
    </row>
    <row r="220" spans="2:15" x14ac:dyDescent="0.3">
      <c r="B220" s="4">
        <v>5356816</v>
      </c>
      <c r="C220" s="6">
        <v>44846.666666666664</v>
      </c>
      <c r="D220" s="8">
        <v>0.88471473794926159</v>
      </c>
      <c r="E220" s="19">
        <v>2156.0000000000005</v>
      </c>
      <c r="F220" s="7">
        <v>2045.6243147515158</v>
      </c>
      <c r="G220" s="7">
        <v>110.37568524848461</v>
      </c>
      <c r="H220" s="7">
        <v>5.9410476114063977</v>
      </c>
      <c r="I220" s="7">
        <v>0.46382189239332094</v>
      </c>
      <c r="J220" s="7">
        <v>0.48884831529853562</v>
      </c>
      <c r="K220" s="7">
        <v>229.62419469775961</v>
      </c>
      <c r="L220" s="7">
        <v>0</v>
      </c>
      <c r="M220" s="7">
        <v>883.30360744778693</v>
      </c>
      <c r="N220" s="7">
        <v>561.5498219092309</v>
      </c>
      <c r="O220" s="19">
        <v>0</v>
      </c>
    </row>
    <row r="221" spans="2:15" x14ac:dyDescent="0.3">
      <c r="B221" s="13">
        <v>5360109</v>
      </c>
      <c r="C221" s="14">
        <v>44889.895833333336</v>
      </c>
      <c r="D221" s="15">
        <v>0.77092514932370093</v>
      </c>
      <c r="E221" s="20">
        <v>2156</v>
      </c>
      <c r="F221" s="17">
        <v>2089.2551250504935</v>
      </c>
      <c r="G221" s="17">
        <v>66.744874949506539</v>
      </c>
      <c r="H221" s="17">
        <v>6.8416618486047138</v>
      </c>
      <c r="I221" s="17">
        <v>0.46382189239332094</v>
      </c>
      <c r="J221" s="17">
        <v>0.47863948639390402</v>
      </c>
      <c r="K221" s="17">
        <v>237.46862491133075</v>
      </c>
      <c r="L221" s="17">
        <v>319.72353821043572</v>
      </c>
      <c r="M221" s="17">
        <v>0</v>
      </c>
      <c r="N221" s="17">
        <v>111.37898144171682</v>
      </c>
      <c r="O221" s="20">
        <v>0</v>
      </c>
    </row>
    <row r="222" spans="2:15" x14ac:dyDescent="0.3">
      <c r="B222" s="4">
        <v>5360176</v>
      </c>
      <c r="C222" s="6">
        <v>44896.291666666664</v>
      </c>
      <c r="D222" s="8">
        <v>0.95031383783082013</v>
      </c>
      <c r="E222" s="19">
        <v>2156.0000000000009</v>
      </c>
      <c r="F222" s="7">
        <v>2472.0381961046692</v>
      </c>
      <c r="G222" s="7">
        <v>-316.03819610466826</v>
      </c>
      <c r="H222" s="7">
        <v>9.302143587249283</v>
      </c>
      <c r="I222" s="7">
        <v>0.46382189239332078</v>
      </c>
      <c r="J222" s="7">
        <v>0.40452449382689826</v>
      </c>
      <c r="K222" s="7">
        <v>260.09517938107433</v>
      </c>
      <c r="L222" s="7">
        <v>104.32221967307098</v>
      </c>
      <c r="M222" s="7">
        <v>718.67338872030018</v>
      </c>
      <c r="N222" s="7">
        <v>518.24255430657354</v>
      </c>
      <c r="O222" s="19">
        <v>0</v>
      </c>
    </row>
    <row r="223" spans="2:15" x14ac:dyDescent="0.3">
      <c r="B223" s="13">
        <v>5362428</v>
      </c>
      <c r="C223" s="14">
        <v>44924.385416666664</v>
      </c>
      <c r="D223" s="15">
        <v>0.90951120344386138</v>
      </c>
      <c r="E223" s="20">
        <v>2156.0000000000009</v>
      </c>
      <c r="F223" s="17">
        <v>2193.6597902580847</v>
      </c>
      <c r="G223" s="17">
        <v>-37.659790258083831</v>
      </c>
      <c r="H223" s="17">
        <v>8.0726655626539863</v>
      </c>
      <c r="I223" s="17">
        <v>0.46382189239332078</v>
      </c>
      <c r="J223" s="17">
        <v>0.45585920134058239</v>
      </c>
      <c r="K223" s="17">
        <v>244.81658782007327</v>
      </c>
      <c r="L223" s="17">
        <v>85.434318883154305</v>
      </c>
      <c r="M223" s="17">
        <v>581.27538995367638</v>
      </c>
      <c r="N223" s="17">
        <v>425.48324891928553</v>
      </c>
      <c r="O223" s="20">
        <v>0</v>
      </c>
    </row>
    <row r="224" spans="2:15" x14ac:dyDescent="0.3">
      <c r="B224" s="4">
        <v>5362964</v>
      </c>
      <c r="C224" s="6">
        <v>44927.291666666664</v>
      </c>
      <c r="D224" s="8">
        <v>1.1741026878187979</v>
      </c>
      <c r="E224" s="19">
        <v>2156.0000000000005</v>
      </c>
      <c r="F224" s="7">
        <v>3183.782871498338</v>
      </c>
      <c r="G224" s="7">
        <v>-1027.7828714983375</v>
      </c>
      <c r="H224" s="7">
        <v>5.0043619126081467</v>
      </c>
      <c r="I224" s="7">
        <v>0.46382189239332083</v>
      </c>
      <c r="J224" s="7">
        <v>0.31409177081519518</v>
      </c>
      <c r="K224" s="7">
        <v>370.88458694733743</v>
      </c>
      <c r="L224" s="7">
        <v>0</v>
      </c>
      <c r="M224" s="7">
        <v>964.54781530178786</v>
      </c>
      <c r="N224" s="7">
        <v>628.26451978029093</v>
      </c>
      <c r="O224" s="19">
        <v>0</v>
      </c>
    </row>
    <row r="225" spans="2:15" x14ac:dyDescent="0.3">
      <c r="B225" s="4">
        <v>5363536</v>
      </c>
      <c r="C225" s="6">
        <v>44932.527777777781</v>
      </c>
      <c r="D225" s="8">
        <v>1.0301361661062423</v>
      </c>
      <c r="E225" s="19">
        <v>2156.0000000000005</v>
      </c>
      <c r="F225" s="7">
        <v>2493.0728743530367</v>
      </c>
      <c r="G225" s="7">
        <v>-337.07287435303624</v>
      </c>
      <c r="H225" s="7">
        <v>9.365521981415764</v>
      </c>
      <c r="I225" s="7">
        <v>0.46382189239332094</v>
      </c>
      <c r="J225" s="7">
        <v>0.40111141968102487</v>
      </c>
      <c r="K225" s="7">
        <v>225.54460459065473</v>
      </c>
      <c r="L225" s="7">
        <v>0</v>
      </c>
      <c r="M225" s="7">
        <v>779.86791171061805</v>
      </c>
      <c r="N225" s="7">
        <v>676.70175309058482</v>
      </c>
      <c r="O225" s="19">
        <v>0</v>
      </c>
    </row>
    <row r="226" spans="2:15" x14ac:dyDescent="0.3">
      <c r="B226" s="13">
        <v>5363631</v>
      </c>
      <c r="C226" s="14">
        <v>44930.28125</v>
      </c>
      <c r="D226" s="15">
        <v>0.89735170057386959</v>
      </c>
      <c r="E226" s="20">
        <v>2156.0000000000005</v>
      </c>
      <c r="F226" s="17">
        <v>2061.0628171219187</v>
      </c>
      <c r="G226" s="17">
        <v>94.937182878081785</v>
      </c>
      <c r="H226" s="17">
        <v>9.8528117938199191</v>
      </c>
      <c r="I226" s="17">
        <v>0.46382189239332078</v>
      </c>
      <c r="J226" s="17">
        <v>0.48518657058517334</v>
      </c>
      <c r="K226" s="17">
        <v>269.26302369465805</v>
      </c>
      <c r="L226" s="17">
        <v>401.99909678385063</v>
      </c>
      <c r="M226" s="17">
        <v>0</v>
      </c>
      <c r="N226" s="17">
        <v>176.64212507195302</v>
      </c>
      <c r="O226" s="20">
        <v>0</v>
      </c>
    </row>
    <row r="227" spans="2:15" x14ac:dyDescent="0.3">
      <c r="B227" s="4">
        <v>5368007</v>
      </c>
      <c r="C227" s="6">
        <v>44998.340277777781</v>
      </c>
      <c r="D227" s="8">
        <v>1.0454208664767803</v>
      </c>
      <c r="E227" s="19">
        <v>2155.9999999999991</v>
      </c>
      <c r="F227" s="7">
        <v>5862.414322272648</v>
      </c>
      <c r="G227" s="7">
        <v>-3706.4143222726489</v>
      </c>
      <c r="H227" s="7">
        <v>7.8305767079743749</v>
      </c>
      <c r="I227" s="7">
        <v>0.46382189239332117</v>
      </c>
      <c r="J227" s="7">
        <v>0.17057818588508356</v>
      </c>
      <c r="K227" s="7">
        <v>305.1853552093915</v>
      </c>
      <c r="L227" s="7">
        <v>34.822330783161135</v>
      </c>
      <c r="M227" s="7">
        <v>739.92866037923829</v>
      </c>
      <c r="N227" s="7">
        <v>413.70807214724874</v>
      </c>
      <c r="O227" s="19">
        <v>0</v>
      </c>
    </row>
    <row r="228" spans="2:15" x14ac:dyDescent="0.3">
      <c r="B228" s="4">
        <v>5369400</v>
      </c>
      <c r="C228" s="6">
        <v>45009.833333333336</v>
      </c>
      <c r="D228" s="8">
        <v>1.0958724126537778</v>
      </c>
      <c r="E228" s="19">
        <v>2156.0000000000005</v>
      </c>
      <c r="F228" s="7">
        <v>2752.2900283161275</v>
      </c>
      <c r="G228" s="7">
        <v>-596.29002831612706</v>
      </c>
      <c r="H228" s="7">
        <v>7.6006028180006071</v>
      </c>
      <c r="I228" s="7">
        <v>0.46382189239332094</v>
      </c>
      <c r="J228" s="7">
        <v>0.36333380192922754</v>
      </c>
      <c r="K228" s="7">
        <v>280.78558533785065</v>
      </c>
      <c r="L228" s="7">
        <v>49.965927257740795</v>
      </c>
      <c r="M228" s="7">
        <v>745.78309349063534</v>
      </c>
      <c r="N228" s="7">
        <v>464.45335734906729</v>
      </c>
      <c r="O228" s="19">
        <v>0</v>
      </c>
    </row>
    <row r="229" spans="2:15" x14ac:dyDescent="0.3">
      <c r="B229" s="13">
        <v>5375849</v>
      </c>
      <c r="C229" s="14">
        <v>45105.125</v>
      </c>
      <c r="D229" s="15">
        <v>0.77454346143426089</v>
      </c>
      <c r="E229" s="20">
        <v>2155.9999999999995</v>
      </c>
      <c r="F229" s="17">
        <v>2155.9973214955303</v>
      </c>
      <c r="G229" s="17">
        <v>2.6785044692587689E-3</v>
      </c>
      <c r="H229" s="17">
        <v>7.5655013654770729</v>
      </c>
      <c r="I229" s="17">
        <v>0.463821892393321</v>
      </c>
      <c r="J229" s="17">
        <v>0.46382246862270654</v>
      </c>
      <c r="K229" s="17">
        <v>239.61264939415818</v>
      </c>
      <c r="L229" s="17">
        <v>23.520723326080461</v>
      </c>
      <c r="M229" s="17">
        <v>606.87885679235546</v>
      </c>
      <c r="N229" s="17">
        <v>381.53338277898087</v>
      </c>
      <c r="O229" s="20">
        <v>0</v>
      </c>
    </row>
    <row r="230" spans="2:15" x14ac:dyDescent="0.3">
      <c r="B230" s="4">
        <v>5376301</v>
      </c>
      <c r="C230" s="6">
        <v>45109.163194444445</v>
      </c>
      <c r="D230" s="8">
        <v>1.0268173124296236</v>
      </c>
      <c r="E230" s="19">
        <v>2156.0000000000005</v>
      </c>
      <c r="F230" s="7">
        <v>2696.2973739325289</v>
      </c>
      <c r="G230" s="7">
        <v>-540.29737393252844</v>
      </c>
      <c r="H230" s="7">
        <v>6.3466710346386224</v>
      </c>
      <c r="I230" s="7">
        <v>0.46382189239332089</v>
      </c>
      <c r="J230" s="7">
        <v>0.37087897264889136</v>
      </c>
      <c r="K230" s="7">
        <v>247.15690230901026</v>
      </c>
      <c r="L230" s="7">
        <v>98.412280779137191</v>
      </c>
      <c r="M230" s="7">
        <v>381.5214234959264</v>
      </c>
      <c r="N230" s="7">
        <v>298.45970843596098</v>
      </c>
      <c r="O230" s="19">
        <v>0</v>
      </c>
    </row>
    <row r="231" spans="2:15" x14ac:dyDescent="0.3">
      <c r="B231" s="4">
        <v>5376742</v>
      </c>
      <c r="C231" s="6">
        <v>45112.802083333336</v>
      </c>
      <c r="D231" s="8">
        <v>0.94943063662214455</v>
      </c>
      <c r="E231" s="19">
        <v>2156.0000000000009</v>
      </c>
      <c r="F231" s="7">
        <v>2523.7704737260069</v>
      </c>
      <c r="G231" s="7">
        <v>-367.770473726006</v>
      </c>
      <c r="H231" s="7">
        <v>8.3695963296054465</v>
      </c>
      <c r="I231" s="7">
        <v>0.46382189239332078</v>
      </c>
      <c r="J231" s="7">
        <v>0.39623254587158824</v>
      </c>
      <c r="K231" s="7">
        <v>202.81930285013141</v>
      </c>
      <c r="L231" s="7">
        <v>2.3130637004247743</v>
      </c>
      <c r="M231" s="7">
        <v>661.46424043279944</v>
      </c>
      <c r="N231" s="7">
        <v>427.25720397760148</v>
      </c>
      <c r="O231" s="19">
        <v>0</v>
      </c>
    </row>
    <row r="232" spans="2:15" x14ac:dyDescent="0.3">
      <c r="B232" s="13">
        <v>5376987</v>
      </c>
      <c r="C232" s="14">
        <v>45115.208333333336</v>
      </c>
      <c r="D232" s="15">
        <v>0.83651101132809536</v>
      </c>
      <c r="E232" s="20">
        <v>2156</v>
      </c>
      <c r="F232" s="17">
        <v>2155.9943643559386</v>
      </c>
      <c r="G232" s="17">
        <v>5.635644061385392E-3</v>
      </c>
      <c r="H232" s="17">
        <v>8.1125428488648854</v>
      </c>
      <c r="I232" s="17">
        <v>0.46382189239332094</v>
      </c>
      <c r="J232" s="17">
        <v>0.46382310479681182</v>
      </c>
      <c r="K232" s="17">
        <v>229.60287338948686</v>
      </c>
      <c r="L232" s="17">
        <v>0</v>
      </c>
      <c r="M232" s="17">
        <v>653.037216823775</v>
      </c>
      <c r="N232" s="17">
        <v>480.78453055317595</v>
      </c>
      <c r="O232" s="20">
        <v>0</v>
      </c>
    </row>
    <row r="233" spans="2:15" x14ac:dyDescent="0.3">
      <c r="B233" s="13">
        <v>5376990</v>
      </c>
      <c r="C233" s="14">
        <v>45116.215277777781</v>
      </c>
      <c r="D233" s="15">
        <v>0.85462745916064775</v>
      </c>
      <c r="E233" s="20">
        <v>2156.0000000000009</v>
      </c>
      <c r="F233" s="17">
        <v>2213.5185910101936</v>
      </c>
      <c r="G233" s="17">
        <v>-57.518591010192722</v>
      </c>
      <c r="H233" s="17">
        <v>7.266452698179517</v>
      </c>
      <c r="I233" s="17">
        <v>0.46382189239332078</v>
      </c>
      <c r="J233" s="17">
        <v>0.45176941547331906</v>
      </c>
      <c r="K233" s="17">
        <v>234.34794145481249</v>
      </c>
      <c r="L233" s="17">
        <v>27.686839526950077</v>
      </c>
      <c r="M233" s="17">
        <v>669.99206255378169</v>
      </c>
      <c r="N233" s="17">
        <v>436.94425198857266</v>
      </c>
      <c r="O233" s="20">
        <v>0</v>
      </c>
    </row>
    <row r="234" spans="2:15" x14ac:dyDescent="0.3">
      <c r="B234" s="13">
        <v>5377108</v>
      </c>
      <c r="C234" s="14">
        <v>45119.253472222219</v>
      </c>
      <c r="D234" s="15">
        <v>0.89593811111080524</v>
      </c>
      <c r="E234" s="20">
        <v>2155.9999999999995</v>
      </c>
      <c r="F234" s="17">
        <v>2156.1435541691085</v>
      </c>
      <c r="G234" s="17">
        <v>-0.14355416910893837</v>
      </c>
      <c r="H234" s="17">
        <v>8.247177216478212</v>
      </c>
      <c r="I234" s="17">
        <v>0.46382189239332111</v>
      </c>
      <c r="J234" s="17">
        <v>0.46379101153371954</v>
      </c>
      <c r="K234" s="17">
        <v>242.991802392935</v>
      </c>
      <c r="L234" s="17">
        <v>0</v>
      </c>
      <c r="M234" s="17">
        <v>743.94797871550622</v>
      </c>
      <c r="N234" s="17">
        <v>457.47566599049406</v>
      </c>
      <c r="O234" s="20">
        <v>0</v>
      </c>
    </row>
    <row r="235" spans="2:15" x14ac:dyDescent="0.3">
      <c r="B235" s="13">
        <v>5377174</v>
      </c>
      <c r="C235" s="14">
        <v>45120.197916666664</v>
      </c>
      <c r="D235" s="15">
        <v>0.76251464176601746</v>
      </c>
      <c r="E235" s="20">
        <v>2156</v>
      </c>
      <c r="F235" s="17">
        <v>2155.9853129865237</v>
      </c>
      <c r="G235" s="17">
        <v>1.4687013476304855E-2</v>
      </c>
      <c r="H235" s="17">
        <v>7.3057558206008064</v>
      </c>
      <c r="I235" s="17">
        <v>0.46382189239332094</v>
      </c>
      <c r="J235" s="17">
        <v>0.46382505204303803</v>
      </c>
      <c r="K235" s="17">
        <v>208.81238493748359</v>
      </c>
      <c r="L235" s="17">
        <v>0</v>
      </c>
      <c r="M235" s="17">
        <v>721.2017940010785</v>
      </c>
      <c r="N235" s="17">
        <v>376.85920960928996</v>
      </c>
      <c r="O235" s="20">
        <v>0</v>
      </c>
    </row>
    <row r="236" spans="2:15" x14ac:dyDescent="0.3">
      <c r="B236" s="13">
        <v>5377177</v>
      </c>
      <c r="C236" s="14">
        <v>45121.059027777781</v>
      </c>
      <c r="D236" s="15">
        <v>0.79281783767606884</v>
      </c>
      <c r="E236" s="20">
        <v>2155.9999999999995</v>
      </c>
      <c r="F236" s="17">
        <v>2155.995248418787</v>
      </c>
      <c r="G236" s="17">
        <v>4.7515812125311641E-3</v>
      </c>
      <c r="H236" s="17">
        <v>7.5106733993530277</v>
      </c>
      <c r="I236" s="17">
        <v>0.46382189239332106</v>
      </c>
      <c r="J236" s="17">
        <v>0.4638229146067937</v>
      </c>
      <c r="K236" s="17">
        <v>203.22702954036194</v>
      </c>
      <c r="L236" s="17">
        <v>0</v>
      </c>
      <c r="M236" s="17">
        <v>524.28388107522244</v>
      </c>
      <c r="N236" s="17">
        <v>391.28103350124144</v>
      </c>
      <c r="O236" s="20">
        <v>0</v>
      </c>
    </row>
    <row r="237" spans="2:15" x14ac:dyDescent="0.3">
      <c r="B237" s="4">
        <v>5377181</v>
      </c>
      <c r="C237" s="6">
        <v>45123.159722222219</v>
      </c>
      <c r="D237" s="8">
        <v>0.84170809872027585</v>
      </c>
      <c r="E237" s="19">
        <v>2156.0000000000005</v>
      </c>
      <c r="F237" s="7">
        <v>4966.0935837735733</v>
      </c>
      <c r="G237" s="7">
        <v>-2810.0935837735728</v>
      </c>
      <c r="H237" s="7">
        <v>6.4744902032979796</v>
      </c>
      <c r="I237" s="7">
        <v>0.46382189239332083</v>
      </c>
      <c r="J237" s="7">
        <v>0.20136551660392443</v>
      </c>
      <c r="K237" s="7">
        <v>266.31220264240949</v>
      </c>
      <c r="L237" s="7">
        <v>27.31075316190233</v>
      </c>
      <c r="M237" s="7">
        <v>582.15842934894749</v>
      </c>
      <c r="N237" s="7">
        <v>403.47259420938082</v>
      </c>
      <c r="O237" s="19">
        <v>0</v>
      </c>
    </row>
    <row r="238" spans="2:15" x14ac:dyDescent="0.3">
      <c r="B238" s="13">
        <v>5377184</v>
      </c>
      <c r="C238" s="14">
        <v>45124.291666666664</v>
      </c>
      <c r="D238" s="15">
        <v>0.83708440342326451</v>
      </c>
      <c r="E238" s="20">
        <v>2156.0000000000005</v>
      </c>
      <c r="F238" s="17">
        <v>2155.737656282653</v>
      </c>
      <c r="G238" s="17">
        <v>0.26234371734744855</v>
      </c>
      <c r="H238" s="17">
        <v>7.1599354836017053</v>
      </c>
      <c r="I238" s="17">
        <v>0.46382189239332089</v>
      </c>
      <c r="J238" s="17">
        <v>0.46387833746170987</v>
      </c>
      <c r="K238" s="17">
        <v>218.44090247841859</v>
      </c>
      <c r="L238" s="17">
        <v>0</v>
      </c>
      <c r="M238" s="17">
        <v>648.72202656301943</v>
      </c>
      <c r="N238" s="17">
        <v>479.37341994388294</v>
      </c>
      <c r="O238" s="20">
        <v>0</v>
      </c>
    </row>
    <row r="239" spans="2:15" x14ac:dyDescent="0.3">
      <c r="B239" s="4">
        <v>5380239</v>
      </c>
      <c r="C239" s="6">
        <v>45162.53125</v>
      </c>
      <c r="D239" s="8">
        <v>0.84459459459459463</v>
      </c>
      <c r="E239" s="19">
        <v>2156.0051175435792</v>
      </c>
      <c r="F239" s="7">
        <v>0</v>
      </c>
      <c r="G239" s="7">
        <v>2156.0051175435792</v>
      </c>
      <c r="I239" s="7">
        <v>0.4638207914549568</v>
      </c>
      <c r="J239" s="7">
        <v>0</v>
      </c>
      <c r="K239" s="7">
        <v>270.99744122821045</v>
      </c>
      <c r="L239" s="7">
        <v>71.994082840236686</v>
      </c>
      <c r="M239" s="7">
        <v>648.9884855269471</v>
      </c>
      <c r="N239" s="7">
        <v>403.98608667839437</v>
      </c>
      <c r="O239" s="19">
        <v>0</v>
      </c>
    </row>
    <row r="240" spans="2:15" x14ac:dyDescent="0.3">
      <c r="B240" s="3" t="s">
        <v>63</v>
      </c>
      <c r="C240" s="6">
        <v>44456.232638888861</v>
      </c>
      <c r="D240" s="8">
        <v>0.95200653286391035</v>
      </c>
      <c r="E240" s="19">
        <v>2197.4614479664424</v>
      </c>
      <c r="F240" s="7">
        <v>3109.2329866177179</v>
      </c>
      <c r="G240" s="7">
        <v>-911.7715386512748</v>
      </c>
      <c r="H240" s="7">
        <v>7.4718240866907335</v>
      </c>
      <c r="I240" s="7">
        <v>0.45530876042859153</v>
      </c>
      <c r="J240" s="7">
        <v>15.209621326432051</v>
      </c>
      <c r="K240" s="7">
        <v>270.95714808119448</v>
      </c>
      <c r="L240" s="7">
        <v>112.65783853538072</v>
      </c>
      <c r="M240" s="7">
        <v>622.16823070964313</v>
      </c>
      <c r="N240" s="7">
        <v>430.20637187541399</v>
      </c>
      <c r="O240" s="19">
        <v>0</v>
      </c>
    </row>
    <row r="241" spans="4:14" x14ac:dyDescent="0.3">
      <c r="D241"/>
      <c r="F241"/>
      <c r="G241"/>
      <c r="H241"/>
      <c r="I241"/>
      <c r="J241"/>
      <c r="K241"/>
      <c r="L241"/>
      <c r="M241"/>
      <c r="N241"/>
    </row>
    <row r="242" spans="4:14" x14ac:dyDescent="0.3">
      <c r="D242"/>
      <c r="F242"/>
      <c r="G242"/>
      <c r="H242"/>
      <c r="I242"/>
      <c r="J242"/>
      <c r="K242"/>
      <c r="L242"/>
      <c r="M242"/>
      <c r="N242"/>
    </row>
    <row r="243" spans="4:14" x14ac:dyDescent="0.3">
      <c r="D243"/>
      <c r="F243"/>
      <c r="G243"/>
      <c r="H243"/>
      <c r="I243"/>
      <c r="J243"/>
      <c r="K243"/>
      <c r="L243"/>
      <c r="M243"/>
      <c r="N243"/>
    </row>
    <row r="244" spans="4:14" x14ac:dyDescent="0.3">
      <c r="D244"/>
      <c r="F244"/>
      <c r="G244"/>
      <c r="H244"/>
      <c r="I244"/>
      <c r="J244"/>
      <c r="K244"/>
      <c r="L244"/>
      <c r="M244"/>
      <c r="N244"/>
    </row>
    <row r="245" spans="4:14" x14ac:dyDescent="0.3">
      <c r="D245"/>
      <c r="F245"/>
      <c r="G245"/>
      <c r="H245"/>
      <c r="I245"/>
      <c r="J245"/>
      <c r="K245"/>
      <c r="L245"/>
      <c r="M245"/>
      <c r="N245"/>
    </row>
    <row r="246" spans="4:14" x14ac:dyDescent="0.3">
      <c r="D246"/>
      <c r="F246"/>
      <c r="G246"/>
      <c r="H246"/>
      <c r="I246"/>
      <c r="J246"/>
      <c r="K246"/>
      <c r="L246"/>
      <c r="M246"/>
      <c r="N246"/>
    </row>
    <row r="247" spans="4:14" x14ac:dyDescent="0.3">
      <c r="D247"/>
      <c r="F247"/>
      <c r="G247"/>
      <c r="H247"/>
      <c r="I247"/>
      <c r="J247"/>
      <c r="K247"/>
      <c r="L247"/>
      <c r="M247"/>
      <c r="N247"/>
    </row>
    <row r="248" spans="4:14" x14ac:dyDescent="0.3">
      <c r="D248"/>
      <c r="F248"/>
      <c r="G248"/>
      <c r="H248"/>
      <c r="I248"/>
      <c r="J248"/>
    </row>
    <row r="249" spans="4:14" x14ac:dyDescent="0.3">
      <c r="D249"/>
      <c r="F249"/>
      <c r="G249"/>
      <c r="H249"/>
      <c r="I249"/>
      <c r="J249"/>
    </row>
    <row r="250" spans="4:14" x14ac:dyDescent="0.3">
      <c r="D250"/>
      <c r="F250"/>
      <c r="G250"/>
      <c r="H250"/>
      <c r="I250"/>
      <c r="J250"/>
    </row>
    <row r="251" spans="4:14" x14ac:dyDescent="0.3">
      <c r="D251"/>
      <c r="F251"/>
      <c r="G251"/>
      <c r="H251"/>
      <c r="I251"/>
      <c r="J251"/>
    </row>
    <row r="252" spans="4:14" x14ac:dyDescent="0.3">
      <c r="D252"/>
      <c r="F252"/>
      <c r="G252"/>
      <c r="H252"/>
      <c r="I252"/>
      <c r="J252"/>
    </row>
    <row r="253" spans="4:14" x14ac:dyDescent="0.3">
      <c r="D253"/>
      <c r="F253"/>
      <c r="G253"/>
      <c r="H253"/>
      <c r="I253"/>
      <c r="J253"/>
    </row>
    <row r="254" spans="4:14" x14ac:dyDescent="0.3">
      <c r="D254"/>
      <c r="F254"/>
      <c r="G254"/>
      <c r="H254"/>
      <c r="I254"/>
      <c r="J254"/>
    </row>
    <row r="255" spans="4:14" x14ac:dyDescent="0.3">
      <c r="D255"/>
      <c r="F255"/>
      <c r="G255"/>
      <c r="H255"/>
      <c r="I255"/>
      <c r="J255"/>
    </row>
    <row r="256" spans="4:14" x14ac:dyDescent="0.3">
      <c r="D256"/>
      <c r="F256"/>
      <c r="G256"/>
      <c r="H256"/>
      <c r="I256"/>
      <c r="J256"/>
    </row>
    <row r="257" spans="4:10" x14ac:dyDescent="0.3">
      <c r="D257"/>
      <c r="F257"/>
      <c r="G257"/>
      <c r="H257"/>
      <c r="I257"/>
      <c r="J257"/>
    </row>
    <row r="258" spans="4:10" x14ac:dyDescent="0.3">
      <c r="D258"/>
      <c r="F258"/>
      <c r="G258"/>
      <c r="H258"/>
      <c r="I258"/>
      <c r="J258"/>
    </row>
    <row r="259" spans="4:10" x14ac:dyDescent="0.3">
      <c r="D259"/>
      <c r="F259"/>
      <c r="G259"/>
      <c r="H259"/>
      <c r="I259"/>
      <c r="J259"/>
    </row>
    <row r="260" spans="4:10" x14ac:dyDescent="0.3">
      <c r="D260"/>
      <c r="F260"/>
      <c r="G260"/>
      <c r="H260"/>
      <c r="I260"/>
      <c r="J260"/>
    </row>
    <row r="261" spans="4:10" x14ac:dyDescent="0.3">
      <c r="D261"/>
      <c r="F261"/>
      <c r="G261"/>
      <c r="H261"/>
      <c r="I261"/>
      <c r="J261"/>
    </row>
    <row r="262" spans="4:10" x14ac:dyDescent="0.3">
      <c r="D262"/>
      <c r="F262"/>
      <c r="G262"/>
      <c r="H262"/>
      <c r="I262"/>
      <c r="J262"/>
    </row>
    <row r="263" spans="4:10" x14ac:dyDescent="0.3">
      <c r="D263"/>
      <c r="F263"/>
      <c r="G263"/>
      <c r="H263"/>
      <c r="I263"/>
      <c r="J263"/>
    </row>
    <row r="264" spans="4:10" x14ac:dyDescent="0.3">
      <c r="D264"/>
      <c r="F264"/>
      <c r="G264"/>
      <c r="H264"/>
      <c r="I264"/>
      <c r="J264"/>
    </row>
    <row r="265" spans="4:10" x14ac:dyDescent="0.3">
      <c r="D265"/>
      <c r="F265"/>
      <c r="G265"/>
      <c r="H265"/>
      <c r="I265"/>
      <c r="J265"/>
    </row>
    <row r="266" spans="4:10" x14ac:dyDescent="0.3">
      <c r="D266"/>
      <c r="F266"/>
      <c r="G266"/>
      <c r="H266"/>
      <c r="I266"/>
      <c r="J266"/>
    </row>
    <row r="267" spans="4:10" x14ac:dyDescent="0.3">
      <c r="D267"/>
      <c r="F267"/>
      <c r="G267"/>
      <c r="H267"/>
      <c r="I267"/>
      <c r="J267"/>
    </row>
    <row r="268" spans="4:10" x14ac:dyDescent="0.3">
      <c r="D268"/>
      <c r="F268"/>
      <c r="G268"/>
      <c r="H268"/>
      <c r="I268"/>
      <c r="J268"/>
    </row>
    <row r="269" spans="4:10" x14ac:dyDescent="0.3">
      <c r="D269"/>
      <c r="F269"/>
      <c r="G269"/>
      <c r="H269"/>
      <c r="I269"/>
      <c r="J269"/>
    </row>
    <row r="270" spans="4:10" x14ac:dyDescent="0.3">
      <c r="D270"/>
      <c r="F270"/>
      <c r="G270"/>
      <c r="H270"/>
      <c r="I270"/>
      <c r="J270"/>
    </row>
    <row r="271" spans="4:10" x14ac:dyDescent="0.3">
      <c r="D271"/>
      <c r="F271"/>
      <c r="G271"/>
      <c r="H271"/>
      <c r="I271"/>
      <c r="J271"/>
    </row>
    <row r="272" spans="4:10" x14ac:dyDescent="0.3">
      <c r="D272"/>
      <c r="F272"/>
      <c r="G272"/>
      <c r="H272"/>
      <c r="I272"/>
      <c r="J272"/>
    </row>
    <row r="273" spans="4:10" x14ac:dyDescent="0.3">
      <c r="D273"/>
      <c r="F273"/>
      <c r="G273"/>
      <c r="H273"/>
      <c r="I273"/>
      <c r="J273"/>
    </row>
    <row r="274" spans="4:10" x14ac:dyDescent="0.3">
      <c r="D274"/>
      <c r="F274"/>
      <c r="G274"/>
      <c r="H274"/>
      <c r="I274"/>
      <c r="J274"/>
    </row>
    <row r="275" spans="4:10" x14ac:dyDescent="0.3">
      <c r="D275"/>
      <c r="F275"/>
      <c r="G275"/>
      <c r="H275"/>
      <c r="I275"/>
      <c r="J275"/>
    </row>
    <row r="276" spans="4:10" x14ac:dyDescent="0.3">
      <c r="D276"/>
      <c r="F276"/>
      <c r="G276"/>
      <c r="H276"/>
      <c r="I276"/>
      <c r="J276"/>
    </row>
    <row r="277" spans="4:10" x14ac:dyDescent="0.3">
      <c r="D277"/>
      <c r="F277"/>
      <c r="G277"/>
      <c r="H277"/>
      <c r="I277"/>
      <c r="J277"/>
    </row>
    <row r="278" spans="4:10" x14ac:dyDescent="0.3">
      <c r="D278"/>
      <c r="F278"/>
      <c r="G278"/>
      <c r="H278"/>
      <c r="I278"/>
      <c r="J278"/>
    </row>
    <row r="279" spans="4:10" x14ac:dyDescent="0.3">
      <c r="D279"/>
      <c r="F279"/>
      <c r="G279"/>
      <c r="H279"/>
      <c r="I279"/>
      <c r="J279"/>
    </row>
    <row r="280" spans="4:10" x14ac:dyDescent="0.3">
      <c r="D280"/>
      <c r="F280"/>
      <c r="G280"/>
      <c r="H280"/>
      <c r="I280"/>
      <c r="J280"/>
    </row>
    <row r="281" spans="4:10" x14ac:dyDescent="0.3">
      <c r="D281"/>
      <c r="F281"/>
      <c r="G281"/>
      <c r="H281"/>
      <c r="I281"/>
      <c r="J281"/>
    </row>
    <row r="282" spans="4:10" x14ac:dyDescent="0.3">
      <c r="D282"/>
      <c r="F282"/>
      <c r="G282"/>
      <c r="H282"/>
      <c r="I282"/>
      <c r="J282"/>
    </row>
    <row r="283" spans="4:10" x14ac:dyDescent="0.3">
      <c r="D283"/>
      <c r="F283"/>
      <c r="G283"/>
      <c r="H283"/>
      <c r="I283"/>
      <c r="J283"/>
    </row>
    <row r="284" spans="4:10" x14ac:dyDescent="0.3">
      <c r="D284"/>
      <c r="F284"/>
      <c r="G284"/>
      <c r="H284"/>
      <c r="I284"/>
      <c r="J284"/>
    </row>
    <row r="285" spans="4:10" x14ac:dyDescent="0.3">
      <c r="D285"/>
      <c r="F285"/>
      <c r="G285"/>
      <c r="H285"/>
      <c r="I285"/>
      <c r="J285"/>
    </row>
    <row r="286" spans="4:10" x14ac:dyDescent="0.3">
      <c r="D286"/>
      <c r="F286"/>
      <c r="G286"/>
      <c r="H286"/>
      <c r="I286"/>
      <c r="J286"/>
    </row>
    <row r="287" spans="4:10" x14ac:dyDescent="0.3">
      <c r="D287"/>
      <c r="F287"/>
      <c r="G287"/>
      <c r="H287"/>
      <c r="I287"/>
      <c r="J287"/>
    </row>
    <row r="288" spans="4:10" x14ac:dyDescent="0.3">
      <c r="D288"/>
      <c r="F288"/>
      <c r="G288"/>
      <c r="H288"/>
      <c r="I288"/>
      <c r="J288"/>
    </row>
    <row r="289" spans="4:10" x14ac:dyDescent="0.3">
      <c r="D289"/>
      <c r="F289"/>
      <c r="G289"/>
      <c r="H289"/>
      <c r="I289"/>
      <c r="J289"/>
    </row>
    <row r="290" spans="4:10" x14ac:dyDescent="0.3">
      <c r="D290"/>
      <c r="F290"/>
      <c r="G290"/>
      <c r="H290"/>
      <c r="I290"/>
      <c r="J290"/>
    </row>
    <row r="291" spans="4:10" x14ac:dyDescent="0.3">
      <c r="D291"/>
      <c r="F291"/>
      <c r="G291"/>
      <c r="H291"/>
      <c r="I291"/>
      <c r="J291"/>
    </row>
    <row r="292" spans="4:10" x14ac:dyDescent="0.3">
      <c r="D292"/>
      <c r="F292"/>
      <c r="G292"/>
      <c r="H292"/>
      <c r="I292"/>
      <c r="J292"/>
    </row>
    <row r="293" spans="4:10" x14ac:dyDescent="0.3">
      <c r="D293"/>
      <c r="F293"/>
      <c r="G293"/>
      <c r="H293"/>
      <c r="I293"/>
      <c r="J293"/>
    </row>
    <row r="294" spans="4:10" x14ac:dyDescent="0.3">
      <c r="D294"/>
      <c r="F294"/>
      <c r="G294"/>
      <c r="H294"/>
      <c r="I294"/>
      <c r="J294"/>
    </row>
    <row r="295" spans="4:10" x14ac:dyDescent="0.3">
      <c r="D295"/>
      <c r="F295"/>
      <c r="G295"/>
      <c r="H295"/>
      <c r="I295"/>
      <c r="J295"/>
    </row>
    <row r="296" spans="4:10" x14ac:dyDescent="0.3">
      <c r="D296"/>
      <c r="F296"/>
      <c r="G296"/>
      <c r="H296"/>
      <c r="I296"/>
      <c r="J296"/>
    </row>
    <row r="297" spans="4:10" x14ac:dyDescent="0.3">
      <c r="D297"/>
      <c r="F297"/>
      <c r="G297"/>
      <c r="H297"/>
      <c r="I297"/>
      <c r="J297"/>
    </row>
    <row r="298" spans="4:10" x14ac:dyDescent="0.3">
      <c r="D298"/>
      <c r="F298"/>
      <c r="G298"/>
      <c r="H298"/>
      <c r="I298"/>
      <c r="J298"/>
    </row>
    <row r="299" spans="4:10" x14ac:dyDescent="0.3">
      <c r="D299"/>
      <c r="F299"/>
      <c r="G299"/>
      <c r="H299"/>
      <c r="I299"/>
      <c r="J299"/>
    </row>
    <row r="300" spans="4:10" x14ac:dyDescent="0.3">
      <c r="D300"/>
      <c r="F300"/>
      <c r="G300"/>
      <c r="H300"/>
      <c r="I300"/>
      <c r="J300"/>
    </row>
    <row r="301" spans="4:10" x14ac:dyDescent="0.3">
      <c r="D301"/>
      <c r="F301"/>
      <c r="G301"/>
      <c r="H301"/>
      <c r="I301"/>
      <c r="J301"/>
    </row>
    <row r="302" spans="4:10" x14ac:dyDescent="0.3">
      <c r="D302"/>
      <c r="F302"/>
      <c r="G302"/>
      <c r="H302"/>
      <c r="I302"/>
      <c r="J302"/>
    </row>
    <row r="303" spans="4:10" x14ac:dyDescent="0.3">
      <c r="D303"/>
      <c r="F303"/>
      <c r="G303"/>
      <c r="H303"/>
      <c r="I303"/>
      <c r="J303"/>
    </row>
    <row r="304" spans="4:10" x14ac:dyDescent="0.3">
      <c r="D304"/>
      <c r="F304"/>
      <c r="G304"/>
      <c r="H304"/>
      <c r="I304"/>
      <c r="J304"/>
    </row>
    <row r="305" spans="4:10" x14ac:dyDescent="0.3">
      <c r="D305"/>
      <c r="F305"/>
      <c r="G305"/>
      <c r="H305"/>
      <c r="I305"/>
      <c r="J305"/>
    </row>
    <row r="306" spans="4:10" x14ac:dyDescent="0.3">
      <c r="D306"/>
      <c r="F306"/>
      <c r="G306"/>
      <c r="H306"/>
      <c r="I306"/>
      <c r="J306"/>
    </row>
    <row r="307" spans="4:10" x14ac:dyDescent="0.3">
      <c r="D307"/>
      <c r="F307"/>
      <c r="G307"/>
      <c r="H307"/>
      <c r="I307"/>
      <c r="J307"/>
    </row>
    <row r="308" spans="4:10" x14ac:dyDescent="0.3">
      <c r="D308"/>
      <c r="F308"/>
      <c r="G308"/>
      <c r="H308"/>
      <c r="I308"/>
      <c r="J308"/>
    </row>
    <row r="309" spans="4:10" x14ac:dyDescent="0.3">
      <c r="D309"/>
      <c r="F309"/>
      <c r="G309"/>
      <c r="H309"/>
      <c r="I309"/>
      <c r="J309"/>
    </row>
    <row r="310" spans="4:10" x14ac:dyDescent="0.3">
      <c r="D310"/>
      <c r="F310"/>
      <c r="G310"/>
      <c r="H310"/>
      <c r="I310"/>
      <c r="J310"/>
    </row>
    <row r="311" spans="4:10" x14ac:dyDescent="0.3">
      <c r="D311"/>
      <c r="F311"/>
      <c r="G311"/>
      <c r="H311"/>
      <c r="I311"/>
      <c r="J311"/>
    </row>
    <row r="312" spans="4:10" x14ac:dyDescent="0.3">
      <c r="D312"/>
      <c r="F312"/>
      <c r="G312"/>
      <c r="H312"/>
      <c r="I312"/>
      <c r="J312"/>
    </row>
    <row r="313" spans="4:10" x14ac:dyDescent="0.3">
      <c r="D313"/>
      <c r="F313"/>
      <c r="G313"/>
      <c r="H313"/>
      <c r="I313"/>
      <c r="J313"/>
    </row>
    <row r="314" spans="4:10" x14ac:dyDescent="0.3">
      <c r="D314"/>
      <c r="F314"/>
      <c r="G314"/>
      <c r="H314"/>
      <c r="I314"/>
      <c r="J314"/>
    </row>
    <row r="315" spans="4:10" x14ac:dyDescent="0.3">
      <c r="D315"/>
      <c r="F315"/>
      <c r="G315"/>
      <c r="H315"/>
      <c r="I315"/>
      <c r="J315"/>
    </row>
    <row r="316" spans="4:10" x14ac:dyDescent="0.3">
      <c r="D316"/>
      <c r="F316"/>
      <c r="G316"/>
      <c r="H316"/>
      <c r="I316"/>
      <c r="J316"/>
    </row>
    <row r="317" spans="4:10" x14ac:dyDescent="0.3">
      <c r="D317"/>
      <c r="F317"/>
      <c r="G317"/>
      <c r="H317"/>
      <c r="I317"/>
      <c r="J317"/>
    </row>
    <row r="318" spans="4:10" x14ac:dyDescent="0.3">
      <c r="D318"/>
      <c r="F318"/>
      <c r="G318"/>
      <c r="H318"/>
      <c r="I318"/>
      <c r="J318"/>
    </row>
    <row r="319" spans="4:10" x14ac:dyDescent="0.3">
      <c r="D319"/>
      <c r="F319"/>
      <c r="G319"/>
      <c r="H319"/>
      <c r="I319"/>
      <c r="J319"/>
    </row>
    <row r="320" spans="4:10" x14ac:dyDescent="0.3">
      <c r="D320"/>
      <c r="F320"/>
      <c r="G320"/>
      <c r="H320"/>
      <c r="I320"/>
      <c r="J320"/>
    </row>
    <row r="321" spans="4:10" x14ac:dyDescent="0.3">
      <c r="D321"/>
      <c r="F321"/>
      <c r="G321"/>
      <c r="H321"/>
      <c r="I321"/>
      <c r="J321"/>
    </row>
    <row r="322" spans="4:10" x14ac:dyDescent="0.3">
      <c r="D322"/>
      <c r="F322"/>
      <c r="G322"/>
      <c r="H322"/>
      <c r="I322"/>
      <c r="J322"/>
    </row>
    <row r="323" spans="4:10" x14ac:dyDescent="0.3">
      <c r="D323"/>
      <c r="F323"/>
      <c r="G323"/>
      <c r="H323"/>
      <c r="I323"/>
      <c r="J323"/>
    </row>
    <row r="324" spans="4:10" x14ac:dyDescent="0.3">
      <c r="D324"/>
      <c r="F324"/>
      <c r="G324"/>
      <c r="H324"/>
      <c r="I324"/>
      <c r="J324"/>
    </row>
    <row r="325" spans="4:10" x14ac:dyDescent="0.3">
      <c r="D325"/>
      <c r="F325"/>
      <c r="G325"/>
      <c r="H325"/>
      <c r="I325"/>
      <c r="J325"/>
    </row>
    <row r="326" spans="4:10" x14ac:dyDescent="0.3">
      <c r="D326"/>
      <c r="F326"/>
      <c r="G326"/>
      <c r="H326"/>
      <c r="I326"/>
      <c r="J326"/>
    </row>
    <row r="327" spans="4:10" x14ac:dyDescent="0.3">
      <c r="D327"/>
      <c r="F327"/>
      <c r="G327"/>
      <c r="H327"/>
      <c r="I327"/>
      <c r="J327"/>
    </row>
    <row r="328" spans="4:10" x14ac:dyDescent="0.3">
      <c r="D328"/>
      <c r="F328"/>
      <c r="G328"/>
      <c r="H328"/>
      <c r="I328"/>
      <c r="J328"/>
    </row>
    <row r="329" spans="4:10" x14ac:dyDescent="0.3">
      <c r="D329"/>
      <c r="F329"/>
      <c r="G329"/>
      <c r="H329"/>
      <c r="I329"/>
      <c r="J329"/>
    </row>
    <row r="330" spans="4:10" x14ac:dyDescent="0.3">
      <c r="D330"/>
      <c r="F330"/>
      <c r="G330"/>
      <c r="H330"/>
      <c r="I330"/>
      <c r="J330"/>
    </row>
    <row r="331" spans="4:10" x14ac:dyDescent="0.3">
      <c r="D331"/>
      <c r="F331"/>
      <c r="G331"/>
      <c r="H331"/>
      <c r="I331"/>
      <c r="J331"/>
    </row>
    <row r="332" spans="4:10" x14ac:dyDescent="0.3">
      <c r="D332"/>
      <c r="F332"/>
      <c r="G332"/>
      <c r="H332"/>
      <c r="I332"/>
      <c r="J332"/>
    </row>
    <row r="333" spans="4:10" x14ac:dyDescent="0.3">
      <c r="D333"/>
      <c r="F333"/>
      <c r="G333"/>
      <c r="H333"/>
      <c r="I333"/>
      <c r="J333"/>
    </row>
    <row r="334" spans="4:10" x14ac:dyDescent="0.3">
      <c r="D334"/>
      <c r="F334"/>
      <c r="G334"/>
      <c r="H334"/>
      <c r="I334"/>
      <c r="J334"/>
    </row>
    <row r="335" spans="4:10" x14ac:dyDescent="0.3">
      <c r="D335"/>
      <c r="F335"/>
      <c r="G335"/>
      <c r="H335"/>
      <c r="I335"/>
      <c r="J335"/>
    </row>
    <row r="336" spans="4:10" x14ac:dyDescent="0.3">
      <c r="D336"/>
      <c r="F336"/>
      <c r="G336"/>
      <c r="H336"/>
      <c r="I336"/>
      <c r="J336"/>
    </row>
    <row r="337" spans="4:10" x14ac:dyDescent="0.3">
      <c r="D337"/>
      <c r="F337"/>
      <c r="G337"/>
      <c r="H337"/>
      <c r="I337"/>
      <c r="J337"/>
    </row>
    <row r="338" spans="4:10" x14ac:dyDescent="0.3">
      <c r="D338"/>
      <c r="F338"/>
      <c r="G338"/>
      <c r="H338"/>
      <c r="I338"/>
      <c r="J338"/>
    </row>
    <row r="339" spans="4:10" x14ac:dyDescent="0.3">
      <c r="D339"/>
      <c r="F339"/>
      <c r="G339"/>
      <c r="H339"/>
      <c r="I339"/>
      <c r="J339"/>
    </row>
    <row r="340" spans="4:10" x14ac:dyDescent="0.3">
      <c r="D340"/>
      <c r="F340"/>
      <c r="G340"/>
      <c r="H340"/>
      <c r="I340"/>
      <c r="J340"/>
    </row>
    <row r="341" spans="4:10" x14ac:dyDescent="0.3">
      <c r="D341"/>
      <c r="F341"/>
      <c r="G341"/>
      <c r="H341"/>
      <c r="I341"/>
      <c r="J341"/>
    </row>
    <row r="342" spans="4:10" x14ac:dyDescent="0.3">
      <c r="D342"/>
      <c r="F342"/>
      <c r="G342"/>
      <c r="H342"/>
      <c r="I342"/>
      <c r="J342"/>
    </row>
    <row r="343" spans="4:10" x14ac:dyDescent="0.3">
      <c r="D343"/>
      <c r="F343"/>
      <c r="G343"/>
      <c r="H343"/>
      <c r="I343"/>
      <c r="J343"/>
    </row>
    <row r="344" spans="4:10" x14ac:dyDescent="0.3">
      <c r="D344"/>
      <c r="F344"/>
      <c r="G344"/>
      <c r="H344"/>
      <c r="I344"/>
      <c r="J344"/>
    </row>
    <row r="345" spans="4:10" x14ac:dyDescent="0.3">
      <c r="D345"/>
      <c r="F345"/>
      <c r="G345"/>
      <c r="H345"/>
      <c r="I345"/>
      <c r="J345"/>
    </row>
    <row r="346" spans="4:10" x14ac:dyDescent="0.3">
      <c r="D346"/>
      <c r="F346"/>
      <c r="G346"/>
      <c r="H346"/>
      <c r="I346"/>
      <c r="J346"/>
    </row>
    <row r="347" spans="4:10" x14ac:dyDescent="0.3">
      <c r="D347"/>
      <c r="F347"/>
      <c r="G347"/>
      <c r="H347"/>
      <c r="I347"/>
      <c r="J347"/>
    </row>
    <row r="348" spans="4:10" x14ac:dyDescent="0.3">
      <c r="D348"/>
      <c r="F348"/>
      <c r="G348"/>
      <c r="H348"/>
      <c r="I348"/>
      <c r="J348"/>
    </row>
    <row r="349" spans="4:10" x14ac:dyDescent="0.3">
      <c r="D349"/>
      <c r="F349"/>
      <c r="G349"/>
      <c r="H349"/>
      <c r="I349"/>
      <c r="J349"/>
    </row>
    <row r="350" spans="4:10" x14ac:dyDescent="0.3">
      <c r="D350"/>
      <c r="F350"/>
      <c r="G350"/>
      <c r="H350"/>
      <c r="I350"/>
      <c r="J350"/>
    </row>
    <row r="351" spans="4:10" x14ac:dyDescent="0.3">
      <c r="D351"/>
      <c r="F351"/>
      <c r="G351"/>
      <c r="H351"/>
      <c r="I351"/>
      <c r="J351"/>
    </row>
    <row r="352" spans="4:10" x14ac:dyDescent="0.3">
      <c r="D352"/>
      <c r="F352"/>
      <c r="G352"/>
      <c r="H352"/>
      <c r="I352"/>
      <c r="J352"/>
    </row>
    <row r="353" spans="4:10" x14ac:dyDescent="0.3">
      <c r="D353"/>
      <c r="F353"/>
      <c r="G353"/>
      <c r="H353"/>
      <c r="I353"/>
      <c r="J353"/>
    </row>
    <row r="354" spans="4:10" x14ac:dyDescent="0.3">
      <c r="D354"/>
      <c r="F354"/>
      <c r="G354"/>
      <c r="H354"/>
      <c r="I354"/>
      <c r="J354"/>
    </row>
    <row r="355" spans="4:10" x14ac:dyDescent="0.3">
      <c r="D355"/>
      <c r="F355"/>
      <c r="G355"/>
      <c r="H355"/>
      <c r="I355"/>
      <c r="J355"/>
    </row>
    <row r="356" spans="4:10" x14ac:dyDescent="0.3">
      <c r="D356"/>
      <c r="F356"/>
      <c r="G356"/>
      <c r="H356"/>
      <c r="I356"/>
      <c r="J356"/>
    </row>
    <row r="357" spans="4:10" x14ac:dyDescent="0.3">
      <c r="D357"/>
      <c r="F357"/>
      <c r="G357"/>
      <c r="H357"/>
      <c r="I357"/>
      <c r="J357"/>
    </row>
    <row r="358" spans="4:10" x14ac:dyDescent="0.3">
      <c r="D358"/>
      <c r="F358"/>
      <c r="G358"/>
      <c r="H358"/>
      <c r="I358"/>
      <c r="J358"/>
    </row>
    <row r="359" spans="4:10" x14ac:dyDescent="0.3">
      <c r="D359"/>
      <c r="F359"/>
      <c r="G359"/>
      <c r="H359"/>
      <c r="I359"/>
      <c r="J359"/>
    </row>
    <row r="360" spans="4:10" x14ac:dyDescent="0.3">
      <c r="D360"/>
      <c r="F360"/>
      <c r="G360"/>
      <c r="H360"/>
      <c r="I360"/>
      <c r="J360"/>
    </row>
    <row r="361" spans="4:10" x14ac:dyDescent="0.3">
      <c r="D361"/>
      <c r="F361"/>
      <c r="G361"/>
      <c r="H361"/>
      <c r="I361"/>
      <c r="J361"/>
    </row>
    <row r="362" spans="4:10" x14ac:dyDescent="0.3">
      <c r="D362"/>
      <c r="F362"/>
      <c r="G362"/>
      <c r="H362"/>
      <c r="I362"/>
      <c r="J362"/>
    </row>
    <row r="363" spans="4:10" x14ac:dyDescent="0.3">
      <c r="D363"/>
      <c r="F363"/>
      <c r="G363"/>
      <c r="H363"/>
      <c r="I363"/>
      <c r="J363"/>
    </row>
    <row r="364" spans="4:10" x14ac:dyDescent="0.3">
      <c r="D364"/>
      <c r="F364"/>
      <c r="G364"/>
      <c r="H364"/>
      <c r="I364"/>
      <c r="J364"/>
    </row>
    <row r="365" spans="4:10" x14ac:dyDescent="0.3">
      <c r="D365"/>
      <c r="F365"/>
      <c r="G365"/>
      <c r="H365"/>
      <c r="I365"/>
      <c r="J365"/>
    </row>
    <row r="366" spans="4:10" x14ac:dyDescent="0.3">
      <c r="D366"/>
      <c r="F366"/>
      <c r="G366"/>
      <c r="H366"/>
      <c r="I366"/>
      <c r="J366"/>
    </row>
    <row r="367" spans="4:10" x14ac:dyDescent="0.3">
      <c r="D367"/>
      <c r="F367"/>
      <c r="G367"/>
      <c r="H367"/>
      <c r="I367"/>
      <c r="J367"/>
    </row>
    <row r="368" spans="4:10" x14ac:dyDescent="0.3">
      <c r="D368"/>
      <c r="F368"/>
      <c r="G368"/>
      <c r="H368"/>
      <c r="I368"/>
      <c r="J368"/>
    </row>
    <row r="369" spans="4:10" x14ac:dyDescent="0.3">
      <c r="D369"/>
      <c r="F369"/>
      <c r="G369"/>
      <c r="H369"/>
      <c r="I369"/>
      <c r="J369"/>
    </row>
    <row r="370" spans="4:10" x14ac:dyDescent="0.3">
      <c r="D370"/>
      <c r="F370"/>
      <c r="G370"/>
      <c r="H370"/>
      <c r="I370"/>
      <c r="J370"/>
    </row>
    <row r="371" spans="4:10" x14ac:dyDescent="0.3">
      <c r="D371"/>
      <c r="F371"/>
      <c r="G371"/>
      <c r="H371"/>
      <c r="I371"/>
      <c r="J371"/>
    </row>
    <row r="372" spans="4:10" x14ac:dyDescent="0.3">
      <c r="D372"/>
      <c r="F372"/>
      <c r="G372"/>
      <c r="H372"/>
      <c r="I372"/>
      <c r="J372"/>
    </row>
    <row r="373" spans="4:10" x14ac:dyDescent="0.3">
      <c r="D373"/>
      <c r="F373"/>
      <c r="G373"/>
      <c r="H373"/>
      <c r="I373"/>
      <c r="J373"/>
    </row>
    <row r="374" spans="4:10" x14ac:dyDescent="0.3">
      <c r="D374"/>
      <c r="F374"/>
      <c r="G374"/>
      <c r="H374"/>
      <c r="I374"/>
      <c r="J374"/>
    </row>
    <row r="375" spans="4:10" x14ac:dyDescent="0.3">
      <c r="D375"/>
      <c r="F375"/>
      <c r="G375"/>
      <c r="H375"/>
      <c r="I375"/>
      <c r="J375"/>
    </row>
    <row r="376" spans="4:10" x14ac:dyDescent="0.3">
      <c r="D376"/>
      <c r="F376"/>
      <c r="G376"/>
      <c r="H376"/>
      <c r="I376"/>
      <c r="J376"/>
    </row>
    <row r="377" spans="4:10" x14ac:dyDescent="0.3">
      <c r="D377"/>
      <c r="F377"/>
      <c r="G377"/>
      <c r="H377"/>
      <c r="I377"/>
      <c r="J377"/>
    </row>
    <row r="378" spans="4:10" x14ac:dyDescent="0.3">
      <c r="D378"/>
      <c r="F378"/>
      <c r="G378"/>
      <c r="H378"/>
      <c r="I378"/>
      <c r="J378"/>
    </row>
    <row r="379" spans="4:10" x14ac:dyDescent="0.3">
      <c r="D379"/>
      <c r="F379"/>
      <c r="G379"/>
      <c r="H379"/>
      <c r="I379"/>
      <c r="J379"/>
    </row>
    <row r="380" spans="4:10" x14ac:dyDescent="0.3">
      <c r="D380"/>
      <c r="F380"/>
      <c r="G380"/>
      <c r="H380"/>
      <c r="I380"/>
      <c r="J380"/>
    </row>
    <row r="381" spans="4:10" x14ac:dyDescent="0.3">
      <c r="D381"/>
      <c r="F381"/>
      <c r="G381"/>
      <c r="H381"/>
      <c r="I381"/>
      <c r="J381"/>
    </row>
    <row r="382" spans="4:10" x14ac:dyDescent="0.3">
      <c r="D382"/>
      <c r="F382"/>
      <c r="G382"/>
      <c r="H382"/>
      <c r="I382"/>
      <c r="J382"/>
    </row>
    <row r="383" spans="4:10" x14ac:dyDescent="0.3">
      <c r="D383"/>
      <c r="F383"/>
      <c r="G383"/>
      <c r="H383"/>
      <c r="I383"/>
      <c r="J383"/>
    </row>
    <row r="384" spans="4:10" x14ac:dyDescent="0.3">
      <c r="D384"/>
      <c r="F384"/>
      <c r="G384"/>
      <c r="H384"/>
      <c r="I384"/>
      <c r="J384"/>
    </row>
    <row r="385" spans="4:10" x14ac:dyDescent="0.3">
      <c r="D385"/>
      <c r="F385"/>
      <c r="G385"/>
      <c r="H385"/>
      <c r="I385"/>
      <c r="J385"/>
    </row>
    <row r="386" spans="4:10" x14ac:dyDescent="0.3">
      <c r="D386"/>
      <c r="F386"/>
      <c r="G386"/>
      <c r="H386"/>
      <c r="I386"/>
      <c r="J386"/>
    </row>
    <row r="387" spans="4:10" x14ac:dyDescent="0.3">
      <c r="D387"/>
      <c r="F387"/>
      <c r="G387"/>
      <c r="H387"/>
      <c r="I387"/>
      <c r="J387"/>
    </row>
    <row r="388" spans="4:10" x14ac:dyDescent="0.3">
      <c r="D388"/>
      <c r="F388"/>
      <c r="G388"/>
      <c r="H388"/>
      <c r="I388"/>
      <c r="J388"/>
    </row>
    <row r="389" spans="4:10" x14ac:dyDescent="0.3">
      <c r="D389"/>
      <c r="F389"/>
      <c r="G389"/>
      <c r="H389"/>
      <c r="I389"/>
      <c r="J389"/>
    </row>
    <row r="390" spans="4:10" x14ac:dyDescent="0.3">
      <c r="D390"/>
      <c r="F390"/>
      <c r="G390"/>
      <c r="H390"/>
      <c r="I390"/>
      <c r="J390"/>
    </row>
    <row r="391" spans="4:10" x14ac:dyDescent="0.3">
      <c r="D391"/>
      <c r="F391"/>
      <c r="G391"/>
      <c r="H391"/>
      <c r="I391"/>
      <c r="J391"/>
    </row>
    <row r="392" spans="4:10" x14ac:dyDescent="0.3">
      <c r="D392"/>
      <c r="F392"/>
      <c r="G392"/>
      <c r="H392"/>
      <c r="I392"/>
      <c r="J392"/>
    </row>
    <row r="393" spans="4:10" x14ac:dyDescent="0.3">
      <c r="D393"/>
      <c r="F393"/>
      <c r="G393"/>
      <c r="H393"/>
      <c r="I393"/>
      <c r="J393"/>
    </row>
    <row r="394" spans="4:10" x14ac:dyDescent="0.3">
      <c r="D394"/>
      <c r="F394"/>
      <c r="G394"/>
      <c r="H394"/>
      <c r="I394"/>
      <c r="J394"/>
    </row>
    <row r="395" spans="4:10" x14ac:dyDescent="0.3">
      <c r="D395"/>
      <c r="F395"/>
      <c r="G395"/>
      <c r="H395"/>
      <c r="I395"/>
      <c r="J395"/>
    </row>
    <row r="396" spans="4:10" x14ac:dyDescent="0.3">
      <c r="D396"/>
      <c r="F396"/>
      <c r="G396"/>
      <c r="H396"/>
      <c r="I396"/>
      <c r="J396"/>
    </row>
    <row r="397" spans="4:10" x14ac:dyDescent="0.3">
      <c r="D397"/>
      <c r="F397"/>
      <c r="G397"/>
      <c r="H397"/>
      <c r="I397"/>
      <c r="J397"/>
    </row>
    <row r="398" spans="4:10" x14ac:dyDescent="0.3">
      <c r="D398"/>
      <c r="F398"/>
      <c r="G398"/>
      <c r="H398"/>
      <c r="I398"/>
      <c r="J398"/>
    </row>
    <row r="399" spans="4:10" x14ac:dyDescent="0.3">
      <c r="D399"/>
      <c r="F399"/>
      <c r="G399"/>
      <c r="H399"/>
      <c r="I399"/>
      <c r="J399"/>
    </row>
    <row r="400" spans="4:10" x14ac:dyDescent="0.3">
      <c r="D400"/>
      <c r="F400"/>
      <c r="G400"/>
      <c r="H400"/>
      <c r="I400"/>
      <c r="J400"/>
    </row>
    <row r="401" spans="4:10" x14ac:dyDescent="0.3">
      <c r="D401"/>
      <c r="F401"/>
      <c r="G401"/>
      <c r="H401"/>
      <c r="I401"/>
      <c r="J401"/>
    </row>
    <row r="402" spans="4:10" x14ac:dyDescent="0.3">
      <c r="D402"/>
      <c r="F402"/>
      <c r="G402"/>
      <c r="H402"/>
      <c r="I402"/>
      <c r="J402"/>
    </row>
    <row r="403" spans="4:10" x14ac:dyDescent="0.3">
      <c r="D403"/>
      <c r="F403"/>
      <c r="G403"/>
      <c r="H403"/>
      <c r="I403"/>
      <c r="J403"/>
    </row>
    <row r="404" spans="4:10" x14ac:dyDescent="0.3">
      <c r="D404"/>
      <c r="F404"/>
      <c r="G404"/>
      <c r="H404"/>
      <c r="I404"/>
      <c r="J404"/>
    </row>
    <row r="405" spans="4:10" x14ac:dyDescent="0.3">
      <c r="D405"/>
      <c r="F405"/>
      <c r="G405"/>
      <c r="H405"/>
      <c r="I405"/>
      <c r="J405"/>
    </row>
    <row r="406" spans="4:10" x14ac:dyDescent="0.3">
      <c r="D406"/>
      <c r="F406"/>
      <c r="G406"/>
      <c r="H406"/>
      <c r="I406"/>
      <c r="J406"/>
    </row>
    <row r="407" spans="4:10" x14ac:dyDescent="0.3">
      <c r="D407"/>
      <c r="F407"/>
      <c r="G407"/>
      <c r="H407"/>
      <c r="I407"/>
      <c r="J407"/>
    </row>
    <row r="408" spans="4:10" x14ac:dyDescent="0.3">
      <c r="D408"/>
      <c r="F408"/>
      <c r="G408"/>
      <c r="H408"/>
      <c r="I408"/>
      <c r="J408"/>
    </row>
    <row r="409" spans="4:10" x14ac:dyDescent="0.3">
      <c r="D409"/>
      <c r="F409"/>
      <c r="G409"/>
      <c r="H409"/>
      <c r="I409"/>
      <c r="J409"/>
    </row>
    <row r="410" spans="4:10" x14ac:dyDescent="0.3">
      <c r="D410"/>
      <c r="F410"/>
      <c r="G410"/>
      <c r="H410"/>
      <c r="I410"/>
      <c r="J410"/>
    </row>
    <row r="411" spans="4:10" x14ac:dyDescent="0.3">
      <c r="D411"/>
      <c r="F411"/>
      <c r="G411"/>
      <c r="H411"/>
      <c r="I411"/>
      <c r="J411"/>
    </row>
    <row r="412" spans="4:10" x14ac:dyDescent="0.3">
      <c r="D412"/>
      <c r="F412"/>
      <c r="G412"/>
      <c r="H412"/>
      <c r="I412"/>
      <c r="J412"/>
    </row>
    <row r="413" spans="4:10" x14ac:dyDescent="0.3">
      <c r="D413"/>
      <c r="F413"/>
      <c r="G413"/>
      <c r="H413"/>
      <c r="I413"/>
      <c r="J413"/>
    </row>
    <row r="414" spans="4:10" x14ac:dyDescent="0.3">
      <c r="D414"/>
      <c r="F414"/>
      <c r="G414"/>
      <c r="H414"/>
      <c r="I414"/>
      <c r="J414"/>
    </row>
    <row r="415" spans="4:10" x14ac:dyDescent="0.3">
      <c r="D415"/>
      <c r="F415"/>
      <c r="G415"/>
      <c r="H415"/>
      <c r="I415"/>
      <c r="J415"/>
    </row>
    <row r="416" spans="4:10" x14ac:dyDescent="0.3">
      <c r="D416"/>
      <c r="F416"/>
      <c r="G416"/>
      <c r="H416"/>
      <c r="I416"/>
      <c r="J416"/>
    </row>
    <row r="417" spans="4:10" x14ac:dyDescent="0.3">
      <c r="D417"/>
      <c r="F417"/>
      <c r="G417"/>
      <c r="H417"/>
      <c r="I417"/>
      <c r="J417"/>
    </row>
    <row r="418" spans="4:10" x14ac:dyDescent="0.3">
      <c r="D418"/>
      <c r="F418"/>
      <c r="G418"/>
      <c r="H418"/>
      <c r="I418"/>
      <c r="J418"/>
    </row>
    <row r="419" spans="4:10" x14ac:dyDescent="0.3">
      <c r="D419"/>
      <c r="F419"/>
      <c r="G419"/>
      <c r="H419"/>
      <c r="I419"/>
      <c r="J419"/>
    </row>
    <row r="420" spans="4:10" x14ac:dyDescent="0.3">
      <c r="D420"/>
      <c r="F420"/>
      <c r="G420"/>
      <c r="H420"/>
      <c r="I420"/>
      <c r="J420"/>
    </row>
    <row r="421" spans="4:10" x14ac:dyDescent="0.3">
      <c r="D421"/>
      <c r="F421"/>
      <c r="G421"/>
      <c r="H421"/>
      <c r="I421"/>
      <c r="J421"/>
    </row>
    <row r="422" spans="4:10" x14ac:dyDescent="0.3">
      <c r="D422"/>
      <c r="F422"/>
      <c r="G422"/>
      <c r="H422"/>
      <c r="I422"/>
      <c r="J422"/>
    </row>
    <row r="423" spans="4:10" x14ac:dyDescent="0.3">
      <c r="D423"/>
      <c r="F423"/>
      <c r="G423"/>
      <c r="H423"/>
      <c r="I423"/>
      <c r="J423"/>
    </row>
    <row r="424" spans="4:10" x14ac:dyDescent="0.3">
      <c r="D424"/>
      <c r="F424"/>
      <c r="G424"/>
      <c r="H424"/>
      <c r="I424"/>
      <c r="J424"/>
    </row>
    <row r="425" spans="4:10" x14ac:dyDescent="0.3">
      <c r="D425"/>
      <c r="F425"/>
      <c r="G425"/>
      <c r="H425"/>
      <c r="I425"/>
      <c r="J425"/>
    </row>
    <row r="426" spans="4:10" x14ac:dyDescent="0.3">
      <c r="D426"/>
      <c r="F426"/>
      <c r="G426"/>
      <c r="H426"/>
      <c r="I426"/>
      <c r="J426"/>
    </row>
    <row r="427" spans="4:10" x14ac:dyDescent="0.3">
      <c r="D427"/>
      <c r="F427"/>
      <c r="G427"/>
      <c r="H427"/>
      <c r="I427"/>
      <c r="J427"/>
    </row>
    <row r="428" spans="4:10" x14ac:dyDescent="0.3">
      <c r="D428"/>
      <c r="F428"/>
      <c r="G428"/>
      <c r="H428"/>
      <c r="I428"/>
      <c r="J428"/>
    </row>
    <row r="429" spans="4:10" x14ac:dyDescent="0.3">
      <c r="D429"/>
      <c r="F429"/>
      <c r="G429"/>
      <c r="H429"/>
      <c r="I429"/>
      <c r="J429"/>
    </row>
    <row r="430" spans="4:10" x14ac:dyDescent="0.3">
      <c r="D430"/>
      <c r="F430"/>
      <c r="G430"/>
      <c r="H430"/>
      <c r="I430"/>
      <c r="J430"/>
    </row>
    <row r="431" spans="4:10" x14ac:dyDescent="0.3">
      <c r="D431"/>
      <c r="F431"/>
      <c r="G431"/>
      <c r="H431"/>
      <c r="I431"/>
      <c r="J431"/>
    </row>
    <row r="432" spans="4:10" x14ac:dyDescent="0.3">
      <c r="D432"/>
      <c r="F432"/>
      <c r="G432"/>
      <c r="H432"/>
      <c r="I432"/>
      <c r="J432"/>
    </row>
    <row r="433" spans="4:10" x14ac:dyDescent="0.3">
      <c r="D433"/>
      <c r="F433"/>
      <c r="G433"/>
      <c r="H433"/>
      <c r="I433"/>
      <c r="J433"/>
    </row>
    <row r="434" spans="4:10" x14ac:dyDescent="0.3">
      <c r="D434"/>
      <c r="F434"/>
      <c r="G434"/>
      <c r="H434"/>
      <c r="I434"/>
      <c r="J434"/>
    </row>
    <row r="435" spans="4:10" x14ac:dyDescent="0.3">
      <c r="D435"/>
      <c r="F435"/>
      <c r="G435"/>
      <c r="H435"/>
      <c r="I435"/>
      <c r="J435"/>
    </row>
    <row r="436" spans="4:10" x14ac:dyDescent="0.3">
      <c r="D436"/>
      <c r="F436"/>
      <c r="G436"/>
      <c r="H436"/>
      <c r="I436"/>
      <c r="J436"/>
    </row>
    <row r="437" spans="4:10" x14ac:dyDescent="0.3">
      <c r="D437"/>
      <c r="F437"/>
      <c r="G437"/>
      <c r="H437"/>
      <c r="I437"/>
      <c r="J437"/>
    </row>
    <row r="438" spans="4:10" x14ac:dyDescent="0.3">
      <c r="D438"/>
      <c r="F438"/>
      <c r="G438"/>
      <c r="H438"/>
      <c r="I438"/>
      <c r="J438"/>
    </row>
    <row r="439" spans="4:10" x14ac:dyDescent="0.3">
      <c r="D439"/>
      <c r="F439"/>
      <c r="G439"/>
      <c r="H439"/>
      <c r="I439"/>
      <c r="J439"/>
    </row>
    <row r="440" spans="4:10" x14ac:dyDescent="0.3">
      <c r="D440"/>
      <c r="F440"/>
      <c r="G440"/>
      <c r="H440"/>
      <c r="I440"/>
      <c r="J440"/>
    </row>
    <row r="441" spans="4:10" x14ac:dyDescent="0.3">
      <c r="D441"/>
      <c r="F441"/>
      <c r="G441"/>
      <c r="H441"/>
      <c r="I441"/>
      <c r="J441"/>
    </row>
    <row r="442" spans="4:10" x14ac:dyDescent="0.3">
      <c r="D442"/>
      <c r="F442"/>
      <c r="G442"/>
      <c r="H442"/>
      <c r="I442"/>
      <c r="J442"/>
    </row>
    <row r="443" spans="4:10" x14ac:dyDescent="0.3">
      <c r="D443"/>
      <c r="F443"/>
      <c r="G443"/>
      <c r="H443"/>
      <c r="I443"/>
      <c r="J443"/>
    </row>
    <row r="444" spans="4:10" x14ac:dyDescent="0.3">
      <c r="D444"/>
      <c r="F444"/>
      <c r="G444"/>
      <c r="H444"/>
      <c r="I444"/>
      <c r="J444"/>
    </row>
    <row r="445" spans="4:10" x14ac:dyDescent="0.3">
      <c r="D445"/>
      <c r="F445"/>
      <c r="G445"/>
      <c r="H445"/>
      <c r="I445"/>
      <c r="J445"/>
    </row>
    <row r="446" spans="4:10" x14ac:dyDescent="0.3">
      <c r="D446"/>
      <c r="F446"/>
      <c r="G446"/>
      <c r="H446"/>
      <c r="I446"/>
      <c r="J446"/>
    </row>
    <row r="447" spans="4:10" x14ac:dyDescent="0.3">
      <c r="D447"/>
      <c r="F447"/>
      <c r="G447"/>
      <c r="H447"/>
      <c r="I447"/>
      <c r="J447"/>
    </row>
    <row r="448" spans="4:10" x14ac:dyDescent="0.3">
      <c r="D448"/>
      <c r="F448"/>
      <c r="G448"/>
      <c r="H448"/>
      <c r="I448"/>
      <c r="J448"/>
    </row>
    <row r="449" spans="4:10" x14ac:dyDescent="0.3">
      <c r="D449"/>
      <c r="F449"/>
      <c r="G449"/>
      <c r="H449"/>
      <c r="I449"/>
      <c r="J449"/>
    </row>
    <row r="450" spans="4:10" x14ac:dyDescent="0.3">
      <c r="D450"/>
      <c r="F450"/>
      <c r="G450"/>
      <c r="H450"/>
      <c r="I450"/>
      <c r="J450"/>
    </row>
    <row r="451" spans="4:10" x14ac:dyDescent="0.3">
      <c r="D451"/>
      <c r="F451"/>
      <c r="G451"/>
      <c r="H451"/>
      <c r="I451"/>
      <c r="J451"/>
    </row>
    <row r="452" spans="4:10" x14ac:dyDescent="0.3">
      <c r="D452"/>
      <c r="F452"/>
      <c r="G452"/>
      <c r="H452"/>
      <c r="I452"/>
      <c r="J452"/>
    </row>
    <row r="453" spans="4:10" x14ac:dyDescent="0.3">
      <c r="D453"/>
      <c r="F453"/>
      <c r="G453"/>
      <c r="H453"/>
      <c r="I453"/>
      <c r="J453"/>
    </row>
    <row r="454" spans="4:10" x14ac:dyDescent="0.3">
      <c r="D454"/>
      <c r="F454"/>
      <c r="G454"/>
      <c r="H454"/>
      <c r="I454"/>
      <c r="J454"/>
    </row>
    <row r="455" spans="4:10" x14ac:dyDescent="0.3">
      <c r="D455"/>
      <c r="F455"/>
      <c r="G455"/>
      <c r="H455"/>
      <c r="I455"/>
      <c r="J455"/>
    </row>
    <row r="456" spans="4:10" x14ac:dyDescent="0.3">
      <c r="D456"/>
      <c r="F456"/>
      <c r="G456"/>
      <c r="H456"/>
      <c r="I456"/>
      <c r="J456"/>
    </row>
    <row r="457" spans="4:10" x14ac:dyDescent="0.3">
      <c r="D457"/>
      <c r="F457"/>
      <c r="G457"/>
      <c r="H457"/>
      <c r="I457"/>
      <c r="J457"/>
    </row>
    <row r="458" spans="4:10" x14ac:dyDescent="0.3">
      <c r="D458"/>
      <c r="F458"/>
      <c r="G458"/>
      <c r="H458"/>
      <c r="I458"/>
      <c r="J458"/>
    </row>
    <row r="459" spans="4:10" x14ac:dyDescent="0.3">
      <c r="D459"/>
      <c r="F459"/>
      <c r="G459"/>
      <c r="H459"/>
      <c r="I459"/>
      <c r="J459"/>
    </row>
    <row r="460" spans="4:10" x14ac:dyDescent="0.3">
      <c r="D460"/>
      <c r="F460"/>
      <c r="G460"/>
      <c r="H460"/>
      <c r="I460"/>
      <c r="J460"/>
    </row>
    <row r="461" spans="4:10" x14ac:dyDescent="0.3">
      <c r="D461"/>
      <c r="F461"/>
      <c r="G461"/>
      <c r="H461"/>
      <c r="I461"/>
      <c r="J461"/>
    </row>
    <row r="462" spans="4:10" x14ac:dyDescent="0.3">
      <c r="D462"/>
      <c r="F462"/>
      <c r="G462"/>
      <c r="H462"/>
      <c r="I462"/>
      <c r="J462"/>
    </row>
    <row r="463" spans="4:10" x14ac:dyDescent="0.3">
      <c r="D463"/>
      <c r="F463"/>
      <c r="G463"/>
      <c r="H463"/>
      <c r="I463"/>
      <c r="J463"/>
    </row>
    <row r="464" spans="4:10" x14ac:dyDescent="0.3">
      <c r="D464"/>
      <c r="F464"/>
      <c r="G464"/>
      <c r="H464"/>
      <c r="I464"/>
      <c r="J464"/>
    </row>
    <row r="465" spans="4:10" x14ac:dyDescent="0.3">
      <c r="D465"/>
      <c r="F465"/>
      <c r="G465"/>
      <c r="H465"/>
      <c r="I465"/>
      <c r="J465"/>
    </row>
    <row r="466" spans="4:10" x14ac:dyDescent="0.3">
      <c r="D466"/>
      <c r="F466"/>
      <c r="G466"/>
      <c r="H466"/>
      <c r="I466"/>
      <c r="J466"/>
    </row>
    <row r="467" spans="4:10" x14ac:dyDescent="0.3">
      <c r="D467"/>
      <c r="F467"/>
      <c r="G467"/>
      <c r="H467"/>
      <c r="I467"/>
      <c r="J467"/>
    </row>
    <row r="468" spans="4:10" x14ac:dyDescent="0.3">
      <c r="D468"/>
      <c r="F468"/>
      <c r="G468"/>
      <c r="H468"/>
      <c r="I468"/>
      <c r="J4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ACCE-1737-42D3-860A-45274FE64E28}">
  <dimension ref="B1:G11"/>
  <sheetViews>
    <sheetView workbookViewId="0">
      <selection activeCell="F20" sqref="F20"/>
    </sheetView>
  </sheetViews>
  <sheetFormatPr defaultRowHeight="14.4" x14ac:dyDescent="0.3"/>
  <cols>
    <col min="2" max="2" width="9.33203125" bestFit="1" customWidth="1"/>
    <col min="3" max="3" width="15.21875" customWidth="1"/>
  </cols>
  <sheetData>
    <row r="1" spans="2:7" x14ac:dyDescent="0.3">
      <c r="B1" t="s">
        <v>78</v>
      </c>
      <c r="C1" t="s">
        <v>79</v>
      </c>
      <c r="D1" t="s">
        <v>2</v>
      </c>
      <c r="E1" t="s">
        <v>80</v>
      </c>
      <c r="F1" t="s">
        <v>82</v>
      </c>
      <c r="G1" t="s">
        <v>81</v>
      </c>
    </row>
    <row r="2" spans="2:7" x14ac:dyDescent="0.3">
      <c r="B2" s="13">
        <v>5360109</v>
      </c>
      <c r="C2" s="14">
        <v>44889.895833333336</v>
      </c>
      <c r="D2" s="15">
        <v>0.77092514932370093</v>
      </c>
      <c r="E2" s="20">
        <v>2156</v>
      </c>
      <c r="F2" s="17">
        <v>2089.2551250504935</v>
      </c>
      <c r="G2" s="17">
        <v>66.744874949506539</v>
      </c>
    </row>
    <row r="3" spans="2:7" x14ac:dyDescent="0.3">
      <c r="B3" s="13">
        <v>5362428</v>
      </c>
      <c r="C3" s="14">
        <v>44924.385416666664</v>
      </c>
      <c r="D3" s="15">
        <v>0.90951120344386138</v>
      </c>
      <c r="E3" s="20">
        <v>2156.0000000000009</v>
      </c>
      <c r="F3" s="17">
        <v>2193.6597902580847</v>
      </c>
      <c r="G3" s="17">
        <v>-37.659790258083831</v>
      </c>
    </row>
    <row r="4" spans="2:7" x14ac:dyDescent="0.3">
      <c r="B4" s="13">
        <v>5363631</v>
      </c>
      <c r="C4" s="14">
        <v>44930.28125</v>
      </c>
      <c r="D4" s="15">
        <v>0.89735170057386959</v>
      </c>
      <c r="E4" s="20">
        <v>2156.0000000000005</v>
      </c>
      <c r="F4" s="17">
        <v>2061.0628171219187</v>
      </c>
      <c r="G4" s="17">
        <v>94.937182878081785</v>
      </c>
    </row>
    <row r="5" spans="2:7" x14ac:dyDescent="0.3">
      <c r="B5" s="13">
        <v>5375849</v>
      </c>
      <c r="C5" s="14">
        <v>45105.125</v>
      </c>
      <c r="D5" s="15">
        <v>0.77454346143426089</v>
      </c>
      <c r="E5" s="20">
        <v>2155.9999999999995</v>
      </c>
      <c r="F5" s="17">
        <v>2155.9973214955303</v>
      </c>
      <c r="G5" s="17">
        <v>2.6785044692587689E-3</v>
      </c>
    </row>
    <row r="6" spans="2:7" x14ac:dyDescent="0.3">
      <c r="B6" s="13">
        <v>5376987</v>
      </c>
      <c r="C6" s="14">
        <v>45115.208333333336</v>
      </c>
      <c r="D6" s="15">
        <v>0.83651101132809536</v>
      </c>
      <c r="E6" s="20">
        <v>2156</v>
      </c>
      <c r="F6" s="17">
        <v>2155.9943643559386</v>
      </c>
      <c r="G6" s="17">
        <v>5.635644061385392E-3</v>
      </c>
    </row>
    <row r="7" spans="2:7" x14ac:dyDescent="0.3">
      <c r="B7" s="13">
        <v>5376990</v>
      </c>
      <c r="C7" s="14">
        <v>45116.215277777781</v>
      </c>
      <c r="D7" s="15">
        <v>0.85462745916064775</v>
      </c>
      <c r="E7" s="20">
        <v>2156.0000000000009</v>
      </c>
      <c r="F7" s="17">
        <v>2213.5185910101936</v>
      </c>
      <c r="G7" s="17">
        <v>-57.518591010192722</v>
      </c>
    </row>
    <row r="8" spans="2:7" x14ac:dyDescent="0.3">
      <c r="B8" s="13">
        <v>5377108</v>
      </c>
      <c r="C8" s="14">
        <v>45119.253472222219</v>
      </c>
      <c r="D8" s="15">
        <v>0.89593811111080524</v>
      </c>
      <c r="E8" s="20">
        <v>2155.9999999999995</v>
      </c>
      <c r="F8" s="17">
        <v>2156.1435541691085</v>
      </c>
      <c r="G8" s="17">
        <v>-0.14355416910893837</v>
      </c>
    </row>
    <row r="9" spans="2:7" x14ac:dyDescent="0.3">
      <c r="B9" s="13">
        <v>5377174</v>
      </c>
      <c r="C9" s="14">
        <v>45120.197916666664</v>
      </c>
      <c r="D9" s="15">
        <v>0.76251464176601746</v>
      </c>
      <c r="E9" s="20">
        <v>2156</v>
      </c>
      <c r="F9" s="17">
        <v>2155.9853129865237</v>
      </c>
      <c r="G9" s="17">
        <v>1.4687013476304855E-2</v>
      </c>
    </row>
    <row r="10" spans="2:7" x14ac:dyDescent="0.3">
      <c r="B10" s="13">
        <v>5377177</v>
      </c>
      <c r="C10" s="14">
        <v>45121.059027777781</v>
      </c>
      <c r="D10" s="15">
        <v>0.79281783767606884</v>
      </c>
      <c r="E10" s="20">
        <v>2155.9999999999995</v>
      </c>
      <c r="F10" s="17">
        <v>2155.995248418787</v>
      </c>
      <c r="G10" s="17">
        <v>4.7515812125311641E-3</v>
      </c>
    </row>
    <row r="11" spans="2:7" x14ac:dyDescent="0.3">
      <c r="B11" s="13">
        <v>5377184</v>
      </c>
      <c r="C11" s="14">
        <v>45124.291666666664</v>
      </c>
      <c r="D11" s="15">
        <v>0.83708440342326451</v>
      </c>
      <c r="E11" s="20">
        <v>2156.0000000000005</v>
      </c>
      <c r="F11" s="17">
        <v>2155.737656282653</v>
      </c>
      <c r="G11" s="17">
        <v>0.26234371734744855</v>
      </c>
    </row>
  </sheetData>
  <autoFilter ref="B1:G1" xr:uid="{D5B2ACCE-1737-42D3-860A-45274FE64E28}">
    <sortState xmlns:xlrd2="http://schemas.microsoft.com/office/spreadsheetml/2017/richdata2" ref="B2:G11">
      <sortCondition ref="C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F04D-92C8-42D0-965D-41E44FE2F6A5}">
  <dimension ref="A3:G18"/>
  <sheetViews>
    <sheetView workbookViewId="0">
      <selection activeCell="F39" sqref="F39"/>
    </sheetView>
  </sheetViews>
  <sheetFormatPr defaultRowHeight="14.4" x14ac:dyDescent="0.3"/>
  <cols>
    <col min="2" max="2" width="9.33203125" bestFit="1" customWidth="1"/>
    <col min="3" max="3" width="10.5546875" bestFit="1" customWidth="1"/>
  </cols>
  <sheetData>
    <row r="3" spans="1:7" x14ac:dyDescent="0.3">
      <c r="B3" t="s">
        <v>78</v>
      </c>
      <c r="C3" t="s">
        <v>15</v>
      </c>
      <c r="D3" t="s">
        <v>83</v>
      </c>
      <c r="E3" t="s">
        <v>84</v>
      </c>
      <c r="F3" t="s">
        <v>85</v>
      </c>
      <c r="G3" t="s">
        <v>86</v>
      </c>
    </row>
    <row r="4" spans="1:7" x14ac:dyDescent="0.3">
      <c r="A4" t="s">
        <v>41</v>
      </c>
      <c r="B4" s="13">
        <v>5375852</v>
      </c>
      <c r="C4" s="14">
        <v>45104.177083333336</v>
      </c>
      <c r="D4" s="15">
        <v>0.7959870591403041</v>
      </c>
      <c r="E4" s="20">
        <v>2156.0000000000009</v>
      </c>
      <c r="F4" s="17">
        <v>2155.9994670872343</v>
      </c>
      <c r="G4" s="17">
        <v>5.3291276663003373E-4</v>
      </c>
    </row>
    <row r="5" spans="1:7" x14ac:dyDescent="0.3">
      <c r="A5" t="s">
        <v>41</v>
      </c>
      <c r="B5" s="13">
        <v>5375849</v>
      </c>
      <c r="C5" s="14">
        <v>45105.125</v>
      </c>
      <c r="D5" s="15">
        <v>0.77454346143426089</v>
      </c>
      <c r="E5" s="20">
        <v>2155.9999999999995</v>
      </c>
      <c r="F5" s="17">
        <v>2155.9973214955303</v>
      </c>
      <c r="G5" s="17">
        <v>2.6785044692587689E-3</v>
      </c>
    </row>
    <row r="6" spans="1:7" x14ac:dyDescent="0.3">
      <c r="A6" t="s">
        <v>41</v>
      </c>
      <c r="B6" s="13">
        <v>5376350</v>
      </c>
      <c r="C6" s="14">
        <v>45113.645833333336</v>
      </c>
      <c r="D6" s="15">
        <v>0.83724480925385958</v>
      </c>
      <c r="E6" s="20">
        <v>2156.0000000000009</v>
      </c>
      <c r="F6" s="17">
        <v>2155.9695130017831</v>
      </c>
      <c r="G6" s="17">
        <v>3.0486998217838845E-2</v>
      </c>
    </row>
    <row r="7" spans="1:7" x14ac:dyDescent="0.3">
      <c r="A7" t="s">
        <v>41</v>
      </c>
      <c r="B7" s="13">
        <v>5376984</v>
      </c>
      <c r="C7" s="14">
        <v>45114.430555555555</v>
      </c>
      <c r="D7" s="15">
        <v>0.83901065501404892</v>
      </c>
      <c r="E7" s="20">
        <v>2156.0000000000009</v>
      </c>
      <c r="F7" s="17">
        <v>2161.3990298818276</v>
      </c>
      <c r="G7" s="17">
        <v>-5.3990298818266638</v>
      </c>
    </row>
    <row r="8" spans="1:7" x14ac:dyDescent="0.3">
      <c r="A8" t="s">
        <v>42</v>
      </c>
      <c r="B8" s="13">
        <v>5376987</v>
      </c>
      <c r="C8" s="14">
        <v>45115.208333333336</v>
      </c>
      <c r="D8" s="15">
        <v>0.83651101132809536</v>
      </c>
      <c r="E8" s="20">
        <v>2156</v>
      </c>
      <c r="F8" s="17">
        <v>2155.9943643559386</v>
      </c>
      <c r="G8" s="17">
        <v>5.635644061385392E-3</v>
      </c>
    </row>
    <row r="9" spans="1:7" x14ac:dyDescent="0.3">
      <c r="A9" t="s">
        <v>42</v>
      </c>
      <c r="B9" s="13">
        <v>5376992</v>
      </c>
      <c r="C9" s="14">
        <v>45117.1875</v>
      </c>
      <c r="D9" s="15">
        <v>0.80766456001433184</v>
      </c>
      <c r="E9" s="20">
        <v>2156</v>
      </c>
      <c r="F9" s="17">
        <v>2155.9862422642968</v>
      </c>
      <c r="G9" s="17">
        <v>1.3757735703165963E-2</v>
      </c>
    </row>
    <row r="10" spans="1:7" x14ac:dyDescent="0.3">
      <c r="A10" t="s">
        <v>42</v>
      </c>
      <c r="B10" s="13">
        <v>5377108</v>
      </c>
      <c r="C10" s="14">
        <v>45119.253472222219</v>
      </c>
      <c r="D10" s="15">
        <v>0.89593811111080524</v>
      </c>
      <c r="E10" s="20">
        <v>2155.9999999999995</v>
      </c>
      <c r="F10" s="17">
        <v>2156.1435541691085</v>
      </c>
      <c r="G10" s="17">
        <v>-0.14355416910893837</v>
      </c>
    </row>
    <row r="11" spans="1:7" x14ac:dyDescent="0.3">
      <c r="A11" t="s">
        <v>42</v>
      </c>
      <c r="B11" s="13">
        <v>5377174</v>
      </c>
      <c r="C11" s="14">
        <v>45120.197916666664</v>
      </c>
      <c r="D11" s="15">
        <v>0.76251464176601746</v>
      </c>
      <c r="E11" s="20">
        <v>2156</v>
      </c>
      <c r="F11" s="17">
        <v>2155.9853129865237</v>
      </c>
      <c r="G11" s="17">
        <v>1.4687013476304855E-2</v>
      </c>
    </row>
    <row r="12" spans="1:7" x14ac:dyDescent="0.3">
      <c r="A12" t="s">
        <v>42</v>
      </c>
      <c r="B12" s="13">
        <v>5377177</v>
      </c>
      <c r="C12" s="14">
        <v>45121.059027777781</v>
      </c>
      <c r="D12" s="15">
        <v>0.79281783767606884</v>
      </c>
      <c r="E12" s="20">
        <v>2155.9999999999995</v>
      </c>
      <c r="F12" s="17">
        <v>2155.995248418787</v>
      </c>
      <c r="G12" s="17">
        <v>4.7515812125311641E-3</v>
      </c>
    </row>
    <row r="13" spans="1:7" x14ac:dyDescent="0.3">
      <c r="A13" t="s">
        <v>42</v>
      </c>
      <c r="B13" s="13">
        <v>5377184</v>
      </c>
      <c r="C13" s="14">
        <v>45124.291666666664</v>
      </c>
      <c r="D13" s="15">
        <v>0.83708440342326451</v>
      </c>
      <c r="E13" s="20">
        <v>2156.0000000000005</v>
      </c>
      <c r="F13" s="17">
        <v>2155.737656282653</v>
      </c>
      <c r="G13" s="17">
        <v>0.26234371734744855</v>
      </c>
    </row>
    <row r="16" spans="1:7" x14ac:dyDescent="0.3">
      <c r="F16" s="7">
        <f>AVERAGE(F4:F13)</f>
        <v>2156.5207709943679</v>
      </c>
    </row>
    <row r="17" spans="6:6" x14ac:dyDescent="0.3">
      <c r="F17">
        <f>_xlfn.STDEV.S(F4:F13)</f>
        <v>1.7168552531274093</v>
      </c>
    </row>
    <row r="18" spans="6:6" x14ac:dyDescent="0.3">
      <c r="F18">
        <f>F17*3</f>
        <v>5.1505657593822276</v>
      </c>
    </row>
  </sheetData>
  <autoFilter ref="B3:G3" xr:uid="{97BCF04D-92C8-42D0-965D-41E44FE2F6A5}">
    <sortState xmlns:xlrd2="http://schemas.microsoft.com/office/spreadsheetml/2017/richdata2" ref="B4:G13">
      <sortCondition ref="C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WO_data</vt:lpstr>
      <vt:lpstr>Pivot</vt:lpstr>
      <vt:lpstr>CN</vt:lpstr>
      <vt:lpstr>recipe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Carruthers</cp:lastModifiedBy>
  <dcterms:created xsi:type="dcterms:W3CDTF">2023-09-28T10:32:55Z</dcterms:created>
  <dcterms:modified xsi:type="dcterms:W3CDTF">2023-09-29T15:29:24Z</dcterms:modified>
</cp:coreProperties>
</file>