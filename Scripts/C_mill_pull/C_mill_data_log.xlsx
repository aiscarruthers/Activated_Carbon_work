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66925"/>
  <mc:AlternateContent xmlns:mc="http://schemas.openxmlformats.org/markup-compatibility/2006">
    <mc:Choice Requires="x15">
      <x15ac:absPath xmlns:x15ac="http://schemas.microsoft.com/office/spreadsheetml/2010/11/ac" url="C:\Users\ACarruther\AppData\Local\Programs\bin\Scripts\C_mill_pull\"/>
    </mc:Choice>
  </mc:AlternateContent>
  <xr:revisionPtr revIDLastSave="0" documentId="13_ncr:1_{3ABE0F2E-83C6-4382-B686-DD82AA102605}" xr6:coauthVersionLast="47" xr6:coauthVersionMax="47" xr10:uidLastSave="{00000000-0000-0000-0000-000000000000}"/>
  <bookViews>
    <workbookView xWindow="57480" yWindow="-120" windowWidth="29040" windowHeight="15840" activeTab="2" xr2:uid="{7957431A-BE43-449B-8027-B933A5453674}"/>
  </bookViews>
  <sheets>
    <sheet name="Data" sheetId="1" r:id="rId1"/>
    <sheet name="Pivot Data" sheetId="2" r:id="rId2"/>
    <sheet name="Dashboard" sheetId="3" r:id="rId3"/>
  </sheets>
  <definedNames>
    <definedName name="Slicer_recipe">#N/A</definedName>
  </definedNames>
  <calcPr calcId="191029"/>
  <pivotCaches>
    <pivotCache cacheId="2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2" i="1" l="1"/>
  <c r="AW3" i="1"/>
  <c r="AW4" i="1"/>
  <c r="AW5" i="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55" i="1"/>
  <c r="AW56" i="1"/>
  <c r="AW57" i="1"/>
  <c r="AV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U2"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T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S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R2" i="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Q2" i="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N57" i="1" l="1"/>
  <c r="AO57" i="1"/>
  <c r="AN56" i="1"/>
  <c r="AO56" i="1"/>
  <c r="AN55" i="1"/>
  <c r="AO55" i="1"/>
  <c r="AN54" i="1"/>
  <c r="AO54" i="1"/>
  <c r="AN52" i="1"/>
  <c r="AO52" i="1"/>
  <c r="AN2" i="1"/>
  <c r="AN3" i="1"/>
  <c r="AN4" i="1"/>
  <c r="AN5" i="1"/>
  <c r="AN6" i="1"/>
  <c r="AN7" i="1"/>
  <c r="AN8" i="1"/>
  <c r="AN10" i="1"/>
  <c r="AN9" i="1"/>
  <c r="AN11" i="1"/>
  <c r="AN12" i="1"/>
  <c r="AN13" i="1"/>
  <c r="AN14" i="1"/>
  <c r="AN15" i="1"/>
  <c r="AN16" i="1"/>
  <c r="AN17" i="1"/>
  <c r="AN18" i="1"/>
  <c r="AN19" i="1"/>
  <c r="AN20" i="1"/>
  <c r="AN21" i="1"/>
  <c r="AN22" i="1"/>
  <c r="AN23" i="1"/>
  <c r="AN24" i="1"/>
  <c r="AN25" i="1"/>
  <c r="AN26" i="1"/>
  <c r="AN27" i="1"/>
  <c r="AN28" i="1"/>
  <c r="AN30" i="1"/>
  <c r="AN31" i="1"/>
  <c r="AN29" i="1"/>
  <c r="AN32" i="1"/>
  <c r="AN33" i="1"/>
  <c r="AN34" i="1"/>
  <c r="AN35" i="1"/>
  <c r="AN36" i="1"/>
  <c r="AN37" i="1"/>
  <c r="AN38" i="1"/>
  <c r="AN39" i="1"/>
  <c r="AN40" i="1"/>
  <c r="AN41" i="1"/>
  <c r="AN42" i="1"/>
  <c r="AN43" i="1"/>
  <c r="AN44" i="1"/>
  <c r="AN45" i="1"/>
  <c r="AN46" i="1"/>
  <c r="AN47" i="1"/>
  <c r="AN48" i="1"/>
  <c r="AN49" i="1"/>
  <c r="AN50" i="1"/>
  <c r="AN51" i="1"/>
  <c r="AN53" i="1"/>
  <c r="AO53" i="1"/>
  <c r="AO51" i="1"/>
  <c r="AO50" i="1"/>
  <c r="AO49" i="1"/>
  <c r="AO48" i="1"/>
  <c r="AO47" i="1"/>
  <c r="AO46" i="1"/>
  <c r="AO45" i="1"/>
  <c r="AO44" i="1"/>
  <c r="AO43" i="1"/>
  <c r="AO42" i="1"/>
  <c r="AO41" i="1"/>
  <c r="AO40" i="1"/>
  <c r="AO39" i="1"/>
  <c r="AO38" i="1"/>
  <c r="AO37" i="1"/>
  <c r="AO36" i="1"/>
  <c r="AO35" i="1"/>
  <c r="AO34" i="1"/>
  <c r="AO33" i="1"/>
  <c r="AO32" i="1"/>
  <c r="AO29" i="1"/>
  <c r="AO30" i="1"/>
  <c r="AO31" i="1"/>
  <c r="AO28" i="1"/>
  <c r="AO27" i="1"/>
  <c r="AO3" i="1"/>
  <c r="AO4" i="1"/>
  <c r="AO5" i="1"/>
  <c r="AO6" i="1"/>
  <c r="AO7" i="1"/>
  <c r="AO8" i="1"/>
  <c r="AO10" i="1"/>
  <c r="AO9" i="1"/>
  <c r="AO11" i="1"/>
  <c r="AO12" i="1"/>
  <c r="AO13" i="1"/>
  <c r="AO14" i="1"/>
  <c r="AO15" i="1"/>
  <c r="AO16" i="1"/>
  <c r="AO17" i="1"/>
  <c r="AO18" i="1"/>
  <c r="AO19" i="1"/>
  <c r="AO20" i="1"/>
  <c r="AO21" i="1"/>
  <c r="AO22" i="1"/>
  <c r="AO23" i="1"/>
  <c r="AO24" i="1"/>
  <c r="AO25" i="1"/>
  <c r="AO26" i="1"/>
  <c r="AO2" i="1"/>
</calcChain>
</file>

<file path=xl/sharedStrings.xml><?xml version="1.0" encoding="utf-8"?>
<sst xmlns="http://schemas.openxmlformats.org/spreadsheetml/2006/main" count="842" uniqueCount="98">
  <si>
    <t>date</t>
  </si>
  <si>
    <t>recipe</t>
  </si>
  <si>
    <t>Grade</t>
  </si>
  <si>
    <t>m³/h</t>
  </si>
  <si>
    <t>mmWG</t>
  </si>
  <si>
    <t>mbar</t>
  </si>
  <si>
    <t>kg</t>
  </si>
  <si>
    <t>%</t>
  </si>
  <si>
    <t>19</t>
  </si>
  <si>
    <t>C*1</t>
  </si>
  <si>
    <t>43</t>
  </si>
  <si>
    <t>C*4</t>
  </si>
  <si>
    <t>38</t>
  </si>
  <si>
    <t>C*3</t>
  </si>
  <si>
    <t>22</t>
  </si>
  <si>
    <t>40</t>
  </si>
  <si>
    <t>3</t>
  </si>
  <si>
    <t>C*SPF</t>
  </si>
  <si>
    <t>67</t>
  </si>
  <si>
    <t>KB-G</t>
  </si>
  <si>
    <t>65</t>
  </si>
  <si>
    <t>KB-WJ / CAP SUPER</t>
  </si>
  <si>
    <t>Deviation from feed</t>
  </si>
  <si>
    <t>70</t>
  </si>
  <si>
    <t>MELCD/CA1PA</t>
  </si>
  <si>
    <t>F502 mean</t>
  </si>
  <si>
    <t>F502 tol</t>
  </si>
  <si>
    <t>F502 units</t>
  </si>
  <si>
    <t>F51 mean</t>
  </si>
  <si>
    <t>F51 tol</t>
  </si>
  <si>
    <t>F51 units</t>
  </si>
  <si>
    <t>F51 set point</t>
  </si>
  <si>
    <t>F51_OP mean</t>
  </si>
  <si>
    <t>F51_OP tol</t>
  </si>
  <si>
    <t>F51_OP units</t>
  </si>
  <si>
    <t>F52_OP mean</t>
  </si>
  <si>
    <t>F52_OP tol</t>
  </si>
  <si>
    <t>F52_OP units</t>
  </si>
  <si>
    <t>F52 mean</t>
  </si>
  <si>
    <t>F52 tol</t>
  </si>
  <si>
    <t>F52 units</t>
  </si>
  <si>
    <t>F52 set point</t>
  </si>
  <si>
    <t>P51 mean</t>
  </si>
  <si>
    <t>P51 tol</t>
  </si>
  <si>
    <t>P51 units</t>
  </si>
  <si>
    <t>P52 mean</t>
  </si>
  <si>
    <t>P52 tol</t>
  </si>
  <si>
    <t>P52 units</t>
  </si>
  <si>
    <t>P53 mean</t>
  </si>
  <si>
    <t>P53 tol</t>
  </si>
  <si>
    <t>P53 units</t>
  </si>
  <si>
    <t>P54 mean</t>
  </si>
  <si>
    <t>P54 tol</t>
  </si>
  <si>
    <t>P54 units</t>
  </si>
  <si>
    <t>S51 mean</t>
  </si>
  <si>
    <t>S51 tol</t>
  </si>
  <si>
    <t>S51 units</t>
  </si>
  <si>
    <t>S52 mean</t>
  </si>
  <si>
    <t>S52 tol</t>
  </si>
  <si>
    <t>S52 units</t>
  </si>
  <si>
    <t>29</t>
  </si>
  <si>
    <t>LAC</t>
  </si>
  <si>
    <t>Goal Feed rate</t>
  </si>
  <si>
    <t>Row Labels</t>
  </si>
  <si>
    <t>Grand Total</t>
  </si>
  <si>
    <t>Average of F502 mean</t>
  </si>
  <si>
    <t>Sum of P51 mean</t>
  </si>
  <si>
    <t>11</t>
  </si>
  <si>
    <t>C*1P</t>
  </si>
  <si>
    <t>Average of F502 tol</t>
  </si>
  <si>
    <t>Sum of P51 tol</t>
  </si>
  <si>
    <t>Total Feedrate - LAC</t>
  </si>
  <si>
    <t>(All)</t>
  </si>
  <si>
    <t>Average of F51_OP mean</t>
  </si>
  <si>
    <t>Average of F51_OP tol</t>
  </si>
  <si>
    <t>Average of F51 mean</t>
  </si>
  <si>
    <t>Average of F51 tol</t>
  </si>
  <si>
    <t>Average of F52 mean</t>
  </si>
  <si>
    <t>Average of F52 tol</t>
  </si>
  <si>
    <t>Average of F52_OP mean</t>
  </si>
  <si>
    <t>Average of F52_OP tol</t>
  </si>
  <si>
    <t>Cyclone dP</t>
  </si>
  <si>
    <t>Cyclon dP tol</t>
  </si>
  <si>
    <t>Mill dP</t>
  </si>
  <si>
    <t>Mill dP tol</t>
  </si>
  <si>
    <t>Classifier dP</t>
  </si>
  <si>
    <t>Classifier dP tol</t>
  </si>
  <si>
    <t>Average of Mill dP</t>
  </si>
  <si>
    <t>Average of Mill dP tol</t>
  </si>
  <si>
    <t>Sum of Classifier dP</t>
  </si>
  <si>
    <t>Sum of Classifier dP tol</t>
  </si>
  <si>
    <t>Average of Cyclone dP</t>
  </si>
  <si>
    <t>Average of Cyclon dP tol</t>
  </si>
  <si>
    <t>Fan dP</t>
  </si>
  <si>
    <t>Fan dP tol</t>
  </si>
  <si>
    <t>Average of Fan dP</t>
  </si>
  <si>
    <t>Average of Fan dP tol</t>
  </si>
  <si>
    <t>Average of Deviation from 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</si>
</sst>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Data!PivotTable1</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Data'!$C$5</c:f>
              <c:strCache>
                <c:ptCount val="1"/>
                <c:pt idx="0">
                  <c:v>Average of F502 mean</c:v>
                </c:pt>
              </c:strCache>
            </c:strRef>
          </c:tx>
          <c:spPr>
            <a:ln w="28575" cap="rnd">
              <a:solidFill>
                <a:schemeClr val="accent1"/>
              </a:solidFill>
              <a:round/>
            </a:ln>
            <a:effectLst/>
          </c:spPr>
          <c:marker>
            <c:symbol val="none"/>
          </c:marker>
          <c:errBars>
            <c:errDir val="y"/>
            <c:errBarType val="both"/>
            <c:errValType val="cust"/>
            <c:noEndCap val="0"/>
            <c:plus>
              <c:numRef>
                <c:f>'Pivot Data'!$D$6:$D$45</c:f>
                <c:numCache>
                  <c:formatCode>General</c:formatCode>
                  <c:ptCount val="40"/>
                  <c:pt idx="0">
                    <c:v>17.260000000000002</c:v>
                  </c:pt>
                  <c:pt idx="1">
                    <c:v>16.276666666666667</c:v>
                  </c:pt>
                  <c:pt idx="2">
                    <c:v>21.39</c:v>
                  </c:pt>
                  <c:pt idx="3">
                    <c:v>17.884999999999998</c:v>
                  </c:pt>
                  <c:pt idx="4">
                    <c:v>20.98</c:v>
                  </c:pt>
                  <c:pt idx="5">
                    <c:v>19.515000000000001</c:v>
                  </c:pt>
                  <c:pt idx="6">
                    <c:v>28.069999999999997</c:v>
                  </c:pt>
                  <c:pt idx="7">
                    <c:v>20.433333333333334</c:v>
                  </c:pt>
                  <c:pt idx="8">
                    <c:v>16.53</c:v>
                  </c:pt>
                  <c:pt idx="9">
                    <c:v>13.64</c:v>
                  </c:pt>
                  <c:pt idx="10">
                    <c:v>13.52</c:v>
                  </c:pt>
                  <c:pt idx="11">
                    <c:v>20.38</c:v>
                  </c:pt>
                  <c:pt idx="12">
                    <c:v>16.03</c:v>
                  </c:pt>
                  <c:pt idx="13">
                    <c:v>33.33</c:v>
                  </c:pt>
                  <c:pt idx="14">
                    <c:v>35.15</c:v>
                  </c:pt>
                  <c:pt idx="15">
                    <c:v>13</c:v>
                  </c:pt>
                  <c:pt idx="16">
                    <c:v>31.6</c:v>
                  </c:pt>
                  <c:pt idx="17">
                    <c:v>10.96</c:v>
                  </c:pt>
                  <c:pt idx="18">
                    <c:v>10.96</c:v>
                  </c:pt>
                  <c:pt idx="19">
                    <c:v>28.97</c:v>
                  </c:pt>
                  <c:pt idx="20">
                    <c:v>21.184999999999999</c:v>
                  </c:pt>
                  <c:pt idx="21">
                    <c:v>24.47</c:v>
                  </c:pt>
                  <c:pt idx="22">
                    <c:v>34.17</c:v>
                  </c:pt>
                  <c:pt idx="23">
                    <c:v>27.234999999999999</c:v>
                  </c:pt>
                  <c:pt idx="24">
                    <c:v>37.770000000000003</c:v>
                  </c:pt>
                  <c:pt idx="25">
                    <c:v>16.95</c:v>
                  </c:pt>
                  <c:pt idx="26">
                    <c:v>16.95</c:v>
                  </c:pt>
                  <c:pt idx="27">
                    <c:v>18.78</c:v>
                  </c:pt>
                  <c:pt idx="28">
                    <c:v>28.24</c:v>
                  </c:pt>
                  <c:pt idx="29">
                    <c:v>34.619999999999997</c:v>
                  </c:pt>
                  <c:pt idx="30">
                    <c:v>55.73</c:v>
                  </c:pt>
                  <c:pt idx="31">
                    <c:v>43.11</c:v>
                  </c:pt>
                  <c:pt idx="32">
                    <c:v>64.39</c:v>
                  </c:pt>
                  <c:pt idx="33">
                    <c:v>24.643333333333334</c:v>
                  </c:pt>
                  <c:pt idx="34">
                    <c:v>21.52</c:v>
                  </c:pt>
                  <c:pt idx="35">
                    <c:v>24.26</c:v>
                  </c:pt>
                  <c:pt idx="36">
                    <c:v>39.31</c:v>
                  </c:pt>
                  <c:pt idx="37">
                    <c:v>83.98</c:v>
                  </c:pt>
                  <c:pt idx="38">
                    <c:v>90.924999999999997</c:v>
                  </c:pt>
                  <c:pt idx="39">
                    <c:v>9.39</c:v>
                  </c:pt>
                </c:numCache>
              </c:numRef>
            </c:plus>
            <c:minus>
              <c:numRef>
                <c:f>'Pivot Data'!$D$6:$D$45</c:f>
                <c:numCache>
                  <c:formatCode>General</c:formatCode>
                  <c:ptCount val="40"/>
                  <c:pt idx="0">
                    <c:v>17.260000000000002</c:v>
                  </c:pt>
                  <c:pt idx="1">
                    <c:v>16.276666666666667</c:v>
                  </c:pt>
                  <c:pt idx="2">
                    <c:v>21.39</c:v>
                  </c:pt>
                  <c:pt idx="3">
                    <c:v>17.884999999999998</c:v>
                  </c:pt>
                  <c:pt idx="4">
                    <c:v>20.98</c:v>
                  </c:pt>
                  <c:pt idx="5">
                    <c:v>19.515000000000001</c:v>
                  </c:pt>
                  <c:pt idx="6">
                    <c:v>28.069999999999997</c:v>
                  </c:pt>
                  <c:pt idx="7">
                    <c:v>20.433333333333334</c:v>
                  </c:pt>
                  <c:pt idx="8">
                    <c:v>16.53</c:v>
                  </c:pt>
                  <c:pt idx="9">
                    <c:v>13.64</c:v>
                  </c:pt>
                  <c:pt idx="10">
                    <c:v>13.52</c:v>
                  </c:pt>
                  <c:pt idx="11">
                    <c:v>20.38</c:v>
                  </c:pt>
                  <c:pt idx="12">
                    <c:v>16.03</c:v>
                  </c:pt>
                  <c:pt idx="13">
                    <c:v>33.33</c:v>
                  </c:pt>
                  <c:pt idx="14">
                    <c:v>35.15</c:v>
                  </c:pt>
                  <c:pt idx="15">
                    <c:v>13</c:v>
                  </c:pt>
                  <c:pt idx="16">
                    <c:v>31.6</c:v>
                  </c:pt>
                  <c:pt idx="17">
                    <c:v>10.96</c:v>
                  </c:pt>
                  <c:pt idx="18">
                    <c:v>10.96</c:v>
                  </c:pt>
                  <c:pt idx="19">
                    <c:v>28.97</c:v>
                  </c:pt>
                  <c:pt idx="20">
                    <c:v>21.184999999999999</c:v>
                  </c:pt>
                  <c:pt idx="21">
                    <c:v>24.47</c:v>
                  </c:pt>
                  <c:pt idx="22">
                    <c:v>34.17</c:v>
                  </c:pt>
                  <c:pt idx="23">
                    <c:v>27.234999999999999</c:v>
                  </c:pt>
                  <c:pt idx="24">
                    <c:v>37.770000000000003</c:v>
                  </c:pt>
                  <c:pt idx="25">
                    <c:v>16.95</c:v>
                  </c:pt>
                  <c:pt idx="26">
                    <c:v>16.95</c:v>
                  </c:pt>
                  <c:pt idx="27">
                    <c:v>18.78</c:v>
                  </c:pt>
                  <c:pt idx="28">
                    <c:v>28.24</c:v>
                  </c:pt>
                  <c:pt idx="29">
                    <c:v>34.619999999999997</c:v>
                  </c:pt>
                  <c:pt idx="30">
                    <c:v>55.73</c:v>
                  </c:pt>
                  <c:pt idx="31">
                    <c:v>43.11</c:v>
                  </c:pt>
                  <c:pt idx="32">
                    <c:v>64.39</c:v>
                  </c:pt>
                  <c:pt idx="33">
                    <c:v>24.643333333333334</c:v>
                  </c:pt>
                  <c:pt idx="34">
                    <c:v>21.52</c:v>
                  </c:pt>
                  <c:pt idx="35">
                    <c:v>24.26</c:v>
                  </c:pt>
                  <c:pt idx="36">
                    <c:v>39.31</c:v>
                  </c:pt>
                  <c:pt idx="37">
                    <c:v>83.98</c:v>
                  </c:pt>
                  <c:pt idx="38">
                    <c:v>90.924999999999997</c:v>
                  </c:pt>
                  <c:pt idx="39">
                    <c:v>9.39</c:v>
                  </c:pt>
                </c:numCache>
              </c:numRef>
            </c:minus>
            <c:spPr>
              <a:noFill/>
              <a:ln w="9525" cap="flat" cmpd="sng" algn="ctr">
                <a:solidFill>
                  <a:schemeClr val="tx1">
                    <a:lumMod val="65000"/>
                    <a:lumOff val="35000"/>
                  </a:schemeClr>
                </a:solidFill>
                <a:round/>
              </a:ln>
              <a:effectLst/>
            </c:spPr>
          </c:errBars>
          <c:cat>
            <c:strRef>
              <c:f>'Pivot Data'!$B$6:$B$46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Data'!$C$6:$C$46</c:f>
              <c:numCache>
                <c:formatCode>General</c:formatCode>
                <c:ptCount val="40"/>
                <c:pt idx="0">
                  <c:v>149.88</c:v>
                </c:pt>
                <c:pt idx="1">
                  <c:v>162.98666666666665</c:v>
                </c:pt>
                <c:pt idx="2">
                  <c:v>138.995</c:v>
                </c:pt>
                <c:pt idx="3">
                  <c:v>172.95499999999998</c:v>
                </c:pt>
                <c:pt idx="4">
                  <c:v>186.49</c:v>
                </c:pt>
                <c:pt idx="5">
                  <c:v>179.93</c:v>
                </c:pt>
                <c:pt idx="6">
                  <c:v>177.95666666666668</c:v>
                </c:pt>
                <c:pt idx="7">
                  <c:v>162.54</c:v>
                </c:pt>
                <c:pt idx="8">
                  <c:v>117.8</c:v>
                </c:pt>
                <c:pt idx="9">
                  <c:v>178.97</c:v>
                </c:pt>
                <c:pt idx="10">
                  <c:v>154.79</c:v>
                </c:pt>
                <c:pt idx="11">
                  <c:v>173.12</c:v>
                </c:pt>
                <c:pt idx="12">
                  <c:v>177.34</c:v>
                </c:pt>
                <c:pt idx="13">
                  <c:v>191.32</c:v>
                </c:pt>
                <c:pt idx="14">
                  <c:v>158.53</c:v>
                </c:pt>
                <c:pt idx="15">
                  <c:v>178.63</c:v>
                </c:pt>
                <c:pt idx="16">
                  <c:v>193.755</c:v>
                </c:pt>
                <c:pt idx="17">
                  <c:v>122.02</c:v>
                </c:pt>
                <c:pt idx="18">
                  <c:v>121.93</c:v>
                </c:pt>
                <c:pt idx="19">
                  <c:v>141.82</c:v>
                </c:pt>
                <c:pt idx="20">
                  <c:v>196.17500000000001</c:v>
                </c:pt>
                <c:pt idx="21">
                  <c:v>241.04</c:v>
                </c:pt>
                <c:pt idx="22">
                  <c:v>246.92</c:v>
                </c:pt>
                <c:pt idx="23">
                  <c:v>244.32</c:v>
                </c:pt>
                <c:pt idx="24">
                  <c:v>109.69</c:v>
                </c:pt>
                <c:pt idx="25">
                  <c:v>133.19999999999999</c:v>
                </c:pt>
                <c:pt idx="26">
                  <c:v>171.11</c:v>
                </c:pt>
                <c:pt idx="27">
                  <c:v>154.43</c:v>
                </c:pt>
                <c:pt idx="28">
                  <c:v>194.47</c:v>
                </c:pt>
                <c:pt idx="29">
                  <c:v>205.95</c:v>
                </c:pt>
                <c:pt idx="30">
                  <c:v>212.91</c:v>
                </c:pt>
                <c:pt idx="31">
                  <c:v>217.42</c:v>
                </c:pt>
                <c:pt idx="32">
                  <c:v>156</c:v>
                </c:pt>
                <c:pt idx="33">
                  <c:v>161.77000000000001</c:v>
                </c:pt>
                <c:pt idx="34">
                  <c:v>167.43</c:v>
                </c:pt>
                <c:pt idx="35">
                  <c:v>218.14</c:v>
                </c:pt>
                <c:pt idx="36">
                  <c:v>229.67</c:v>
                </c:pt>
                <c:pt idx="37">
                  <c:v>281.88</c:v>
                </c:pt>
                <c:pt idx="38">
                  <c:v>188.10500000000002</c:v>
                </c:pt>
                <c:pt idx="39">
                  <c:v>199.34</c:v>
                </c:pt>
              </c:numCache>
            </c:numRef>
          </c:val>
          <c:smooth val="0"/>
          <c:extLst>
            <c:ext xmlns:c16="http://schemas.microsoft.com/office/drawing/2014/chart" uri="{C3380CC4-5D6E-409C-BE32-E72D297353CC}">
              <c16:uniqueId val="{00000000-2068-4A16-91A3-E84CDC95486E}"/>
            </c:ext>
          </c:extLst>
        </c:ser>
        <c:ser>
          <c:idx val="1"/>
          <c:order val="1"/>
          <c:tx>
            <c:strRef>
              <c:f>'Pivot Data'!$D$5</c:f>
              <c:strCache>
                <c:ptCount val="1"/>
                <c:pt idx="0">
                  <c:v>Average of F502 tol</c:v>
                </c:pt>
              </c:strCache>
            </c:strRef>
          </c:tx>
          <c:spPr>
            <a:ln w="28575" cap="rnd">
              <a:solidFill>
                <a:schemeClr val="accent2"/>
              </a:solidFill>
              <a:round/>
            </a:ln>
            <a:effectLst/>
          </c:spPr>
          <c:marker>
            <c:symbol val="none"/>
          </c:marker>
          <c:cat>
            <c:strRef>
              <c:f>'Pivot Data'!$B$6:$B$46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Data'!$D$6:$D$46</c:f>
              <c:numCache>
                <c:formatCode>General</c:formatCode>
                <c:ptCount val="40"/>
                <c:pt idx="0">
                  <c:v>17.260000000000002</c:v>
                </c:pt>
                <c:pt idx="1">
                  <c:v>16.276666666666667</c:v>
                </c:pt>
                <c:pt idx="2">
                  <c:v>21.39</c:v>
                </c:pt>
                <c:pt idx="3">
                  <c:v>17.884999999999998</c:v>
                </c:pt>
                <c:pt idx="4">
                  <c:v>20.98</c:v>
                </c:pt>
                <c:pt idx="5">
                  <c:v>19.515000000000001</c:v>
                </c:pt>
                <c:pt idx="6">
                  <c:v>28.069999999999997</c:v>
                </c:pt>
                <c:pt idx="7">
                  <c:v>20.433333333333334</c:v>
                </c:pt>
                <c:pt idx="8">
                  <c:v>16.53</c:v>
                </c:pt>
                <c:pt idx="9">
                  <c:v>13.64</c:v>
                </c:pt>
                <c:pt idx="10">
                  <c:v>13.52</c:v>
                </c:pt>
                <c:pt idx="11">
                  <c:v>20.38</c:v>
                </c:pt>
                <c:pt idx="12">
                  <c:v>16.03</c:v>
                </c:pt>
                <c:pt idx="13">
                  <c:v>33.33</c:v>
                </c:pt>
                <c:pt idx="14">
                  <c:v>35.15</c:v>
                </c:pt>
                <c:pt idx="15">
                  <c:v>13</c:v>
                </c:pt>
                <c:pt idx="16">
                  <c:v>31.6</c:v>
                </c:pt>
                <c:pt idx="17">
                  <c:v>10.96</c:v>
                </c:pt>
                <c:pt idx="18">
                  <c:v>10.96</c:v>
                </c:pt>
                <c:pt idx="19">
                  <c:v>28.97</c:v>
                </c:pt>
                <c:pt idx="20">
                  <c:v>21.184999999999999</c:v>
                </c:pt>
                <c:pt idx="21">
                  <c:v>24.47</c:v>
                </c:pt>
                <c:pt idx="22">
                  <c:v>34.17</c:v>
                </c:pt>
                <c:pt idx="23">
                  <c:v>27.234999999999999</c:v>
                </c:pt>
                <c:pt idx="24">
                  <c:v>37.770000000000003</c:v>
                </c:pt>
                <c:pt idx="25">
                  <c:v>16.95</c:v>
                </c:pt>
                <c:pt idx="26">
                  <c:v>16.95</c:v>
                </c:pt>
                <c:pt idx="27">
                  <c:v>18.78</c:v>
                </c:pt>
                <c:pt idx="28">
                  <c:v>28.24</c:v>
                </c:pt>
                <c:pt idx="29">
                  <c:v>34.619999999999997</c:v>
                </c:pt>
                <c:pt idx="30">
                  <c:v>55.73</c:v>
                </c:pt>
                <c:pt idx="31">
                  <c:v>43.11</c:v>
                </c:pt>
                <c:pt idx="32">
                  <c:v>64.39</c:v>
                </c:pt>
                <c:pt idx="33">
                  <c:v>24.643333333333334</c:v>
                </c:pt>
                <c:pt idx="34">
                  <c:v>21.52</c:v>
                </c:pt>
                <c:pt idx="35">
                  <c:v>24.26</c:v>
                </c:pt>
                <c:pt idx="36">
                  <c:v>39.31</c:v>
                </c:pt>
                <c:pt idx="37">
                  <c:v>83.98</c:v>
                </c:pt>
                <c:pt idx="38">
                  <c:v>90.924999999999997</c:v>
                </c:pt>
                <c:pt idx="39">
                  <c:v>9.39</c:v>
                </c:pt>
              </c:numCache>
            </c:numRef>
          </c:val>
          <c:smooth val="0"/>
          <c:extLst>
            <c:ext xmlns:c16="http://schemas.microsoft.com/office/drawing/2014/chart" uri="{C3380CC4-5D6E-409C-BE32-E72D297353CC}">
              <c16:uniqueId val="{00000001-2068-4A16-91A3-E84CDC95486E}"/>
            </c:ext>
          </c:extLst>
        </c:ser>
        <c:dLbls>
          <c:showLegendKey val="0"/>
          <c:showVal val="0"/>
          <c:showCatName val="0"/>
          <c:showSerName val="0"/>
          <c:showPercent val="0"/>
          <c:showBubbleSize val="0"/>
        </c:dLbls>
        <c:smooth val="0"/>
        <c:axId val="316906320"/>
        <c:axId val="529213584"/>
      </c:lineChart>
      <c:catAx>
        <c:axId val="3169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13584"/>
        <c:crosses val="autoZero"/>
        <c:auto val="1"/>
        <c:lblAlgn val="ctr"/>
        <c:lblOffset val="100"/>
        <c:noMultiLvlLbl val="0"/>
      </c:catAx>
      <c:valAx>
        <c:axId val="52921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90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Data!PivotTable2</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Data'!$G$5</c:f>
              <c:strCache>
                <c:ptCount val="1"/>
                <c:pt idx="0">
                  <c:v>Sum of P51 mean</c:v>
                </c:pt>
              </c:strCache>
            </c:strRef>
          </c:tx>
          <c:spPr>
            <a:ln w="28575" cap="rnd">
              <a:solidFill>
                <a:schemeClr val="accent1"/>
              </a:solidFill>
              <a:round/>
            </a:ln>
            <a:effectLst/>
          </c:spPr>
          <c:marker>
            <c:symbol val="none"/>
          </c:marker>
          <c:errBars>
            <c:errDir val="y"/>
            <c:errBarType val="both"/>
            <c:errValType val="cust"/>
            <c:noEndCap val="0"/>
            <c:plus>
              <c:numRef>
                <c:f>'Pivot Data'!$H$6:$H$45</c:f>
                <c:numCache>
                  <c:formatCode>General</c:formatCode>
                  <c:ptCount val="40"/>
                  <c:pt idx="0">
                    <c:v>58.28</c:v>
                  </c:pt>
                  <c:pt idx="1">
                    <c:v>243.58</c:v>
                  </c:pt>
                  <c:pt idx="2">
                    <c:v>178.21</c:v>
                  </c:pt>
                  <c:pt idx="3">
                    <c:v>147.80000000000001</c:v>
                  </c:pt>
                  <c:pt idx="4">
                    <c:v>43.88</c:v>
                  </c:pt>
                  <c:pt idx="5">
                    <c:v>82.92</c:v>
                  </c:pt>
                  <c:pt idx="6">
                    <c:v>210.02</c:v>
                  </c:pt>
                  <c:pt idx="7">
                    <c:v>263.68</c:v>
                  </c:pt>
                  <c:pt idx="8">
                    <c:v>59.63</c:v>
                  </c:pt>
                  <c:pt idx="9">
                    <c:v>31.44</c:v>
                  </c:pt>
                  <c:pt idx="10">
                    <c:v>164.3</c:v>
                  </c:pt>
                  <c:pt idx="11">
                    <c:v>151.61000000000001</c:v>
                  </c:pt>
                  <c:pt idx="12">
                    <c:v>125.23</c:v>
                  </c:pt>
                  <c:pt idx="13">
                    <c:v>102.78</c:v>
                  </c:pt>
                  <c:pt idx="14">
                    <c:v>230.9</c:v>
                  </c:pt>
                  <c:pt idx="15">
                    <c:v>103.75</c:v>
                  </c:pt>
                  <c:pt idx="16">
                    <c:v>316.46000000000004</c:v>
                  </c:pt>
                  <c:pt idx="17">
                    <c:v>61.54</c:v>
                  </c:pt>
                  <c:pt idx="18">
                    <c:v>61.49</c:v>
                  </c:pt>
                  <c:pt idx="19">
                    <c:v>140.54</c:v>
                  </c:pt>
                  <c:pt idx="20">
                    <c:v>95.87</c:v>
                  </c:pt>
                  <c:pt idx="21">
                    <c:v>33.68</c:v>
                  </c:pt>
                  <c:pt idx="22">
                    <c:v>35.83</c:v>
                  </c:pt>
                  <c:pt idx="23">
                    <c:v>73.47</c:v>
                  </c:pt>
                  <c:pt idx="24">
                    <c:v>52.16</c:v>
                  </c:pt>
                  <c:pt idx="25">
                    <c:v>20.54</c:v>
                  </c:pt>
                  <c:pt idx="26">
                    <c:v>95.53</c:v>
                  </c:pt>
                  <c:pt idx="27">
                    <c:v>54.68</c:v>
                  </c:pt>
                  <c:pt idx="28">
                    <c:v>61.15</c:v>
                  </c:pt>
                  <c:pt idx="29">
                    <c:v>47.36</c:v>
                  </c:pt>
                  <c:pt idx="30">
                    <c:v>58.69</c:v>
                  </c:pt>
                  <c:pt idx="31">
                    <c:v>31.5</c:v>
                  </c:pt>
                  <c:pt idx="32">
                    <c:v>56.87</c:v>
                  </c:pt>
                  <c:pt idx="33">
                    <c:v>125.97</c:v>
                  </c:pt>
                  <c:pt idx="34">
                    <c:v>35.47</c:v>
                  </c:pt>
                  <c:pt idx="35">
                    <c:v>69.010000000000005</c:v>
                  </c:pt>
                  <c:pt idx="36">
                    <c:v>50.49</c:v>
                  </c:pt>
                  <c:pt idx="37">
                    <c:v>53.67</c:v>
                  </c:pt>
                  <c:pt idx="38">
                    <c:v>127.89999999999999</c:v>
                  </c:pt>
                  <c:pt idx="39">
                    <c:v>41.02</c:v>
                  </c:pt>
                </c:numCache>
              </c:numRef>
            </c:plus>
            <c:minus>
              <c:numRef>
                <c:f>'Pivot Data'!$H$6:$H$45</c:f>
                <c:numCache>
                  <c:formatCode>General</c:formatCode>
                  <c:ptCount val="40"/>
                  <c:pt idx="0">
                    <c:v>58.28</c:v>
                  </c:pt>
                  <c:pt idx="1">
                    <c:v>243.58</c:v>
                  </c:pt>
                  <c:pt idx="2">
                    <c:v>178.21</c:v>
                  </c:pt>
                  <c:pt idx="3">
                    <c:v>147.80000000000001</c:v>
                  </c:pt>
                  <c:pt idx="4">
                    <c:v>43.88</c:v>
                  </c:pt>
                  <c:pt idx="5">
                    <c:v>82.92</c:v>
                  </c:pt>
                  <c:pt idx="6">
                    <c:v>210.02</c:v>
                  </c:pt>
                  <c:pt idx="7">
                    <c:v>263.68</c:v>
                  </c:pt>
                  <c:pt idx="8">
                    <c:v>59.63</c:v>
                  </c:pt>
                  <c:pt idx="9">
                    <c:v>31.44</c:v>
                  </c:pt>
                  <c:pt idx="10">
                    <c:v>164.3</c:v>
                  </c:pt>
                  <c:pt idx="11">
                    <c:v>151.61000000000001</c:v>
                  </c:pt>
                  <c:pt idx="12">
                    <c:v>125.23</c:v>
                  </c:pt>
                  <c:pt idx="13">
                    <c:v>102.78</c:v>
                  </c:pt>
                  <c:pt idx="14">
                    <c:v>230.9</c:v>
                  </c:pt>
                  <c:pt idx="15">
                    <c:v>103.75</c:v>
                  </c:pt>
                  <c:pt idx="16">
                    <c:v>316.46000000000004</c:v>
                  </c:pt>
                  <c:pt idx="17">
                    <c:v>61.54</c:v>
                  </c:pt>
                  <c:pt idx="18">
                    <c:v>61.49</c:v>
                  </c:pt>
                  <c:pt idx="19">
                    <c:v>140.54</c:v>
                  </c:pt>
                  <c:pt idx="20">
                    <c:v>95.87</c:v>
                  </c:pt>
                  <c:pt idx="21">
                    <c:v>33.68</c:v>
                  </c:pt>
                  <c:pt idx="22">
                    <c:v>35.83</c:v>
                  </c:pt>
                  <c:pt idx="23">
                    <c:v>73.47</c:v>
                  </c:pt>
                  <c:pt idx="24">
                    <c:v>52.16</c:v>
                  </c:pt>
                  <c:pt idx="25">
                    <c:v>20.54</c:v>
                  </c:pt>
                  <c:pt idx="26">
                    <c:v>95.53</c:v>
                  </c:pt>
                  <c:pt idx="27">
                    <c:v>54.68</c:v>
                  </c:pt>
                  <c:pt idx="28">
                    <c:v>61.15</c:v>
                  </c:pt>
                  <c:pt idx="29">
                    <c:v>47.36</c:v>
                  </c:pt>
                  <c:pt idx="30">
                    <c:v>58.69</c:v>
                  </c:pt>
                  <c:pt idx="31">
                    <c:v>31.5</c:v>
                  </c:pt>
                  <c:pt idx="32">
                    <c:v>56.87</c:v>
                  </c:pt>
                  <c:pt idx="33">
                    <c:v>125.97</c:v>
                  </c:pt>
                  <c:pt idx="34">
                    <c:v>35.47</c:v>
                  </c:pt>
                  <c:pt idx="35">
                    <c:v>69.010000000000005</c:v>
                  </c:pt>
                  <c:pt idx="36">
                    <c:v>50.49</c:v>
                  </c:pt>
                  <c:pt idx="37">
                    <c:v>53.67</c:v>
                  </c:pt>
                  <c:pt idx="38">
                    <c:v>127.89999999999999</c:v>
                  </c:pt>
                  <c:pt idx="39">
                    <c:v>41.02</c:v>
                  </c:pt>
                </c:numCache>
              </c:numRef>
            </c:minus>
            <c:spPr>
              <a:noFill/>
              <a:ln w="9525" cap="flat" cmpd="sng" algn="ctr">
                <a:solidFill>
                  <a:schemeClr val="tx1">
                    <a:lumMod val="65000"/>
                    <a:lumOff val="35000"/>
                  </a:schemeClr>
                </a:solidFill>
                <a:round/>
              </a:ln>
              <a:effectLst/>
            </c:spPr>
          </c:errBars>
          <c:cat>
            <c:strRef>
              <c:f>'Pivot Data'!$F$6:$F$46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Data'!$G$6:$G$46</c:f>
              <c:numCache>
                <c:formatCode>General</c:formatCode>
                <c:ptCount val="40"/>
                <c:pt idx="0">
                  <c:v>-321.76</c:v>
                </c:pt>
                <c:pt idx="1">
                  <c:v>-386.64</c:v>
                </c:pt>
                <c:pt idx="2">
                  <c:v>-325.09000000000003</c:v>
                </c:pt>
                <c:pt idx="3">
                  <c:v>-289.97000000000003</c:v>
                </c:pt>
                <c:pt idx="4">
                  <c:v>-145.84</c:v>
                </c:pt>
                <c:pt idx="5">
                  <c:v>-298.21999999999997</c:v>
                </c:pt>
                <c:pt idx="6">
                  <c:v>-780.27</c:v>
                </c:pt>
                <c:pt idx="7">
                  <c:v>-703.69</c:v>
                </c:pt>
                <c:pt idx="8">
                  <c:v>-174.8</c:v>
                </c:pt>
                <c:pt idx="9">
                  <c:v>-156.56</c:v>
                </c:pt>
                <c:pt idx="10">
                  <c:v>-140.19</c:v>
                </c:pt>
                <c:pt idx="11">
                  <c:v>-92.92</c:v>
                </c:pt>
                <c:pt idx="12">
                  <c:v>-135.34</c:v>
                </c:pt>
                <c:pt idx="13">
                  <c:v>-160</c:v>
                </c:pt>
                <c:pt idx="14">
                  <c:v>-143.68</c:v>
                </c:pt>
                <c:pt idx="15">
                  <c:v>-181.09</c:v>
                </c:pt>
                <c:pt idx="16">
                  <c:v>-355.33</c:v>
                </c:pt>
                <c:pt idx="17">
                  <c:v>-181.59</c:v>
                </c:pt>
                <c:pt idx="18">
                  <c:v>-181.69</c:v>
                </c:pt>
                <c:pt idx="19">
                  <c:v>-132.5</c:v>
                </c:pt>
                <c:pt idx="20">
                  <c:v>-342.41999999999996</c:v>
                </c:pt>
                <c:pt idx="21">
                  <c:v>-283.83999999999997</c:v>
                </c:pt>
                <c:pt idx="22">
                  <c:v>-280.02999999999997</c:v>
                </c:pt>
                <c:pt idx="23">
                  <c:v>-498.49</c:v>
                </c:pt>
                <c:pt idx="24">
                  <c:v>-229.05</c:v>
                </c:pt>
                <c:pt idx="25">
                  <c:v>-80.239999999999995</c:v>
                </c:pt>
                <c:pt idx="26">
                  <c:v>-258.87</c:v>
                </c:pt>
                <c:pt idx="27">
                  <c:v>-113.94</c:v>
                </c:pt>
                <c:pt idx="28">
                  <c:v>-87.16</c:v>
                </c:pt>
                <c:pt idx="29">
                  <c:v>-68.73</c:v>
                </c:pt>
                <c:pt idx="30">
                  <c:v>-145.65</c:v>
                </c:pt>
                <c:pt idx="31">
                  <c:v>-153.97</c:v>
                </c:pt>
                <c:pt idx="32">
                  <c:v>-188.82</c:v>
                </c:pt>
                <c:pt idx="33">
                  <c:v>-639</c:v>
                </c:pt>
                <c:pt idx="34">
                  <c:v>-133.34</c:v>
                </c:pt>
                <c:pt idx="35">
                  <c:v>-213.2</c:v>
                </c:pt>
                <c:pt idx="36">
                  <c:v>-134.91999999999999</c:v>
                </c:pt>
                <c:pt idx="37">
                  <c:v>-209.3</c:v>
                </c:pt>
                <c:pt idx="38">
                  <c:v>-281.21000000000004</c:v>
                </c:pt>
                <c:pt idx="39">
                  <c:v>-60.43</c:v>
                </c:pt>
              </c:numCache>
            </c:numRef>
          </c:val>
          <c:smooth val="0"/>
          <c:extLst>
            <c:ext xmlns:c16="http://schemas.microsoft.com/office/drawing/2014/chart" uri="{C3380CC4-5D6E-409C-BE32-E72D297353CC}">
              <c16:uniqueId val="{00000000-2DAD-4F87-9492-5D0662E609BB}"/>
            </c:ext>
          </c:extLst>
        </c:ser>
        <c:ser>
          <c:idx val="1"/>
          <c:order val="1"/>
          <c:tx>
            <c:strRef>
              <c:f>'Pivot Data'!$H$5</c:f>
              <c:strCache>
                <c:ptCount val="1"/>
                <c:pt idx="0">
                  <c:v>Sum of P51 tol</c:v>
                </c:pt>
              </c:strCache>
            </c:strRef>
          </c:tx>
          <c:spPr>
            <a:ln w="28575" cap="rnd">
              <a:solidFill>
                <a:schemeClr val="accent2"/>
              </a:solidFill>
              <a:round/>
            </a:ln>
            <a:effectLst/>
          </c:spPr>
          <c:marker>
            <c:symbol val="none"/>
          </c:marker>
          <c:cat>
            <c:strRef>
              <c:f>'Pivot Data'!$F$6:$F$46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Data'!$H$6:$H$46</c:f>
              <c:numCache>
                <c:formatCode>General</c:formatCode>
                <c:ptCount val="40"/>
                <c:pt idx="0">
                  <c:v>58.28</c:v>
                </c:pt>
                <c:pt idx="1">
                  <c:v>243.58</c:v>
                </c:pt>
                <c:pt idx="2">
                  <c:v>178.21</c:v>
                </c:pt>
                <c:pt idx="3">
                  <c:v>147.80000000000001</c:v>
                </c:pt>
                <c:pt idx="4">
                  <c:v>43.88</c:v>
                </c:pt>
                <c:pt idx="5">
                  <c:v>82.92</c:v>
                </c:pt>
                <c:pt idx="6">
                  <c:v>210.02</c:v>
                </c:pt>
                <c:pt idx="7">
                  <c:v>263.68</c:v>
                </c:pt>
                <c:pt idx="8">
                  <c:v>59.63</c:v>
                </c:pt>
                <c:pt idx="9">
                  <c:v>31.44</c:v>
                </c:pt>
                <c:pt idx="10">
                  <c:v>164.3</c:v>
                </c:pt>
                <c:pt idx="11">
                  <c:v>151.61000000000001</c:v>
                </c:pt>
                <c:pt idx="12">
                  <c:v>125.23</c:v>
                </c:pt>
                <c:pt idx="13">
                  <c:v>102.78</c:v>
                </c:pt>
                <c:pt idx="14">
                  <c:v>230.9</c:v>
                </c:pt>
                <c:pt idx="15">
                  <c:v>103.75</c:v>
                </c:pt>
                <c:pt idx="16">
                  <c:v>316.46000000000004</c:v>
                </c:pt>
                <c:pt idx="17">
                  <c:v>61.54</c:v>
                </c:pt>
                <c:pt idx="18">
                  <c:v>61.49</c:v>
                </c:pt>
                <c:pt idx="19">
                  <c:v>140.54</c:v>
                </c:pt>
                <c:pt idx="20">
                  <c:v>95.87</c:v>
                </c:pt>
                <c:pt idx="21">
                  <c:v>33.68</c:v>
                </c:pt>
                <c:pt idx="22">
                  <c:v>35.83</c:v>
                </c:pt>
                <c:pt idx="23">
                  <c:v>73.47</c:v>
                </c:pt>
                <c:pt idx="24">
                  <c:v>52.16</c:v>
                </c:pt>
                <c:pt idx="25">
                  <c:v>20.54</c:v>
                </c:pt>
                <c:pt idx="26">
                  <c:v>95.53</c:v>
                </c:pt>
                <c:pt idx="27">
                  <c:v>54.68</c:v>
                </c:pt>
                <c:pt idx="28">
                  <c:v>61.15</c:v>
                </c:pt>
                <c:pt idx="29">
                  <c:v>47.36</c:v>
                </c:pt>
                <c:pt idx="30">
                  <c:v>58.69</c:v>
                </c:pt>
                <c:pt idx="31">
                  <c:v>31.5</c:v>
                </c:pt>
                <c:pt idx="32">
                  <c:v>56.87</c:v>
                </c:pt>
                <c:pt idx="33">
                  <c:v>125.97</c:v>
                </c:pt>
                <c:pt idx="34">
                  <c:v>35.47</c:v>
                </c:pt>
                <c:pt idx="35">
                  <c:v>69.010000000000005</c:v>
                </c:pt>
                <c:pt idx="36">
                  <c:v>50.49</c:v>
                </c:pt>
                <c:pt idx="37">
                  <c:v>53.67</c:v>
                </c:pt>
                <c:pt idx="38">
                  <c:v>127.89999999999999</c:v>
                </c:pt>
                <c:pt idx="39">
                  <c:v>41.02</c:v>
                </c:pt>
              </c:numCache>
            </c:numRef>
          </c:val>
          <c:smooth val="0"/>
          <c:extLst>
            <c:ext xmlns:c16="http://schemas.microsoft.com/office/drawing/2014/chart" uri="{C3380CC4-5D6E-409C-BE32-E72D297353CC}">
              <c16:uniqueId val="{00000001-2DAD-4F87-9492-5D0662E609BB}"/>
            </c:ext>
          </c:extLst>
        </c:ser>
        <c:dLbls>
          <c:showLegendKey val="0"/>
          <c:showVal val="0"/>
          <c:showCatName val="0"/>
          <c:showSerName val="0"/>
          <c:showPercent val="0"/>
          <c:showBubbleSize val="0"/>
        </c:dLbls>
        <c:smooth val="0"/>
        <c:axId val="1498347167"/>
        <c:axId val="1144624447"/>
      </c:lineChart>
      <c:catAx>
        <c:axId val="14983471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24447"/>
        <c:crosses val="autoZero"/>
        <c:auto val="1"/>
        <c:lblAlgn val="ctr"/>
        <c:lblOffset val="100"/>
        <c:noMultiLvlLbl val="0"/>
      </c:catAx>
      <c:valAx>
        <c:axId val="114462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4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Data!PivotTable3</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Data'!$K$5</c:f>
              <c:strCache>
                <c:ptCount val="1"/>
                <c:pt idx="0">
                  <c:v>Average of F51_OP mean</c:v>
                </c:pt>
              </c:strCache>
            </c:strRef>
          </c:tx>
          <c:spPr>
            <a:ln w="28575" cap="rnd">
              <a:solidFill>
                <a:schemeClr val="accent1"/>
              </a:solidFill>
              <a:round/>
            </a:ln>
            <a:effectLst/>
          </c:spPr>
          <c:marker>
            <c:symbol val="none"/>
          </c:marker>
          <c:errBars>
            <c:errDir val="y"/>
            <c:errBarType val="both"/>
            <c:errValType val="cust"/>
            <c:noEndCap val="0"/>
            <c:plus>
              <c:numRef>
                <c:f>'Pivot Data'!$L$6:$L$45</c:f>
                <c:numCache>
                  <c:formatCode>General</c:formatCode>
                  <c:ptCount val="40"/>
                  <c:pt idx="0">
                    <c:v>7.28</c:v>
                  </c:pt>
                  <c:pt idx="1">
                    <c:v>2.6366666666666667</c:v>
                  </c:pt>
                  <c:pt idx="2">
                    <c:v>7.7299999999999995</c:v>
                  </c:pt>
                  <c:pt idx="3">
                    <c:v>2.06</c:v>
                  </c:pt>
                  <c:pt idx="4">
                    <c:v>2.79</c:v>
                  </c:pt>
                  <c:pt idx="5">
                    <c:v>2.35</c:v>
                  </c:pt>
                  <c:pt idx="6">
                    <c:v>13.12</c:v>
                  </c:pt>
                  <c:pt idx="7">
                    <c:v>5.8033333333333337</c:v>
                  </c:pt>
                  <c:pt idx="8">
                    <c:v>3.8</c:v>
                  </c:pt>
                  <c:pt idx="9">
                    <c:v>1.7</c:v>
                  </c:pt>
                  <c:pt idx="10">
                    <c:v>2.83</c:v>
                  </c:pt>
                  <c:pt idx="11">
                    <c:v>2.42</c:v>
                  </c:pt>
                  <c:pt idx="12">
                    <c:v>1.95</c:v>
                  </c:pt>
                  <c:pt idx="13">
                    <c:v>4.8499999999999996</c:v>
                  </c:pt>
                  <c:pt idx="14">
                    <c:v>5.05</c:v>
                  </c:pt>
                  <c:pt idx="15">
                    <c:v>2.2200000000000002</c:v>
                  </c:pt>
                  <c:pt idx="16">
                    <c:v>4.28</c:v>
                  </c:pt>
                  <c:pt idx="17">
                    <c:v>3.45</c:v>
                  </c:pt>
                  <c:pt idx="18">
                    <c:v>3.49</c:v>
                  </c:pt>
                  <c:pt idx="19">
                    <c:v>4.33</c:v>
                  </c:pt>
                  <c:pt idx="20">
                    <c:v>6.1400000000000006</c:v>
                  </c:pt>
                  <c:pt idx="21">
                    <c:v>2.14</c:v>
                  </c:pt>
                  <c:pt idx="22">
                    <c:v>2.15</c:v>
                  </c:pt>
                  <c:pt idx="23">
                    <c:v>2.2250000000000001</c:v>
                  </c:pt>
                  <c:pt idx="24">
                    <c:v>2.17</c:v>
                  </c:pt>
                  <c:pt idx="25">
                    <c:v>2.0499999999999998</c:v>
                  </c:pt>
                  <c:pt idx="26">
                    <c:v>2.0649999999999999</c:v>
                  </c:pt>
                  <c:pt idx="27">
                    <c:v>3.12</c:v>
                  </c:pt>
                  <c:pt idx="28">
                    <c:v>2.13</c:v>
                  </c:pt>
                  <c:pt idx="29">
                    <c:v>2.52</c:v>
                  </c:pt>
                  <c:pt idx="30">
                    <c:v>3.24</c:v>
                  </c:pt>
                  <c:pt idx="31">
                    <c:v>2.63</c:v>
                  </c:pt>
                  <c:pt idx="32">
                    <c:v>3</c:v>
                  </c:pt>
                  <c:pt idx="33">
                    <c:v>2.86</c:v>
                  </c:pt>
                  <c:pt idx="34">
                    <c:v>3.42</c:v>
                  </c:pt>
                  <c:pt idx="35">
                    <c:v>1.91</c:v>
                  </c:pt>
                  <c:pt idx="36">
                    <c:v>2.86</c:v>
                  </c:pt>
                  <c:pt idx="37">
                    <c:v>2.0499999999999998</c:v>
                  </c:pt>
                  <c:pt idx="38">
                    <c:v>6.15</c:v>
                  </c:pt>
                  <c:pt idx="39">
                    <c:v>4.5599999999999996</c:v>
                  </c:pt>
                </c:numCache>
              </c:numRef>
            </c:plus>
            <c:minus>
              <c:numRef>
                <c:f>'Pivot Data'!$L$6:$L$45</c:f>
                <c:numCache>
                  <c:formatCode>General</c:formatCode>
                  <c:ptCount val="40"/>
                  <c:pt idx="0">
                    <c:v>7.28</c:v>
                  </c:pt>
                  <c:pt idx="1">
                    <c:v>2.6366666666666667</c:v>
                  </c:pt>
                  <c:pt idx="2">
                    <c:v>7.7299999999999995</c:v>
                  </c:pt>
                  <c:pt idx="3">
                    <c:v>2.06</c:v>
                  </c:pt>
                  <c:pt idx="4">
                    <c:v>2.79</c:v>
                  </c:pt>
                  <c:pt idx="5">
                    <c:v>2.35</c:v>
                  </c:pt>
                  <c:pt idx="6">
                    <c:v>13.12</c:v>
                  </c:pt>
                  <c:pt idx="7">
                    <c:v>5.8033333333333337</c:v>
                  </c:pt>
                  <c:pt idx="8">
                    <c:v>3.8</c:v>
                  </c:pt>
                  <c:pt idx="9">
                    <c:v>1.7</c:v>
                  </c:pt>
                  <c:pt idx="10">
                    <c:v>2.83</c:v>
                  </c:pt>
                  <c:pt idx="11">
                    <c:v>2.42</c:v>
                  </c:pt>
                  <c:pt idx="12">
                    <c:v>1.95</c:v>
                  </c:pt>
                  <c:pt idx="13">
                    <c:v>4.8499999999999996</c:v>
                  </c:pt>
                  <c:pt idx="14">
                    <c:v>5.05</c:v>
                  </c:pt>
                  <c:pt idx="15">
                    <c:v>2.2200000000000002</c:v>
                  </c:pt>
                  <c:pt idx="16">
                    <c:v>4.28</c:v>
                  </c:pt>
                  <c:pt idx="17">
                    <c:v>3.45</c:v>
                  </c:pt>
                  <c:pt idx="18">
                    <c:v>3.49</c:v>
                  </c:pt>
                  <c:pt idx="19">
                    <c:v>4.33</c:v>
                  </c:pt>
                  <c:pt idx="20">
                    <c:v>6.1400000000000006</c:v>
                  </c:pt>
                  <c:pt idx="21">
                    <c:v>2.14</c:v>
                  </c:pt>
                  <c:pt idx="22">
                    <c:v>2.15</c:v>
                  </c:pt>
                  <c:pt idx="23">
                    <c:v>2.2250000000000001</c:v>
                  </c:pt>
                  <c:pt idx="24">
                    <c:v>2.17</c:v>
                  </c:pt>
                  <c:pt idx="25">
                    <c:v>2.0499999999999998</c:v>
                  </c:pt>
                  <c:pt idx="26">
                    <c:v>2.0649999999999999</c:v>
                  </c:pt>
                  <c:pt idx="27">
                    <c:v>3.12</c:v>
                  </c:pt>
                  <c:pt idx="28">
                    <c:v>2.13</c:v>
                  </c:pt>
                  <c:pt idx="29">
                    <c:v>2.52</c:v>
                  </c:pt>
                  <c:pt idx="30">
                    <c:v>3.24</c:v>
                  </c:pt>
                  <c:pt idx="31">
                    <c:v>2.63</c:v>
                  </c:pt>
                  <c:pt idx="32">
                    <c:v>3</c:v>
                  </c:pt>
                  <c:pt idx="33">
                    <c:v>2.86</c:v>
                  </c:pt>
                  <c:pt idx="34">
                    <c:v>3.42</c:v>
                  </c:pt>
                  <c:pt idx="35">
                    <c:v>1.91</c:v>
                  </c:pt>
                  <c:pt idx="36">
                    <c:v>2.86</c:v>
                  </c:pt>
                  <c:pt idx="37">
                    <c:v>2.0499999999999998</c:v>
                  </c:pt>
                  <c:pt idx="38">
                    <c:v>6.15</c:v>
                  </c:pt>
                  <c:pt idx="39">
                    <c:v>4.5599999999999996</c:v>
                  </c:pt>
                </c:numCache>
              </c:numRef>
            </c:minus>
            <c:spPr>
              <a:noFill/>
              <a:ln w="9525" cap="flat" cmpd="sng" algn="ctr">
                <a:solidFill>
                  <a:schemeClr val="tx1">
                    <a:lumMod val="65000"/>
                    <a:lumOff val="35000"/>
                  </a:schemeClr>
                </a:solidFill>
                <a:round/>
              </a:ln>
              <a:effectLst/>
            </c:spPr>
          </c:errBars>
          <c:cat>
            <c:strRef>
              <c:f>'Pivot Data'!$J$6:$J$46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Data'!$K$6:$K$46</c:f>
              <c:numCache>
                <c:formatCode>General</c:formatCode>
                <c:ptCount val="40"/>
                <c:pt idx="0">
                  <c:v>56.46</c:v>
                </c:pt>
                <c:pt idx="1">
                  <c:v>45.993333333333339</c:v>
                </c:pt>
                <c:pt idx="2">
                  <c:v>63.870000000000005</c:v>
                </c:pt>
                <c:pt idx="3">
                  <c:v>46.094999999999999</c:v>
                </c:pt>
                <c:pt idx="4">
                  <c:v>44.91</c:v>
                </c:pt>
                <c:pt idx="5">
                  <c:v>45.935000000000002</c:v>
                </c:pt>
                <c:pt idx="6">
                  <c:v>52.006666666666661</c:v>
                </c:pt>
                <c:pt idx="7">
                  <c:v>46.566666666666663</c:v>
                </c:pt>
                <c:pt idx="8">
                  <c:v>43.48</c:v>
                </c:pt>
                <c:pt idx="9">
                  <c:v>46.32</c:v>
                </c:pt>
                <c:pt idx="10">
                  <c:v>45.74</c:v>
                </c:pt>
                <c:pt idx="11">
                  <c:v>45.65</c:v>
                </c:pt>
                <c:pt idx="12">
                  <c:v>45.9</c:v>
                </c:pt>
                <c:pt idx="13">
                  <c:v>44.57</c:v>
                </c:pt>
                <c:pt idx="14">
                  <c:v>45.88</c:v>
                </c:pt>
                <c:pt idx="15">
                  <c:v>45.74</c:v>
                </c:pt>
                <c:pt idx="16">
                  <c:v>43.954999999999998</c:v>
                </c:pt>
                <c:pt idx="17">
                  <c:v>44.07</c:v>
                </c:pt>
                <c:pt idx="18">
                  <c:v>44.06</c:v>
                </c:pt>
                <c:pt idx="19">
                  <c:v>41.91</c:v>
                </c:pt>
                <c:pt idx="20">
                  <c:v>48.204999999999998</c:v>
                </c:pt>
                <c:pt idx="21">
                  <c:v>46.85</c:v>
                </c:pt>
                <c:pt idx="22">
                  <c:v>46.81</c:v>
                </c:pt>
                <c:pt idx="23">
                  <c:v>46.724999999999994</c:v>
                </c:pt>
                <c:pt idx="24">
                  <c:v>47.68</c:v>
                </c:pt>
                <c:pt idx="25">
                  <c:v>46.7</c:v>
                </c:pt>
                <c:pt idx="26">
                  <c:v>45.76</c:v>
                </c:pt>
                <c:pt idx="27">
                  <c:v>45.09</c:v>
                </c:pt>
                <c:pt idx="28">
                  <c:v>45.23</c:v>
                </c:pt>
                <c:pt idx="29">
                  <c:v>45.13</c:v>
                </c:pt>
                <c:pt idx="30">
                  <c:v>44.79</c:v>
                </c:pt>
                <c:pt idx="31">
                  <c:v>45.24</c:v>
                </c:pt>
                <c:pt idx="32">
                  <c:v>47.59</c:v>
                </c:pt>
                <c:pt idx="33">
                  <c:v>46.830000000000005</c:v>
                </c:pt>
                <c:pt idx="34">
                  <c:v>46.45</c:v>
                </c:pt>
                <c:pt idx="35">
                  <c:v>46.45</c:v>
                </c:pt>
                <c:pt idx="36">
                  <c:v>46.75</c:v>
                </c:pt>
                <c:pt idx="37">
                  <c:v>46.14</c:v>
                </c:pt>
                <c:pt idx="38">
                  <c:v>45.265000000000001</c:v>
                </c:pt>
                <c:pt idx="39">
                  <c:v>43.1</c:v>
                </c:pt>
              </c:numCache>
            </c:numRef>
          </c:val>
          <c:smooth val="0"/>
          <c:extLst>
            <c:ext xmlns:c16="http://schemas.microsoft.com/office/drawing/2014/chart" uri="{C3380CC4-5D6E-409C-BE32-E72D297353CC}">
              <c16:uniqueId val="{00000000-9CD8-4A7E-84B1-18C3FE8B3551}"/>
            </c:ext>
          </c:extLst>
        </c:ser>
        <c:ser>
          <c:idx val="1"/>
          <c:order val="1"/>
          <c:tx>
            <c:strRef>
              <c:f>'Pivot Data'!$L$5</c:f>
              <c:strCache>
                <c:ptCount val="1"/>
                <c:pt idx="0">
                  <c:v>Average of F51_OP tol</c:v>
                </c:pt>
              </c:strCache>
            </c:strRef>
          </c:tx>
          <c:spPr>
            <a:ln w="28575" cap="rnd">
              <a:solidFill>
                <a:schemeClr val="accent2"/>
              </a:solidFill>
              <a:round/>
            </a:ln>
            <a:effectLst/>
          </c:spPr>
          <c:marker>
            <c:symbol val="none"/>
          </c:marker>
          <c:cat>
            <c:strRef>
              <c:f>'Pivot Data'!$J$6:$J$46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Data'!$L$6:$L$46</c:f>
              <c:numCache>
                <c:formatCode>General</c:formatCode>
                <c:ptCount val="40"/>
                <c:pt idx="0">
                  <c:v>7.28</c:v>
                </c:pt>
                <c:pt idx="1">
                  <c:v>2.6366666666666667</c:v>
                </c:pt>
                <c:pt idx="2">
                  <c:v>7.7299999999999995</c:v>
                </c:pt>
                <c:pt idx="3">
                  <c:v>2.06</c:v>
                </c:pt>
                <c:pt idx="4">
                  <c:v>2.79</c:v>
                </c:pt>
                <c:pt idx="5">
                  <c:v>2.35</c:v>
                </c:pt>
                <c:pt idx="6">
                  <c:v>13.12</c:v>
                </c:pt>
                <c:pt idx="7">
                  <c:v>5.8033333333333337</c:v>
                </c:pt>
                <c:pt idx="8">
                  <c:v>3.8</c:v>
                </c:pt>
                <c:pt idx="9">
                  <c:v>1.7</c:v>
                </c:pt>
                <c:pt idx="10">
                  <c:v>2.83</c:v>
                </c:pt>
                <c:pt idx="11">
                  <c:v>2.42</c:v>
                </c:pt>
                <c:pt idx="12">
                  <c:v>1.95</c:v>
                </c:pt>
                <c:pt idx="13">
                  <c:v>4.8499999999999996</c:v>
                </c:pt>
                <c:pt idx="14">
                  <c:v>5.05</c:v>
                </c:pt>
                <c:pt idx="15">
                  <c:v>2.2200000000000002</c:v>
                </c:pt>
                <c:pt idx="16">
                  <c:v>4.28</c:v>
                </c:pt>
                <c:pt idx="17">
                  <c:v>3.45</c:v>
                </c:pt>
                <c:pt idx="18">
                  <c:v>3.49</c:v>
                </c:pt>
                <c:pt idx="19">
                  <c:v>4.33</c:v>
                </c:pt>
                <c:pt idx="20">
                  <c:v>6.1400000000000006</c:v>
                </c:pt>
                <c:pt idx="21">
                  <c:v>2.14</c:v>
                </c:pt>
                <c:pt idx="22">
                  <c:v>2.15</c:v>
                </c:pt>
                <c:pt idx="23">
                  <c:v>2.2250000000000001</c:v>
                </c:pt>
                <c:pt idx="24">
                  <c:v>2.17</c:v>
                </c:pt>
                <c:pt idx="25">
                  <c:v>2.0499999999999998</c:v>
                </c:pt>
                <c:pt idx="26">
                  <c:v>2.0649999999999999</c:v>
                </c:pt>
                <c:pt idx="27">
                  <c:v>3.12</c:v>
                </c:pt>
                <c:pt idx="28">
                  <c:v>2.13</c:v>
                </c:pt>
                <c:pt idx="29">
                  <c:v>2.52</c:v>
                </c:pt>
                <c:pt idx="30">
                  <c:v>3.24</c:v>
                </c:pt>
                <c:pt idx="31">
                  <c:v>2.63</c:v>
                </c:pt>
                <c:pt idx="32">
                  <c:v>3</c:v>
                </c:pt>
                <c:pt idx="33">
                  <c:v>2.86</c:v>
                </c:pt>
                <c:pt idx="34">
                  <c:v>3.42</c:v>
                </c:pt>
                <c:pt idx="35">
                  <c:v>1.91</c:v>
                </c:pt>
                <c:pt idx="36">
                  <c:v>2.86</c:v>
                </c:pt>
                <c:pt idx="37">
                  <c:v>2.0499999999999998</c:v>
                </c:pt>
                <c:pt idx="38">
                  <c:v>6.15</c:v>
                </c:pt>
                <c:pt idx="39">
                  <c:v>4.5599999999999996</c:v>
                </c:pt>
              </c:numCache>
            </c:numRef>
          </c:val>
          <c:smooth val="0"/>
          <c:extLst>
            <c:ext xmlns:c16="http://schemas.microsoft.com/office/drawing/2014/chart" uri="{C3380CC4-5D6E-409C-BE32-E72D297353CC}">
              <c16:uniqueId val="{00000001-9CD8-4A7E-84B1-18C3FE8B3551}"/>
            </c:ext>
          </c:extLst>
        </c:ser>
        <c:dLbls>
          <c:showLegendKey val="0"/>
          <c:showVal val="0"/>
          <c:showCatName val="0"/>
          <c:showSerName val="0"/>
          <c:showPercent val="0"/>
          <c:showBubbleSize val="0"/>
        </c:dLbls>
        <c:smooth val="0"/>
        <c:axId val="704244175"/>
        <c:axId val="704241775"/>
      </c:lineChart>
      <c:catAx>
        <c:axId val="70424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241775"/>
        <c:crosses val="autoZero"/>
        <c:auto val="1"/>
        <c:lblAlgn val="ctr"/>
        <c:lblOffset val="100"/>
        <c:noMultiLvlLbl val="0"/>
      </c:catAx>
      <c:valAx>
        <c:axId val="70424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24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Data!PivotTable4</c:name>
    <c:fmtId val="1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Data'!$O$5</c:f>
              <c:strCache>
                <c:ptCount val="1"/>
                <c:pt idx="0">
                  <c:v>Average of F51 mean</c:v>
                </c:pt>
              </c:strCache>
            </c:strRef>
          </c:tx>
          <c:spPr>
            <a:ln w="28575" cap="rnd">
              <a:solidFill>
                <a:schemeClr val="accent1"/>
              </a:solidFill>
              <a:round/>
            </a:ln>
            <a:effectLst/>
          </c:spPr>
          <c:marker>
            <c:symbol val="none"/>
          </c:marker>
          <c:errBars>
            <c:errDir val="y"/>
            <c:errBarType val="both"/>
            <c:errValType val="cust"/>
            <c:noEndCap val="0"/>
            <c:plus>
              <c:numRef>
                <c:f>'Pivot Data'!$P$6:$P$45</c:f>
                <c:numCache>
                  <c:formatCode>General</c:formatCode>
                  <c:ptCount val="40"/>
                  <c:pt idx="0">
                    <c:v>107.21</c:v>
                  </c:pt>
                  <c:pt idx="1">
                    <c:v>185.01666666666665</c:v>
                  </c:pt>
                  <c:pt idx="2">
                    <c:v>268.59000000000003</c:v>
                  </c:pt>
                  <c:pt idx="3">
                    <c:v>148.45999999999998</c:v>
                  </c:pt>
                  <c:pt idx="4">
                    <c:v>136.44999999999999</c:v>
                  </c:pt>
                  <c:pt idx="5">
                    <c:v>160.46</c:v>
                  </c:pt>
                  <c:pt idx="6">
                    <c:v>153.99333333333334</c:v>
                  </c:pt>
                  <c:pt idx="7">
                    <c:v>351.8966666666667</c:v>
                  </c:pt>
                  <c:pt idx="8">
                    <c:v>144.51</c:v>
                  </c:pt>
                  <c:pt idx="9">
                    <c:v>131.36000000000001</c:v>
                  </c:pt>
                  <c:pt idx="10">
                    <c:v>156.96</c:v>
                  </c:pt>
                  <c:pt idx="11">
                    <c:v>167.25</c:v>
                  </c:pt>
                  <c:pt idx="12">
                    <c:v>121.72</c:v>
                  </c:pt>
                  <c:pt idx="13">
                    <c:v>173.94</c:v>
                  </c:pt>
                  <c:pt idx="14">
                    <c:v>143.76</c:v>
                  </c:pt>
                  <c:pt idx="15">
                    <c:v>125.82</c:v>
                  </c:pt>
                  <c:pt idx="16">
                    <c:v>176.13499999999999</c:v>
                  </c:pt>
                  <c:pt idx="17">
                    <c:v>306.04000000000002</c:v>
                  </c:pt>
                  <c:pt idx="18">
                    <c:v>301.92</c:v>
                  </c:pt>
                  <c:pt idx="19">
                    <c:v>108.13</c:v>
                  </c:pt>
                  <c:pt idx="20">
                    <c:v>252.95499999999998</c:v>
                  </c:pt>
                  <c:pt idx="21">
                    <c:v>214.38</c:v>
                  </c:pt>
                  <c:pt idx="22">
                    <c:v>211.72</c:v>
                  </c:pt>
                  <c:pt idx="23">
                    <c:v>199.12</c:v>
                  </c:pt>
                  <c:pt idx="24">
                    <c:v>263.68</c:v>
                  </c:pt>
                  <c:pt idx="25">
                    <c:v>198.71</c:v>
                  </c:pt>
                  <c:pt idx="26">
                    <c:v>135.41</c:v>
                  </c:pt>
                  <c:pt idx="27">
                    <c:v>129.52000000000001</c:v>
                  </c:pt>
                  <c:pt idx="28">
                    <c:v>150.69</c:v>
                  </c:pt>
                  <c:pt idx="29">
                    <c:v>175.04</c:v>
                  </c:pt>
                  <c:pt idx="30">
                    <c:v>104.7</c:v>
                  </c:pt>
                  <c:pt idx="31">
                    <c:v>105.42</c:v>
                  </c:pt>
                  <c:pt idx="32">
                    <c:v>440.59</c:v>
                  </c:pt>
                  <c:pt idx="33">
                    <c:v>310.36666666666667</c:v>
                  </c:pt>
                  <c:pt idx="34">
                    <c:v>331.72</c:v>
                  </c:pt>
                  <c:pt idx="35">
                    <c:v>207.98</c:v>
                  </c:pt>
                  <c:pt idx="36">
                    <c:v>284.85000000000002</c:v>
                  </c:pt>
                  <c:pt idx="37">
                    <c:v>164.18</c:v>
                  </c:pt>
                  <c:pt idx="38">
                    <c:v>343.44</c:v>
                  </c:pt>
                  <c:pt idx="39">
                    <c:v>321.29000000000002</c:v>
                  </c:pt>
                </c:numCache>
              </c:numRef>
            </c:plus>
            <c:minus>
              <c:numRef>
                <c:f>'Pivot Data'!$P$6:$P$45</c:f>
                <c:numCache>
                  <c:formatCode>General</c:formatCode>
                  <c:ptCount val="40"/>
                  <c:pt idx="0">
                    <c:v>107.21</c:v>
                  </c:pt>
                  <c:pt idx="1">
                    <c:v>185.01666666666665</c:v>
                  </c:pt>
                  <c:pt idx="2">
                    <c:v>268.59000000000003</c:v>
                  </c:pt>
                  <c:pt idx="3">
                    <c:v>148.45999999999998</c:v>
                  </c:pt>
                  <c:pt idx="4">
                    <c:v>136.44999999999999</c:v>
                  </c:pt>
                  <c:pt idx="5">
                    <c:v>160.46</c:v>
                  </c:pt>
                  <c:pt idx="6">
                    <c:v>153.99333333333334</c:v>
                  </c:pt>
                  <c:pt idx="7">
                    <c:v>351.8966666666667</c:v>
                  </c:pt>
                  <c:pt idx="8">
                    <c:v>144.51</c:v>
                  </c:pt>
                  <c:pt idx="9">
                    <c:v>131.36000000000001</c:v>
                  </c:pt>
                  <c:pt idx="10">
                    <c:v>156.96</c:v>
                  </c:pt>
                  <c:pt idx="11">
                    <c:v>167.25</c:v>
                  </c:pt>
                  <c:pt idx="12">
                    <c:v>121.72</c:v>
                  </c:pt>
                  <c:pt idx="13">
                    <c:v>173.94</c:v>
                  </c:pt>
                  <c:pt idx="14">
                    <c:v>143.76</c:v>
                  </c:pt>
                  <c:pt idx="15">
                    <c:v>125.82</c:v>
                  </c:pt>
                  <c:pt idx="16">
                    <c:v>176.13499999999999</c:v>
                  </c:pt>
                  <c:pt idx="17">
                    <c:v>306.04000000000002</c:v>
                  </c:pt>
                  <c:pt idx="18">
                    <c:v>301.92</c:v>
                  </c:pt>
                  <c:pt idx="19">
                    <c:v>108.13</c:v>
                  </c:pt>
                  <c:pt idx="20">
                    <c:v>252.95499999999998</c:v>
                  </c:pt>
                  <c:pt idx="21">
                    <c:v>214.38</c:v>
                  </c:pt>
                  <c:pt idx="22">
                    <c:v>211.72</c:v>
                  </c:pt>
                  <c:pt idx="23">
                    <c:v>199.12</c:v>
                  </c:pt>
                  <c:pt idx="24">
                    <c:v>263.68</c:v>
                  </c:pt>
                  <c:pt idx="25">
                    <c:v>198.71</c:v>
                  </c:pt>
                  <c:pt idx="26">
                    <c:v>135.41</c:v>
                  </c:pt>
                  <c:pt idx="27">
                    <c:v>129.52000000000001</c:v>
                  </c:pt>
                  <c:pt idx="28">
                    <c:v>150.69</c:v>
                  </c:pt>
                  <c:pt idx="29">
                    <c:v>175.04</c:v>
                  </c:pt>
                  <c:pt idx="30">
                    <c:v>104.7</c:v>
                  </c:pt>
                  <c:pt idx="31">
                    <c:v>105.42</c:v>
                  </c:pt>
                  <c:pt idx="32">
                    <c:v>440.59</c:v>
                  </c:pt>
                  <c:pt idx="33">
                    <c:v>310.36666666666667</c:v>
                  </c:pt>
                  <c:pt idx="34">
                    <c:v>331.72</c:v>
                  </c:pt>
                  <c:pt idx="35">
                    <c:v>207.98</c:v>
                  </c:pt>
                  <c:pt idx="36">
                    <c:v>284.85000000000002</c:v>
                  </c:pt>
                  <c:pt idx="37">
                    <c:v>164.18</c:v>
                  </c:pt>
                  <c:pt idx="38">
                    <c:v>343.44</c:v>
                  </c:pt>
                  <c:pt idx="39">
                    <c:v>321.29000000000002</c:v>
                  </c:pt>
                </c:numCache>
              </c:numRef>
            </c:minus>
            <c:spPr>
              <a:noFill/>
              <a:ln w="9525" cap="flat" cmpd="sng" algn="ctr">
                <a:solidFill>
                  <a:schemeClr val="tx1">
                    <a:lumMod val="65000"/>
                    <a:lumOff val="35000"/>
                  </a:schemeClr>
                </a:solidFill>
                <a:round/>
              </a:ln>
              <a:effectLst/>
            </c:spPr>
          </c:errBars>
          <c:cat>
            <c:strRef>
              <c:f>'Pivot Data'!$N$6:$N$46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Data'!$O$6:$O$46</c:f>
              <c:numCache>
                <c:formatCode>General</c:formatCode>
                <c:ptCount val="40"/>
                <c:pt idx="0">
                  <c:v>2000.52</c:v>
                </c:pt>
                <c:pt idx="1">
                  <c:v>2000.1833333333334</c:v>
                </c:pt>
                <c:pt idx="2">
                  <c:v>1941.2550000000001</c:v>
                </c:pt>
                <c:pt idx="3">
                  <c:v>2000.62</c:v>
                </c:pt>
                <c:pt idx="4">
                  <c:v>1999.65</c:v>
                </c:pt>
                <c:pt idx="5">
                  <c:v>2000.855</c:v>
                </c:pt>
                <c:pt idx="6">
                  <c:v>1999.6133333333335</c:v>
                </c:pt>
                <c:pt idx="7">
                  <c:v>2000.0933333333332</c:v>
                </c:pt>
                <c:pt idx="8">
                  <c:v>2000.27</c:v>
                </c:pt>
                <c:pt idx="9">
                  <c:v>2000.97</c:v>
                </c:pt>
                <c:pt idx="10">
                  <c:v>2005.4</c:v>
                </c:pt>
                <c:pt idx="11">
                  <c:v>2000.17</c:v>
                </c:pt>
                <c:pt idx="12">
                  <c:v>2001.72</c:v>
                </c:pt>
                <c:pt idx="13">
                  <c:v>2002.43</c:v>
                </c:pt>
                <c:pt idx="14">
                  <c:v>1997.59</c:v>
                </c:pt>
                <c:pt idx="15">
                  <c:v>1999.94</c:v>
                </c:pt>
                <c:pt idx="16">
                  <c:v>2001.0350000000001</c:v>
                </c:pt>
                <c:pt idx="17">
                  <c:v>1998.55</c:v>
                </c:pt>
                <c:pt idx="18">
                  <c:v>1998.96</c:v>
                </c:pt>
                <c:pt idx="19">
                  <c:v>1999.2</c:v>
                </c:pt>
                <c:pt idx="20">
                  <c:v>2002.375</c:v>
                </c:pt>
                <c:pt idx="21">
                  <c:v>1998.38</c:v>
                </c:pt>
                <c:pt idx="22">
                  <c:v>2000.86</c:v>
                </c:pt>
                <c:pt idx="23">
                  <c:v>2000.32</c:v>
                </c:pt>
                <c:pt idx="24">
                  <c:v>2000.01</c:v>
                </c:pt>
                <c:pt idx="25">
                  <c:v>2001.3</c:v>
                </c:pt>
                <c:pt idx="26">
                  <c:v>2000.115</c:v>
                </c:pt>
                <c:pt idx="27">
                  <c:v>1999.1</c:v>
                </c:pt>
                <c:pt idx="28">
                  <c:v>1999.4</c:v>
                </c:pt>
                <c:pt idx="29">
                  <c:v>2001.07</c:v>
                </c:pt>
                <c:pt idx="30">
                  <c:v>2000.03</c:v>
                </c:pt>
                <c:pt idx="31">
                  <c:v>2000.54</c:v>
                </c:pt>
                <c:pt idx="32">
                  <c:v>1997.77</c:v>
                </c:pt>
                <c:pt idx="33">
                  <c:v>1999.2300000000002</c:v>
                </c:pt>
                <c:pt idx="34">
                  <c:v>2002.53</c:v>
                </c:pt>
                <c:pt idx="35">
                  <c:v>1998.68</c:v>
                </c:pt>
                <c:pt idx="36">
                  <c:v>2001.73</c:v>
                </c:pt>
                <c:pt idx="37">
                  <c:v>2001.54</c:v>
                </c:pt>
                <c:pt idx="38">
                  <c:v>1897.48</c:v>
                </c:pt>
                <c:pt idx="39">
                  <c:v>1801.24</c:v>
                </c:pt>
              </c:numCache>
            </c:numRef>
          </c:val>
          <c:smooth val="0"/>
          <c:extLst>
            <c:ext xmlns:c16="http://schemas.microsoft.com/office/drawing/2014/chart" uri="{C3380CC4-5D6E-409C-BE32-E72D297353CC}">
              <c16:uniqueId val="{00000000-D716-498F-B05B-537B6229E6B0}"/>
            </c:ext>
          </c:extLst>
        </c:ser>
        <c:ser>
          <c:idx val="1"/>
          <c:order val="1"/>
          <c:tx>
            <c:strRef>
              <c:f>'Pivot Data'!$P$5</c:f>
              <c:strCache>
                <c:ptCount val="1"/>
                <c:pt idx="0">
                  <c:v>Average of F51 tol</c:v>
                </c:pt>
              </c:strCache>
            </c:strRef>
          </c:tx>
          <c:spPr>
            <a:ln w="28575" cap="rnd">
              <a:solidFill>
                <a:schemeClr val="accent2"/>
              </a:solidFill>
              <a:round/>
            </a:ln>
            <a:effectLst/>
          </c:spPr>
          <c:marker>
            <c:symbol val="none"/>
          </c:marker>
          <c:cat>
            <c:strRef>
              <c:f>'Pivot Data'!$N$6:$N$46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Data'!$P$6:$P$46</c:f>
              <c:numCache>
                <c:formatCode>General</c:formatCode>
                <c:ptCount val="40"/>
                <c:pt idx="0">
                  <c:v>107.21</c:v>
                </c:pt>
                <c:pt idx="1">
                  <c:v>185.01666666666665</c:v>
                </c:pt>
                <c:pt idx="2">
                  <c:v>268.59000000000003</c:v>
                </c:pt>
                <c:pt idx="3">
                  <c:v>148.45999999999998</c:v>
                </c:pt>
                <c:pt idx="4">
                  <c:v>136.44999999999999</c:v>
                </c:pt>
                <c:pt idx="5">
                  <c:v>160.46</c:v>
                </c:pt>
                <c:pt idx="6">
                  <c:v>153.99333333333334</c:v>
                </c:pt>
                <c:pt idx="7">
                  <c:v>351.8966666666667</c:v>
                </c:pt>
                <c:pt idx="8">
                  <c:v>144.51</c:v>
                </c:pt>
                <c:pt idx="9">
                  <c:v>131.36000000000001</c:v>
                </c:pt>
                <c:pt idx="10">
                  <c:v>156.96</c:v>
                </c:pt>
                <c:pt idx="11">
                  <c:v>167.25</c:v>
                </c:pt>
                <c:pt idx="12">
                  <c:v>121.72</c:v>
                </c:pt>
                <c:pt idx="13">
                  <c:v>173.94</c:v>
                </c:pt>
                <c:pt idx="14">
                  <c:v>143.76</c:v>
                </c:pt>
                <c:pt idx="15">
                  <c:v>125.82</c:v>
                </c:pt>
                <c:pt idx="16">
                  <c:v>176.13499999999999</c:v>
                </c:pt>
                <c:pt idx="17">
                  <c:v>306.04000000000002</c:v>
                </c:pt>
                <c:pt idx="18">
                  <c:v>301.92</c:v>
                </c:pt>
                <c:pt idx="19">
                  <c:v>108.13</c:v>
                </c:pt>
                <c:pt idx="20">
                  <c:v>252.95499999999998</c:v>
                </c:pt>
                <c:pt idx="21">
                  <c:v>214.38</c:v>
                </c:pt>
                <c:pt idx="22">
                  <c:v>211.72</c:v>
                </c:pt>
                <c:pt idx="23">
                  <c:v>199.12</c:v>
                </c:pt>
                <c:pt idx="24">
                  <c:v>263.68</c:v>
                </c:pt>
                <c:pt idx="25">
                  <c:v>198.71</c:v>
                </c:pt>
                <c:pt idx="26">
                  <c:v>135.41</c:v>
                </c:pt>
                <c:pt idx="27">
                  <c:v>129.52000000000001</c:v>
                </c:pt>
                <c:pt idx="28">
                  <c:v>150.69</c:v>
                </c:pt>
                <c:pt idx="29">
                  <c:v>175.04</c:v>
                </c:pt>
                <c:pt idx="30">
                  <c:v>104.7</c:v>
                </c:pt>
                <c:pt idx="31">
                  <c:v>105.42</c:v>
                </c:pt>
                <c:pt idx="32">
                  <c:v>440.59</c:v>
                </c:pt>
                <c:pt idx="33">
                  <c:v>310.36666666666667</c:v>
                </c:pt>
                <c:pt idx="34">
                  <c:v>331.72</c:v>
                </c:pt>
                <c:pt idx="35">
                  <c:v>207.98</c:v>
                </c:pt>
                <c:pt idx="36">
                  <c:v>284.85000000000002</c:v>
                </c:pt>
                <c:pt idx="37">
                  <c:v>164.18</c:v>
                </c:pt>
                <c:pt idx="38">
                  <c:v>343.44</c:v>
                </c:pt>
                <c:pt idx="39">
                  <c:v>321.29000000000002</c:v>
                </c:pt>
              </c:numCache>
            </c:numRef>
          </c:val>
          <c:smooth val="0"/>
          <c:extLst>
            <c:ext xmlns:c16="http://schemas.microsoft.com/office/drawing/2014/chart" uri="{C3380CC4-5D6E-409C-BE32-E72D297353CC}">
              <c16:uniqueId val="{00000001-D716-498F-B05B-537B6229E6B0}"/>
            </c:ext>
          </c:extLst>
        </c:ser>
        <c:dLbls>
          <c:showLegendKey val="0"/>
          <c:showVal val="0"/>
          <c:showCatName val="0"/>
          <c:showSerName val="0"/>
          <c:showPercent val="0"/>
          <c:showBubbleSize val="0"/>
        </c:dLbls>
        <c:smooth val="0"/>
        <c:axId val="1211601616"/>
        <c:axId val="1211609776"/>
      </c:lineChart>
      <c:catAx>
        <c:axId val="12116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09776"/>
        <c:crosses val="autoZero"/>
        <c:auto val="1"/>
        <c:lblAlgn val="ctr"/>
        <c:lblOffset val="100"/>
        <c:noMultiLvlLbl val="0"/>
      </c:catAx>
      <c:valAx>
        <c:axId val="121160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0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Data!PivotTable5</c:name>
    <c:fmtId val="2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Data'!$S$5</c:f>
              <c:strCache>
                <c:ptCount val="1"/>
                <c:pt idx="0">
                  <c:v>Average of F52 mean</c:v>
                </c:pt>
              </c:strCache>
            </c:strRef>
          </c:tx>
          <c:spPr>
            <a:ln w="28575" cap="rnd">
              <a:solidFill>
                <a:schemeClr val="accent1"/>
              </a:solidFill>
              <a:round/>
            </a:ln>
            <a:effectLst/>
          </c:spPr>
          <c:marker>
            <c:symbol val="none"/>
          </c:marker>
          <c:errBars>
            <c:errDir val="y"/>
            <c:errBarType val="both"/>
            <c:errValType val="cust"/>
            <c:noEndCap val="0"/>
            <c:plus>
              <c:numRef>
                <c:f>'Pivot Data'!$T$6:$T$45</c:f>
                <c:numCache>
                  <c:formatCode>General</c:formatCode>
                  <c:ptCount val="40"/>
                  <c:pt idx="0">
                    <c:v>136.11000000000001</c:v>
                  </c:pt>
                  <c:pt idx="1">
                    <c:v>164.38</c:v>
                  </c:pt>
                  <c:pt idx="2">
                    <c:v>157.02500000000001</c:v>
                  </c:pt>
                  <c:pt idx="3">
                    <c:v>165.11</c:v>
                  </c:pt>
                  <c:pt idx="4">
                    <c:v>172.67</c:v>
                  </c:pt>
                  <c:pt idx="5">
                    <c:v>161.785</c:v>
                  </c:pt>
                  <c:pt idx="6">
                    <c:v>154.12666666666667</c:v>
                  </c:pt>
                  <c:pt idx="7">
                    <c:v>177.61666666666667</c:v>
                  </c:pt>
                  <c:pt idx="8">
                    <c:v>183.91</c:v>
                  </c:pt>
                  <c:pt idx="9">
                    <c:v>136.35</c:v>
                  </c:pt>
                  <c:pt idx="10">
                    <c:v>228.23</c:v>
                  </c:pt>
                  <c:pt idx="11">
                    <c:v>146.43</c:v>
                  </c:pt>
                  <c:pt idx="12">
                    <c:v>148.88</c:v>
                  </c:pt>
                  <c:pt idx="13">
                    <c:v>163.27000000000001</c:v>
                  </c:pt>
                  <c:pt idx="14">
                    <c:v>166.19</c:v>
                  </c:pt>
                  <c:pt idx="15">
                    <c:v>161.4</c:v>
                  </c:pt>
                  <c:pt idx="16">
                    <c:v>179.44</c:v>
                  </c:pt>
                  <c:pt idx="17">
                    <c:v>217.56</c:v>
                  </c:pt>
                  <c:pt idx="18">
                    <c:v>216.59</c:v>
                  </c:pt>
                  <c:pt idx="19">
                    <c:v>164.49</c:v>
                  </c:pt>
                  <c:pt idx="20">
                    <c:v>230.43</c:v>
                  </c:pt>
                  <c:pt idx="21">
                    <c:v>153.69</c:v>
                  </c:pt>
                  <c:pt idx="22">
                    <c:v>149.63999999999999</c:v>
                  </c:pt>
                  <c:pt idx="23">
                    <c:v>148.03</c:v>
                  </c:pt>
                  <c:pt idx="24">
                    <c:v>139.22999999999999</c:v>
                  </c:pt>
                  <c:pt idx="25">
                    <c:v>171.25</c:v>
                  </c:pt>
                  <c:pt idx="26">
                    <c:v>161.685</c:v>
                  </c:pt>
                  <c:pt idx="27">
                    <c:v>148.81</c:v>
                  </c:pt>
                  <c:pt idx="28">
                    <c:v>146.46</c:v>
                  </c:pt>
                  <c:pt idx="29">
                    <c:v>154.11000000000001</c:v>
                  </c:pt>
                  <c:pt idx="30">
                    <c:v>174.52</c:v>
                  </c:pt>
                  <c:pt idx="31">
                    <c:v>172.94</c:v>
                  </c:pt>
                  <c:pt idx="32">
                    <c:v>146.37</c:v>
                  </c:pt>
                  <c:pt idx="33">
                    <c:v>171.77999999999997</c:v>
                  </c:pt>
                  <c:pt idx="34">
                    <c:v>133.83000000000001</c:v>
                  </c:pt>
                  <c:pt idx="35">
                    <c:v>156.99</c:v>
                  </c:pt>
                  <c:pt idx="36">
                    <c:v>197.24</c:v>
                  </c:pt>
                  <c:pt idx="37">
                    <c:v>183.88</c:v>
                  </c:pt>
                  <c:pt idx="38">
                    <c:v>158.63999999999999</c:v>
                  </c:pt>
                  <c:pt idx="39">
                    <c:v>153.69999999999999</c:v>
                  </c:pt>
                </c:numCache>
              </c:numRef>
            </c:plus>
            <c:minus>
              <c:numRef>
                <c:f>'Pivot Data'!$T$6:$T$45</c:f>
                <c:numCache>
                  <c:formatCode>General</c:formatCode>
                  <c:ptCount val="40"/>
                  <c:pt idx="0">
                    <c:v>136.11000000000001</c:v>
                  </c:pt>
                  <c:pt idx="1">
                    <c:v>164.38</c:v>
                  </c:pt>
                  <c:pt idx="2">
                    <c:v>157.02500000000001</c:v>
                  </c:pt>
                  <c:pt idx="3">
                    <c:v>165.11</c:v>
                  </c:pt>
                  <c:pt idx="4">
                    <c:v>172.67</c:v>
                  </c:pt>
                  <c:pt idx="5">
                    <c:v>161.785</c:v>
                  </c:pt>
                  <c:pt idx="6">
                    <c:v>154.12666666666667</c:v>
                  </c:pt>
                  <c:pt idx="7">
                    <c:v>177.61666666666667</c:v>
                  </c:pt>
                  <c:pt idx="8">
                    <c:v>183.91</c:v>
                  </c:pt>
                  <c:pt idx="9">
                    <c:v>136.35</c:v>
                  </c:pt>
                  <c:pt idx="10">
                    <c:v>228.23</c:v>
                  </c:pt>
                  <c:pt idx="11">
                    <c:v>146.43</c:v>
                  </c:pt>
                  <c:pt idx="12">
                    <c:v>148.88</c:v>
                  </c:pt>
                  <c:pt idx="13">
                    <c:v>163.27000000000001</c:v>
                  </c:pt>
                  <c:pt idx="14">
                    <c:v>166.19</c:v>
                  </c:pt>
                  <c:pt idx="15">
                    <c:v>161.4</c:v>
                  </c:pt>
                  <c:pt idx="16">
                    <c:v>179.44</c:v>
                  </c:pt>
                  <c:pt idx="17">
                    <c:v>217.56</c:v>
                  </c:pt>
                  <c:pt idx="18">
                    <c:v>216.59</c:v>
                  </c:pt>
                  <c:pt idx="19">
                    <c:v>164.49</c:v>
                  </c:pt>
                  <c:pt idx="20">
                    <c:v>230.43</c:v>
                  </c:pt>
                  <c:pt idx="21">
                    <c:v>153.69</c:v>
                  </c:pt>
                  <c:pt idx="22">
                    <c:v>149.63999999999999</c:v>
                  </c:pt>
                  <c:pt idx="23">
                    <c:v>148.03</c:v>
                  </c:pt>
                  <c:pt idx="24">
                    <c:v>139.22999999999999</c:v>
                  </c:pt>
                  <c:pt idx="25">
                    <c:v>171.25</c:v>
                  </c:pt>
                  <c:pt idx="26">
                    <c:v>161.685</c:v>
                  </c:pt>
                  <c:pt idx="27">
                    <c:v>148.81</c:v>
                  </c:pt>
                  <c:pt idx="28">
                    <c:v>146.46</c:v>
                  </c:pt>
                  <c:pt idx="29">
                    <c:v>154.11000000000001</c:v>
                  </c:pt>
                  <c:pt idx="30">
                    <c:v>174.52</c:v>
                  </c:pt>
                  <c:pt idx="31">
                    <c:v>172.94</c:v>
                  </c:pt>
                  <c:pt idx="32">
                    <c:v>146.37</c:v>
                  </c:pt>
                  <c:pt idx="33">
                    <c:v>171.77999999999997</c:v>
                  </c:pt>
                  <c:pt idx="34">
                    <c:v>133.83000000000001</c:v>
                  </c:pt>
                  <c:pt idx="35">
                    <c:v>156.99</c:v>
                  </c:pt>
                  <c:pt idx="36">
                    <c:v>197.24</c:v>
                  </c:pt>
                  <c:pt idx="37">
                    <c:v>183.88</c:v>
                  </c:pt>
                  <c:pt idx="38">
                    <c:v>158.63999999999999</c:v>
                  </c:pt>
                  <c:pt idx="39">
                    <c:v>153.69999999999999</c:v>
                  </c:pt>
                </c:numCache>
              </c:numRef>
            </c:minus>
            <c:spPr>
              <a:noFill/>
              <a:ln w="9525" cap="flat" cmpd="sng" algn="ctr">
                <a:solidFill>
                  <a:schemeClr val="tx1">
                    <a:lumMod val="65000"/>
                    <a:lumOff val="35000"/>
                  </a:schemeClr>
                </a:solidFill>
                <a:round/>
              </a:ln>
              <a:effectLst/>
            </c:spPr>
          </c:errBars>
          <c:cat>
            <c:strRef>
              <c:f>'Pivot Data'!$R$6:$R$46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Data'!$S$6:$S$46</c:f>
              <c:numCache>
                <c:formatCode>General</c:formatCode>
                <c:ptCount val="40"/>
                <c:pt idx="0">
                  <c:v>5998.88</c:v>
                </c:pt>
                <c:pt idx="1">
                  <c:v>9265.0966666666664</c:v>
                </c:pt>
                <c:pt idx="2">
                  <c:v>9249.4599999999991</c:v>
                </c:pt>
                <c:pt idx="3">
                  <c:v>8499.98</c:v>
                </c:pt>
                <c:pt idx="4">
                  <c:v>8500.93</c:v>
                </c:pt>
                <c:pt idx="5">
                  <c:v>9251.2950000000001</c:v>
                </c:pt>
                <c:pt idx="6">
                  <c:v>6833.416666666667</c:v>
                </c:pt>
                <c:pt idx="7">
                  <c:v>6932.9466666666667</c:v>
                </c:pt>
                <c:pt idx="8">
                  <c:v>10799.11</c:v>
                </c:pt>
                <c:pt idx="9">
                  <c:v>8498.65</c:v>
                </c:pt>
                <c:pt idx="10">
                  <c:v>8499.31</c:v>
                </c:pt>
                <c:pt idx="11">
                  <c:v>8500.9500000000007</c:v>
                </c:pt>
                <c:pt idx="12">
                  <c:v>8499.17</c:v>
                </c:pt>
                <c:pt idx="13">
                  <c:v>8502.19</c:v>
                </c:pt>
                <c:pt idx="14">
                  <c:v>8475.69</c:v>
                </c:pt>
                <c:pt idx="15">
                  <c:v>8499.4500000000007</c:v>
                </c:pt>
                <c:pt idx="16">
                  <c:v>8498.9750000000004</c:v>
                </c:pt>
                <c:pt idx="17">
                  <c:v>10799.84</c:v>
                </c:pt>
                <c:pt idx="18">
                  <c:v>10799.92</c:v>
                </c:pt>
                <c:pt idx="19">
                  <c:v>8499.83</c:v>
                </c:pt>
                <c:pt idx="20">
                  <c:v>7900.5399999999991</c:v>
                </c:pt>
                <c:pt idx="21">
                  <c:v>5000.05</c:v>
                </c:pt>
                <c:pt idx="22">
                  <c:v>4999.7299999999996</c:v>
                </c:pt>
                <c:pt idx="23">
                  <c:v>5499.74</c:v>
                </c:pt>
                <c:pt idx="24">
                  <c:v>6000.27</c:v>
                </c:pt>
                <c:pt idx="25">
                  <c:v>8498.81</c:v>
                </c:pt>
                <c:pt idx="26">
                  <c:v>9650.0149999999994</c:v>
                </c:pt>
                <c:pt idx="27">
                  <c:v>10800.22</c:v>
                </c:pt>
                <c:pt idx="28">
                  <c:v>8499.4699999999993</c:v>
                </c:pt>
                <c:pt idx="29">
                  <c:v>8499.5300000000007</c:v>
                </c:pt>
                <c:pt idx="30">
                  <c:v>8499.8700000000008</c:v>
                </c:pt>
                <c:pt idx="31">
                  <c:v>8500.76</c:v>
                </c:pt>
                <c:pt idx="32">
                  <c:v>10801.51</c:v>
                </c:pt>
                <c:pt idx="33">
                  <c:v>9600.5933333333323</c:v>
                </c:pt>
                <c:pt idx="34">
                  <c:v>10801.54</c:v>
                </c:pt>
                <c:pt idx="35">
                  <c:v>8500.19</c:v>
                </c:pt>
                <c:pt idx="36">
                  <c:v>9500.23</c:v>
                </c:pt>
                <c:pt idx="37">
                  <c:v>8497.0499999999993</c:v>
                </c:pt>
                <c:pt idx="38">
                  <c:v>9653.2000000000007</c:v>
                </c:pt>
                <c:pt idx="39">
                  <c:v>8498.44</c:v>
                </c:pt>
              </c:numCache>
            </c:numRef>
          </c:val>
          <c:smooth val="0"/>
          <c:extLst>
            <c:ext xmlns:c16="http://schemas.microsoft.com/office/drawing/2014/chart" uri="{C3380CC4-5D6E-409C-BE32-E72D297353CC}">
              <c16:uniqueId val="{00000002-BF54-42F3-B451-A2C883B5B0AD}"/>
            </c:ext>
          </c:extLst>
        </c:ser>
        <c:ser>
          <c:idx val="1"/>
          <c:order val="1"/>
          <c:tx>
            <c:strRef>
              <c:f>'Pivot Data'!$T$5</c:f>
              <c:strCache>
                <c:ptCount val="1"/>
                <c:pt idx="0">
                  <c:v>Average of F52 tol</c:v>
                </c:pt>
              </c:strCache>
            </c:strRef>
          </c:tx>
          <c:spPr>
            <a:ln w="28575" cap="rnd">
              <a:solidFill>
                <a:schemeClr val="accent2"/>
              </a:solidFill>
              <a:round/>
            </a:ln>
            <a:effectLst/>
          </c:spPr>
          <c:marker>
            <c:symbol val="none"/>
          </c:marker>
          <c:cat>
            <c:strRef>
              <c:f>'Pivot Data'!$R$6:$R$46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Data'!$T$6:$T$46</c:f>
              <c:numCache>
                <c:formatCode>General</c:formatCode>
                <c:ptCount val="40"/>
                <c:pt idx="0">
                  <c:v>136.11000000000001</c:v>
                </c:pt>
                <c:pt idx="1">
                  <c:v>164.38</c:v>
                </c:pt>
                <c:pt idx="2">
                  <c:v>157.02500000000001</c:v>
                </c:pt>
                <c:pt idx="3">
                  <c:v>165.11</c:v>
                </c:pt>
                <c:pt idx="4">
                  <c:v>172.67</c:v>
                </c:pt>
                <c:pt idx="5">
                  <c:v>161.785</c:v>
                </c:pt>
                <c:pt idx="6">
                  <c:v>154.12666666666667</c:v>
                </c:pt>
                <c:pt idx="7">
                  <c:v>177.61666666666667</c:v>
                </c:pt>
                <c:pt idx="8">
                  <c:v>183.91</c:v>
                </c:pt>
                <c:pt idx="9">
                  <c:v>136.35</c:v>
                </c:pt>
                <c:pt idx="10">
                  <c:v>228.23</c:v>
                </c:pt>
                <c:pt idx="11">
                  <c:v>146.43</c:v>
                </c:pt>
                <c:pt idx="12">
                  <c:v>148.88</c:v>
                </c:pt>
                <c:pt idx="13">
                  <c:v>163.27000000000001</c:v>
                </c:pt>
                <c:pt idx="14">
                  <c:v>166.19</c:v>
                </c:pt>
                <c:pt idx="15">
                  <c:v>161.4</c:v>
                </c:pt>
                <c:pt idx="16">
                  <c:v>179.44</c:v>
                </c:pt>
                <c:pt idx="17">
                  <c:v>217.56</c:v>
                </c:pt>
                <c:pt idx="18">
                  <c:v>216.59</c:v>
                </c:pt>
                <c:pt idx="19">
                  <c:v>164.49</c:v>
                </c:pt>
                <c:pt idx="20">
                  <c:v>230.43</c:v>
                </c:pt>
                <c:pt idx="21">
                  <c:v>153.69</c:v>
                </c:pt>
                <c:pt idx="22">
                  <c:v>149.63999999999999</c:v>
                </c:pt>
                <c:pt idx="23">
                  <c:v>148.03</c:v>
                </c:pt>
                <c:pt idx="24">
                  <c:v>139.22999999999999</c:v>
                </c:pt>
                <c:pt idx="25">
                  <c:v>171.25</c:v>
                </c:pt>
                <c:pt idx="26">
                  <c:v>161.685</c:v>
                </c:pt>
                <c:pt idx="27">
                  <c:v>148.81</c:v>
                </c:pt>
                <c:pt idx="28">
                  <c:v>146.46</c:v>
                </c:pt>
                <c:pt idx="29">
                  <c:v>154.11000000000001</c:v>
                </c:pt>
                <c:pt idx="30">
                  <c:v>174.52</c:v>
                </c:pt>
                <c:pt idx="31">
                  <c:v>172.94</c:v>
                </c:pt>
                <c:pt idx="32">
                  <c:v>146.37</c:v>
                </c:pt>
                <c:pt idx="33">
                  <c:v>171.77999999999997</c:v>
                </c:pt>
                <c:pt idx="34">
                  <c:v>133.83000000000001</c:v>
                </c:pt>
                <c:pt idx="35">
                  <c:v>156.99</c:v>
                </c:pt>
                <c:pt idx="36">
                  <c:v>197.24</c:v>
                </c:pt>
                <c:pt idx="37">
                  <c:v>183.88</c:v>
                </c:pt>
                <c:pt idx="38">
                  <c:v>158.63999999999999</c:v>
                </c:pt>
                <c:pt idx="39">
                  <c:v>153.69999999999999</c:v>
                </c:pt>
              </c:numCache>
            </c:numRef>
          </c:val>
          <c:smooth val="0"/>
          <c:extLst>
            <c:ext xmlns:c16="http://schemas.microsoft.com/office/drawing/2014/chart" uri="{C3380CC4-5D6E-409C-BE32-E72D297353CC}">
              <c16:uniqueId val="{00000003-BF54-42F3-B451-A2C883B5B0AD}"/>
            </c:ext>
          </c:extLst>
        </c:ser>
        <c:dLbls>
          <c:showLegendKey val="0"/>
          <c:showVal val="0"/>
          <c:showCatName val="0"/>
          <c:showSerName val="0"/>
          <c:showPercent val="0"/>
          <c:showBubbleSize val="0"/>
        </c:dLbls>
        <c:smooth val="0"/>
        <c:axId val="831855631"/>
        <c:axId val="831854671"/>
      </c:lineChart>
      <c:catAx>
        <c:axId val="83185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854671"/>
        <c:crosses val="autoZero"/>
        <c:auto val="1"/>
        <c:lblAlgn val="ctr"/>
        <c:lblOffset val="100"/>
        <c:noMultiLvlLbl val="0"/>
      </c:catAx>
      <c:valAx>
        <c:axId val="83185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85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Data!PivotTable6</c:name>
    <c:fmtId val="2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Data'!$W$5</c:f>
              <c:strCache>
                <c:ptCount val="1"/>
                <c:pt idx="0">
                  <c:v>Average of F52_OP mean</c:v>
                </c:pt>
              </c:strCache>
            </c:strRef>
          </c:tx>
          <c:spPr>
            <a:ln w="28575" cap="rnd">
              <a:solidFill>
                <a:schemeClr val="accent1"/>
              </a:solidFill>
              <a:round/>
            </a:ln>
            <a:effectLst/>
          </c:spPr>
          <c:marker>
            <c:symbol val="none"/>
          </c:marker>
          <c:errBars>
            <c:errDir val="y"/>
            <c:errBarType val="both"/>
            <c:errValType val="cust"/>
            <c:noEndCap val="0"/>
            <c:plus>
              <c:numRef>
                <c:f>'Pivot Data'!$X$6:$X$45</c:f>
                <c:numCache>
                  <c:formatCode>General</c:formatCode>
                  <c:ptCount val="40"/>
                  <c:pt idx="0">
                    <c:v>5.26</c:v>
                  </c:pt>
                  <c:pt idx="1">
                    <c:v>6.3999999999999995</c:v>
                  </c:pt>
                  <c:pt idx="2">
                    <c:v>6.5</c:v>
                  </c:pt>
                  <c:pt idx="3">
                    <c:v>7.2799999999999994</c:v>
                  </c:pt>
                  <c:pt idx="4">
                    <c:v>1.97</c:v>
                  </c:pt>
                  <c:pt idx="5">
                    <c:v>6.09</c:v>
                  </c:pt>
                  <c:pt idx="6">
                    <c:v>2.7233333333333332</c:v>
                  </c:pt>
                  <c:pt idx="7">
                    <c:v>2.2933333333333334</c:v>
                  </c:pt>
                  <c:pt idx="8">
                    <c:v>2.31</c:v>
                  </c:pt>
                  <c:pt idx="9">
                    <c:v>2.2400000000000002</c:v>
                  </c:pt>
                  <c:pt idx="10">
                    <c:v>12.13</c:v>
                  </c:pt>
                  <c:pt idx="11">
                    <c:v>11.3</c:v>
                  </c:pt>
                  <c:pt idx="12">
                    <c:v>7.84</c:v>
                  </c:pt>
                  <c:pt idx="13">
                    <c:v>6.32</c:v>
                  </c:pt>
                  <c:pt idx="14">
                    <c:v>23.18</c:v>
                  </c:pt>
                  <c:pt idx="15">
                    <c:v>4.63</c:v>
                  </c:pt>
                  <c:pt idx="16">
                    <c:v>6.8049999999999997</c:v>
                  </c:pt>
                  <c:pt idx="17">
                    <c:v>1.73</c:v>
                  </c:pt>
                  <c:pt idx="18">
                    <c:v>1.73</c:v>
                  </c:pt>
                  <c:pt idx="19">
                    <c:v>9.5</c:v>
                  </c:pt>
                  <c:pt idx="20">
                    <c:v>5.9949999999999992</c:v>
                  </c:pt>
                  <c:pt idx="21">
                    <c:v>1.28</c:v>
                  </c:pt>
                  <c:pt idx="22">
                    <c:v>1.36</c:v>
                  </c:pt>
                  <c:pt idx="23">
                    <c:v>1.58</c:v>
                  </c:pt>
                  <c:pt idx="24">
                    <c:v>4.71</c:v>
                  </c:pt>
                  <c:pt idx="25">
                    <c:v>3.3</c:v>
                  </c:pt>
                  <c:pt idx="26">
                    <c:v>2.9000000000000004</c:v>
                  </c:pt>
                  <c:pt idx="27">
                    <c:v>2.25</c:v>
                  </c:pt>
                  <c:pt idx="28">
                    <c:v>5.45</c:v>
                  </c:pt>
                  <c:pt idx="29">
                    <c:v>4.62</c:v>
                  </c:pt>
                  <c:pt idx="30">
                    <c:v>2.89</c:v>
                  </c:pt>
                  <c:pt idx="31">
                    <c:v>1.48</c:v>
                  </c:pt>
                  <c:pt idx="32">
                    <c:v>2.0499999999999998</c:v>
                  </c:pt>
                  <c:pt idx="33">
                    <c:v>2.0366666666666666</c:v>
                  </c:pt>
                  <c:pt idx="34">
                    <c:v>1.59</c:v>
                  </c:pt>
                  <c:pt idx="35">
                    <c:v>3.13</c:v>
                  </c:pt>
                  <c:pt idx="36">
                    <c:v>3.11</c:v>
                  </c:pt>
                  <c:pt idx="37">
                    <c:v>1.73</c:v>
                  </c:pt>
                  <c:pt idx="38">
                    <c:v>2.3049999999999997</c:v>
                  </c:pt>
                  <c:pt idx="39">
                    <c:v>2.93</c:v>
                  </c:pt>
                </c:numCache>
              </c:numRef>
            </c:plus>
            <c:minus>
              <c:numRef>
                <c:f>'Pivot Data'!$X$6:$X$45</c:f>
                <c:numCache>
                  <c:formatCode>General</c:formatCode>
                  <c:ptCount val="40"/>
                  <c:pt idx="0">
                    <c:v>5.26</c:v>
                  </c:pt>
                  <c:pt idx="1">
                    <c:v>6.3999999999999995</c:v>
                  </c:pt>
                  <c:pt idx="2">
                    <c:v>6.5</c:v>
                  </c:pt>
                  <c:pt idx="3">
                    <c:v>7.2799999999999994</c:v>
                  </c:pt>
                  <c:pt idx="4">
                    <c:v>1.97</c:v>
                  </c:pt>
                  <c:pt idx="5">
                    <c:v>6.09</c:v>
                  </c:pt>
                  <c:pt idx="6">
                    <c:v>2.7233333333333332</c:v>
                  </c:pt>
                  <c:pt idx="7">
                    <c:v>2.2933333333333334</c:v>
                  </c:pt>
                  <c:pt idx="8">
                    <c:v>2.31</c:v>
                  </c:pt>
                  <c:pt idx="9">
                    <c:v>2.2400000000000002</c:v>
                  </c:pt>
                  <c:pt idx="10">
                    <c:v>12.13</c:v>
                  </c:pt>
                  <c:pt idx="11">
                    <c:v>11.3</c:v>
                  </c:pt>
                  <c:pt idx="12">
                    <c:v>7.84</c:v>
                  </c:pt>
                  <c:pt idx="13">
                    <c:v>6.32</c:v>
                  </c:pt>
                  <c:pt idx="14">
                    <c:v>23.18</c:v>
                  </c:pt>
                  <c:pt idx="15">
                    <c:v>4.63</c:v>
                  </c:pt>
                  <c:pt idx="16">
                    <c:v>6.8049999999999997</c:v>
                  </c:pt>
                  <c:pt idx="17">
                    <c:v>1.73</c:v>
                  </c:pt>
                  <c:pt idx="18">
                    <c:v>1.73</c:v>
                  </c:pt>
                  <c:pt idx="19">
                    <c:v>9.5</c:v>
                  </c:pt>
                  <c:pt idx="20">
                    <c:v>5.9949999999999992</c:v>
                  </c:pt>
                  <c:pt idx="21">
                    <c:v>1.28</c:v>
                  </c:pt>
                  <c:pt idx="22">
                    <c:v>1.36</c:v>
                  </c:pt>
                  <c:pt idx="23">
                    <c:v>1.58</c:v>
                  </c:pt>
                  <c:pt idx="24">
                    <c:v>4.71</c:v>
                  </c:pt>
                  <c:pt idx="25">
                    <c:v>3.3</c:v>
                  </c:pt>
                  <c:pt idx="26">
                    <c:v>2.9000000000000004</c:v>
                  </c:pt>
                  <c:pt idx="27">
                    <c:v>2.25</c:v>
                  </c:pt>
                  <c:pt idx="28">
                    <c:v>5.45</c:v>
                  </c:pt>
                  <c:pt idx="29">
                    <c:v>4.62</c:v>
                  </c:pt>
                  <c:pt idx="30">
                    <c:v>2.89</c:v>
                  </c:pt>
                  <c:pt idx="31">
                    <c:v>1.48</c:v>
                  </c:pt>
                  <c:pt idx="32">
                    <c:v>2.0499999999999998</c:v>
                  </c:pt>
                  <c:pt idx="33">
                    <c:v>2.0366666666666666</c:v>
                  </c:pt>
                  <c:pt idx="34">
                    <c:v>1.59</c:v>
                  </c:pt>
                  <c:pt idx="35">
                    <c:v>3.13</c:v>
                  </c:pt>
                  <c:pt idx="36">
                    <c:v>3.11</c:v>
                  </c:pt>
                  <c:pt idx="37">
                    <c:v>1.73</c:v>
                  </c:pt>
                  <c:pt idx="38">
                    <c:v>2.3049999999999997</c:v>
                  </c:pt>
                  <c:pt idx="39">
                    <c:v>2.93</c:v>
                  </c:pt>
                </c:numCache>
              </c:numRef>
            </c:minus>
            <c:spPr>
              <a:noFill/>
              <a:ln w="9525" cap="flat" cmpd="sng" algn="ctr">
                <a:solidFill>
                  <a:schemeClr val="tx1">
                    <a:lumMod val="65000"/>
                    <a:lumOff val="35000"/>
                  </a:schemeClr>
                </a:solidFill>
                <a:round/>
              </a:ln>
              <a:effectLst/>
            </c:spPr>
          </c:errBars>
          <c:cat>
            <c:strRef>
              <c:f>'Pivot Data'!$V$6:$V$46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Data'!$W$6:$W$46</c:f>
              <c:numCache>
                <c:formatCode>General</c:formatCode>
                <c:ptCount val="40"/>
                <c:pt idx="0">
                  <c:v>40.47</c:v>
                </c:pt>
                <c:pt idx="1">
                  <c:v>55.263333333333328</c:v>
                </c:pt>
                <c:pt idx="2">
                  <c:v>49.555</c:v>
                </c:pt>
                <c:pt idx="3">
                  <c:v>49.204999999999998</c:v>
                </c:pt>
                <c:pt idx="4">
                  <c:v>46.41</c:v>
                </c:pt>
                <c:pt idx="5">
                  <c:v>50.57</c:v>
                </c:pt>
                <c:pt idx="6">
                  <c:v>40.21</c:v>
                </c:pt>
                <c:pt idx="7">
                  <c:v>36.81</c:v>
                </c:pt>
                <c:pt idx="8">
                  <c:v>51.28</c:v>
                </c:pt>
                <c:pt idx="9">
                  <c:v>47.14</c:v>
                </c:pt>
                <c:pt idx="10">
                  <c:v>52.41</c:v>
                </c:pt>
                <c:pt idx="11">
                  <c:v>52.34</c:v>
                </c:pt>
                <c:pt idx="12">
                  <c:v>48.6</c:v>
                </c:pt>
                <c:pt idx="13">
                  <c:v>46.34</c:v>
                </c:pt>
                <c:pt idx="14">
                  <c:v>49.91</c:v>
                </c:pt>
                <c:pt idx="15">
                  <c:v>46.44</c:v>
                </c:pt>
                <c:pt idx="16">
                  <c:v>45.355000000000004</c:v>
                </c:pt>
                <c:pt idx="17">
                  <c:v>50.67</c:v>
                </c:pt>
                <c:pt idx="18">
                  <c:v>50.67</c:v>
                </c:pt>
                <c:pt idx="19">
                  <c:v>45.24</c:v>
                </c:pt>
                <c:pt idx="20">
                  <c:v>46.55</c:v>
                </c:pt>
                <c:pt idx="21">
                  <c:v>28.19</c:v>
                </c:pt>
                <c:pt idx="22">
                  <c:v>28.28</c:v>
                </c:pt>
                <c:pt idx="23">
                  <c:v>32.03</c:v>
                </c:pt>
                <c:pt idx="24">
                  <c:v>39.369999999999997</c:v>
                </c:pt>
                <c:pt idx="25">
                  <c:v>55.85</c:v>
                </c:pt>
                <c:pt idx="26">
                  <c:v>51.135000000000005</c:v>
                </c:pt>
                <c:pt idx="27">
                  <c:v>56.47</c:v>
                </c:pt>
                <c:pt idx="28">
                  <c:v>49.92</c:v>
                </c:pt>
                <c:pt idx="29">
                  <c:v>51.13</c:v>
                </c:pt>
                <c:pt idx="30">
                  <c:v>44.92</c:v>
                </c:pt>
                <c:pt idx="31">
                  <c:v>44.82</c:v>
                </c:pt>
                <c:pt idx="32">
                  <c:v>53.56</c:v>
                </c:pt>
                <c:pt idx="33">
                  <c:v>47.913333333333334</c:v>
                </c:pt>
                <c:pt idx="34">
                  <c:v>57.42</c:v>
                </c:pt>
                <c:pt idx="35">
                  <c:v>42.9</c:v>
                </c:pt>
                <c:pt idx="36">
                  <c:v>50.53</c:v>
                </c:pt>
                <c:pt idx="37">
                  <c:v>41.96</c:v>
                </c:pt>
                <c:pt idx="38">
                  <c:v>50.825000000000003</c:v>
                </c:pt>
                <c:pt idx="39">
                  <c:v>48.95</c:v>
                </c:pt>
              </c:numCache>
            </c:numRef>
          </c:val>
          <c:smooth val="0"/>
          <c:extLst>
            <c:ext xmlns:c16="http://schemas.microsoft.com/office/drawing/2014/chart" uri="{C3380CC4-5D6E-409C-BE32-E72D297353CC}">
              <c16:uniqueId val="{00000002-2117-48EB-9EF9-8549C476B03E}"/>
            </c:ext>
          </c:extLst>
        </c:ser>
        <c:ser>
          <c:idx val="1"/>
          <c:order val="1"/>
          <c:tx>
            <c:strRef>
              <c:f>'Pivot Data'!$X$5</c:f>
              <c:strCache>
                <c:ptCount val="1"/>
                <c:pt idx="0">
                  <c:v>Average of F52_OP tol</c:v>
                </c:pt>
              </c:strCache>
            </c:strRef>
          </c:tx>
          <c:spPr>
            <a:ln w="28575" cap="rnd">
              <a:solidFill>
                <a:schemeClr val="accent2"/>
              </a:solidFill>
              <a:round/>
            </a:ln>
            <a:effectLst/>
          </c:spPr>
          <c:marker>
            <c:symbol val="none"/>
          </c:marker>
          <c:cat>
            <c:strRef>
              <c:f>'Pivot Data'!$V$6:$V$46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Data'!$X$6:$X$46</c:f>
              <c:numCache>
                <c:formatCode>General</c:formatCode>
                <c:ptCount val="40"/>
                <c:pt idx="0">
                  <c:v>5.26</c:v>
                </c:pt>
                <c:pt idx="1">
                  <c:v>6.3999999999999995</c:v>
                </c:pt>
                <c:pt idx="2">
                  <c:v>6.5</c:v>
                </c:pt>
                <c:pt idx="3">
                  <c:v>7.2799999999999994</c:v>
                </c:pt>
                <c:pt idx="4">
                  <c:v>1.97</c:v>
                </c:pt>
                <c:pt idx="5">
                  <c:v>6.09</c:v>
                </c:pt>
                <c:pt idx="6">
                  <c:v>2.7233333333333332</c:v>
                </c:pt>
                <c:pt idx="7">
                  <c:v>2.2933333333333334</c:v>
                </c:pt>
                <c:pt idx="8">
                  <c:v>2.31</c:v>
                </c:pt>
                <c:pt idx="9">
                  <c:v>2.2400000000000002</c:v>
                </c:pt>
                <c:pt idx="10">
                  <c:v>12.13</c:v>
                </c:pt>
                <c:pt idx="11">
                  <c:v>11.3</c:v>
                </c:pt>
                <c:pt idx="12">
                  <c:v>7.84</c:v>
                </c:pt>
                <c:pt idx="13">
                  <c:v>6.32</c:v>
                </c:pt>
                <c:pt idx="14">
                  <c:v>23.18</c:v>
                </c:pt>
                <c:pt idx="15">
                  <c:v>4.63</c:v>
                </c:pt>
                <c:pt idx="16">
                  <c:v>6.8049999999999997</c:v>
                </c:pt>
                <c:pt idx="17">
                  <c:v>1.73</c:v>
                </c:pt>
                <c:pt idx="18">
                  <c:v>1.73</c:v>
                </c:pt>
                <c:pt idx="19">
                  <c:v>9.5</c:v>
                </c:pt>
                <c:pt idx="20">
                  <c:v>5.9949999999999992</c:v>
                </c:pt>
                <c:pt idx="21">
                  <c:v>1.28</c:v>
                </c:pt>
                <c:pt idx="22">
                  <c:v>1.36</c:v>
                </c:pt>
                <c:pt idx="23">
                  <c:v>1.58</c:v>
                </c:pt>
                <c:pt idx="24">
                  <c:v>4.71</c:v>
                </c:pt>
                <c:pt idx="25">
                  <c:v>3.3</c:v>
                </c:pt>
                <c:pt idx="26">
                  <c:v>2.9000000000000004</c:v>
                </c:pt>
                <c:pt idx="27">
                  <c:v>2.25</c:v>
                </c:pt>
                <c:pt idx="28">
                  <c:v>5.45</c:v>
                </c:pt>
                <c:pt idx="29">
                  <c:v>4.62</c:v>
                </c:pt>
                <c:pt idx="30">
                  <c:v>2.89</c:v>
                </c:pt>
                <c:pt idx="31">
                  <c:v>1.48</c:v>
                </c:pt>
                <c:pt idx="32">
                  <c:v>2.0499999999999998</c:v>
                </c:pt>
                <c:pt idx="33">
                  <c:v>2.0366666666666666</c:v>
                </c:pt>
                <c:pt idx="34">
                  <c:v>1.59</c:v>
                </c:pt>
                <c:pt idx="35">
                  <c:v>3.13</c:v>
                </c:pt>
                <c:pt idx="36">
                  <c:v>3.11</c:v>
                </c:pt>
                <c:pt idx="37">
                  <c:v>1.73</c:v>
                </c:pt>
                <c:pt idx="38">
                  <c:v>2.3049999999999997</c:v>
                </c:pt>
                <c:pt idx="39">
                  <c:v>2.93</c:v>
                </c:pt>
              </c:numCache>
            </c:numRef>
          </c:val>
          <c:smooth val="0"/>
          <c:extLst>
            <c:ext xmlns:c16="http://schemas.microsoft.com/office/drawing/2014/chart" uri="{C3380CC4-5D6E-409C-BE32-E72D297353CC}">
              <c16:uniqueId val="{00000003-2117-48EB-9EF9-8549C476B03E}"/>
            </c:ext>
          </c:extLst>
        </c:ser>
        <c:dLbls>
          <c:showLegendKey val="0"/>
          <c:showVal val="0"/>
          <c:showCatName val="0"/>
          <c:showSerName val="0"/>
          <c:showPercent val="0"/>
          <c:showBubbleSize val="0"/>
        </c:dLbls>
        <c:smooth val="0"/>
        <c:axId val="1122804592"/>
        <c:axId val="1122808432"/>
      </c:lineChart>
      <c:catAx>
        <c:axId val="112280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08432"/>
        <c:crosses val="autoZero"/>
        <c:auto val="1"/>
        <c:lblAlgn val="ctr"/>
        <c:lblOffset val="100"/>
        <c:noMultiLvlLbl val="0"/>
      </c:catAx>
      <c:valAx>
        <c:axId val="112280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0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Data!PivotTable7</c:name>
    <c:fmtId val="3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Data'!$AA$5</c:f>
              <c:strCache>
                <c:ptCount val="1"/>
                <c:pt idx="0">
                  <c:v>Average of Mill dP</c:v>
                </c:pt>
              </c:strCache>
            </c:strRef>
          </c:tx>
          <c:spPr>
            <a:ln w="28575" cap="rnd">
              <a:solidFill>
                <a:schemeClr val="accent1"/>
              </a:solidFill>
              <a:round/>
            </a:ln>
            <a:effectLst/>
          </c:spPr>
          <c:marker>
            <c:symbol val="none"/>
          </c:marker>
          <c:errBars>
            <c:errDir val="y"/>
            <c:errBarType val="both"/>
            <c:errValType val="cust"/>
            <c:noEndCap val="0"/>
            <c:plus>
              <c:numRef>
                <c:f>'Pivot Data'!$AB$6:$AB$45</c:f>
                <c:numCache>
                  <c:formatCode>General</c:formatCode>
                  <c:ptCount val="40"/>
                  <c:pt idx="0">
                    <c:v>105.25999999999999</c:v>
                  </c:pt>
                  <c:pt idx="1">
                    <c:v>126.53666666666668</c:v>
                  </c:pt>
                  <c:pt idx="2">
                    <c:v>119.73500000000001</c:v>
                  </c:pt>
                  <c:pt idx="3">
                    <c:v>110.27499999999999</c:v>
                  </c:pt>
                  <c:pt idx="4">
                    <c:v>91.47</c:v>
                  </c:pt>
                  <c:pt idx="5">
                    <c:v>78.819999999999993</c:v>
                  </c:pt>
                  <c:pt idx="6">
                    <c:v>155.96</c:v>
                  </c:pt>
                  <c:pt idx="7">
                    <c:v>184.60333333333332</c:v>
                  </c:pt>
                  <c:pt idx="8">
                    <c:v>127.69</c:v>
                  </c:pt>
                  <c:pt idx="9">
                    <c:v>56.82</c:v>
                  </c:pt>
                  <c:pt idx="10">
                    <c:v>240.94</c:v>
                  </c:pt>
                  <c:pt idx="11">
                    <c:v>213.93</c:v>
                  </c:pt>
                  <c:pt idx="12">
                    <c:v>166.31</c:v>
                  </c:pt>
                  <c:pt idx="13">
                    <c:v>178.35</c:v>
                  </c:pt>
                  <c:pt idx="14">
                    <c:v>341.04</c:v>
                  </c:pt>
                  <c:pt idx="15">
                    <c:v>158.76</c:v>
                  </c:pt>
                  <c:pt idx="16">
                    <c:v>250.25</c:v>
                  </c:pt>
                  <c:pt idx="17">
                    <c:v>136.33000000000001</c:v>
                  </c:pt>
                  <c:pt idx="18">
                    <c:v>136.21</c:v>
                  </c:pt>
                  <c:pt idx="19">
                    <c:v>291.79999999999995</c:v>
                  </c:pt>
                  <c:pt idx="20">
                    <c:v>95.025000000000006</c:v>
                  </c:pt>
                  <c:pt idx="21">
                    <c:v>72.539999999999992</c:v>
                  </c:pt>
                  <c:pt idx="22">
                    <c:v>80.239999999999995</c:v>
                  </c:pt>
                  <c:pt idx="23">
                    <c:v>73.875</c:v>
                  </c:pt>
                  <c:pt idx="24">
                    <c:v>80.38</c:v>
                  </c:pt>
                  <c:pt idx="25">
                    <c:v>47.65</c:v>
                  </c:pt>
                  <c:pt idx="26">
                    <c:v>84.710000000000008</c:v>
                  </c:pt>
                  <c:pt idx="27">
                    <c:v>101.84</c:v>
                  </c:pt>
                  <c:pt idx="28">
                    <c:v>98.13</c:v>
                  </c:pt>
                  <c:pt idx="29">
                    <c:v>78.59</c:v>
                  </c:pt>
                  <c:pt idx="30">
                    <c:v>97.539999999999992</c:v>
                  </c:pt>
                  <c:pt idx="31">
                    <c:v>65.03</c:v>
                  </c:pt>
                  <c:pt idx="32">
                    <c:v>119.46000000000001</c:v>
                  </c:pt>
                  <c:pt idx="33">
                    <c:v>78.2</c:v>
                  </c:pt>
                  <c:pt idx="34">
                    <c:v>73.960000000000008</c:v>
                  </c:pt>
                  <c:pt idx="35">
                    <c:v>102.56</c:v>
                  </c:pt>
                  <c:pt idx="36">
                    <c:v>90.94</c:v>
                  </c:pt>
                  <c:pt idx="37">
                    <c:v>113.69</c:v>
                  </c:pt>
                  <c:pt idx="38">
                    <c:v>132.41499999999999</c:v>
                  </c:pt>
                  <c:pt idx="39">
                    <c:v>57.040000000000006</c:v>
                  </c:pt>
                </c:numCache>
              </c:numRef>
            </c:plus>
            <c:minus>
              <c:numRef>
                <c:f>'Pivot Data'!$AB$6:$AB$45</c:f>
                <c:numCache>
                  <c:formatCode>General</c:formatCode>
                  <c:ptCount val="40"/>
                  <c:pt idx="0">
                    <c:v>105.25999999999999</c:v>
                  </c:pt>
                  <c:pt idx="1">
                    <c:v>126.53666666666668</c:v>
                  </c:pt>
                  <c:pt idx="2">
                    <c:v>119.73500000000001</c:v>
                  </c:pt>
                  <c:pt idx="3">
                    <c:v>110.27499999999999</c:v>
                  </c:pt>
                  <c:pt idx="4">
                    <c:v>91.47</c:v>
                  </c:pt>
                  <c:pt idx="5">
                    <c:v>78.819999999999993</c:v>
                  </c:pt>
                  <c:pt idx="6">
                    <c:v>155.96</c:v>
                  </c:pt>
                  <c:pt idx="7">
                    <c:v>184.60333333333332</c:v>
                  </c:pt>
                  <c:pt idx="8">
                    <c:v>127.69</c:v>
                  </c:pt>
                  <c:pt idx="9">
                    <c:v>56.82</c:v>
                  </c:pt>
                  <c:pt idx="10">
                    <c:v>240.94</c:v>
                  </c:pt>
                  <c:pt idx="11">
                    <c:v>213.93</c:v>
                  </c:pt>
                  <c:pt idx="12">
                    <c:v>166.31</c:v>
                  </c:pt>
                  <c:pt idx="13">
                    <c:v>178.35</c:v>
                  </c:pt>
                  <c:pt idx="14">
                    <c:v>341.04</c:v>
                  </c:pt>
                  <c:pt idx="15">
                    <c:v>158.76</c:v>
                  </c:pt>
                  <c:pt idx="16">
                    <c:v>250.25</c:v>
                  </c:pt>
                  <c:pt idx="17">
                    <c:v>136.33000000000001</c:v>
                  </c:pt>
                  <c:pt idx="18">
                    <c:v>136.21</c:v>
                  </c:pt>
                  <c:pt idx="19">
                    <c:v>291.79999999999995</c:v>
                  </c:pt>
                  <c:pt idx="20">
                    <c:v>95.025000000000006</c:v>
                  </c:pt>
                  <c:pt idx="21">
                    <c:v>72.539999999999992</c:v>
                  </c:pt>
                  <c:pt idx="22">
                    <c:v>80.239999999999995</c:v>
                  </c:pt>
                  <c:pt idx="23">
                    <c:v>73.875</c:v>
                  </c:pt>
                  <c:pt idx="24">
                    <c:v>80.38</c:v>
                  </c:pt>
                  <c:pt idx="25">
                    <c:v>47.65</c:v>
                  </c:pt>
                  <c:pt idx="26">
                    <c:v>84.710000000000008</c:v>
                  </c:pt>
                  <c:pt idx="27">
                    <c:v>101.84</c:v>
                  </c:pt>
                  <c:pt idx="28">
                    <c:v>98.13</c:v>
                  </c:pt>
                  <c:pt idx="29">
                    <c:v>78.59</c:v>
                  </c:pt>
                  <c:pt idx="30">
                    <c:v>97.539999999999992</c:v>
                  </c:pt>
                  <c:pt idx="31">
                    <c:v>65.03</c:v>
                  </c:pt>
                  <c:pt idx="32">
                    <c:v>119.46000000000001</c:v>
                  </c:pt>
                  <c:pt idx="33">
                    <c:v>78.2</c:v>
                  </c:pt>
                  <c:pt idx="34">
                    <c:v>73.960000000000008</c:v>
                  </c:pt>
                  <c:pt idx="35">
                    <c:v>102.56</c:v>
                  </c:pt>
                  <c:pt idx="36">
                    <c:v>90.94</c:v>
                  </c:pt>
                  <c:pt idx="37">
                    <c:v>113.69</c:v>
                  </c:pt>
                  <c:pt idx="38">
                    <c:v>132.41499999999999</c:v>
                  </c:pt>
                  <c:pt idx="39">
                    <c:v>57.040000000000006</c:v>
                  </c:pt>
                </c:numCache>
              </c:numRef>
            </c:minus>
            <c:spPr>
              <a:noFill/>
              <a:ln w="9525" cap="flat" cmpd="sng" algn="ctr">
                <a:solidFill>
                  <a:schemeClr val="tx1">
                    <a:lumMod val="65000"/>
                    <a:lumOff val="35000"/>
                  </a:schemeClr>
                </a:solidFill>
                <a:round/>
              </a:ln>
              <a:effectLst/>
            </c:spPr>
          </c:errBars>
          <c:cat>
            <c:strRef>
              <c:f>'Pivot Data'!$Z$6:$Z$46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Data'!$AA$6:$AA$46</c:f>
              <c:numCache>
                <c:formatCode>General</c:formatCode>
                <c:ptCount val="40"/>
                <c:pt idx="0">
                  <c:v>226.90999999999997</c:v>
                </c:pt>
                <c:pt idx="1">
                  <c:v>210.56000000000003</c:v>
                </c:pt>
                <c:pt idx="2">
                  <c:v>152.65999999999997</c:v>
                </c:pt>
                <c:pt idx="3">
                  <c:v>225.51999999999998</c:v>
                </c:pt>
                <c:pt idx="4">
                  <c:v>193.03</c:v>
                </c:pt>
                <c:pt idx="5">
                  <c:v>200.495</c:v>
                </c:pt>
                <c:pt idx="6">
                  <c:v>201.00666666666666</c:v>
                </c:pt>
                <c:pt idx="7">
                  <c:v>156.07333333333332</c:v>
                </c:pt>
                <c:pt idx="8">
                  <c:v>113.32</c:v>
                </c:pt>
                <c:pt idx="9">
                  <c:v>202.5</c:v>
                </c:pt>
                <c:pt idx="10">
                  <c:v>193.24</c:v>
                </c:pt>
                <c:pt idx="11">
                  <c:v>265.66999999999996</c:v>
                </c:pt>
                <c:pt idx="12">
                  <c:v>210.38000000000002</c:v>
                </c:pt>
                <c:pt idx="13">
                  <c:v>140.52999999999997</c:v>
                </c:pt>
                <c:pt idx="14">
                  <c:v>257.57</c:v>
                </c:pt>
                <c:pt idx="15">
                  <c:v>160.29999999999998</c:v>
                </c:pt>
                <c:pt idx="16">
                  <c:v>129.28</c:v>
                </c:pt>
                <c:pt idx="17">
                  <c:v>107.20000000000002</c:v>
                </c:pt>
                <c:pt idx="18">
                  <c:v>107.13</c:v>
                </c:pt>
                <c:pt idx="19">
                  <c:v>165.39999999999998</c:v>
                </c:pt>
                <c:pt idx="20">
                  <c:v>170.21499999999997</c:v>
                </c:pt>
                <c:pt idx="21">
                  <c:v>96.760000000000048</c:v>
                </c:pt>
                <c:pt idx="22">
                  <c:v>98.300000000000011</c:v>
                </c:pt>
                <c:pt idx="23">
                  <c:v>111.035</c:v>
                </c:pt>
                <c:pt idx="24">
                  <c:v>207.38</c:v>
                </c:pt>
                <c:pt idx="25">
                  <c:v>275.56</c:v>
                </c:pt>
                <c:pt idx="26">
                  <c:v>95.46</c:v>
                </c:pt>
                <c:pt idx="27">
                  <c:v>126.89000000000001</c:v>
                </c:pt>
                <c:pt idx="28">
                  <c:v>229.64000000000001</c:v>
                </c:pt>
                <c:pt idx="29">
                  <c:v>232.94</c:v>
                </c:pt>
                <c:pt idx="30">
                  <c:v>125.66999999999999</c:v>
                </c:pt>
                <c:pt idx="31">
                  <c:v>121.83000000000001</c:v>
                </c:pt>
                <c:pt idx="32">
                  <c:v>133.63</c:v>
                </c:pt>
                <c:pt idx="33">
                  <c:v>120.25666666666666</c:v>
                </c:pt>
                <c:pt idx="34">
                  <c:v>135.16</c:v>
                </c:pt>
                <c:pt idx="35">
                  <c:v>104.77000000000004</c:v>
                </c:pt>
                <c:pt idx="36">
                  <c:v>155.54</c:v>
                </c:pt>
                <c:pt idx="37">
                  <c:v>85.159999999999968</c:v>
                </c:pt>
                <c:pt idx="38">
                  <c:v>138.56</c:v>
                </c:pt>
                <c:pt idx="39">
                  <c:v>163.81</c:v>
                </c:pt>
              </c:numCache>
            </c:numRef>
          </c:val>
          <c:smooth val="0"/>
          <c:extLst>
            <c:ext xmlns:c16="http://schemas.microsoft.com/office/drawing/2014/chart" uri="{C3380CC4-5D6E-409C-BE32-E72D297353CC}">
              <c16:uniqueId val="{00000000-9E24-4A0C-8C18-8AB6BDDA8F86}"/>
            </c:ext>
          </c:extLst>
        </c:ser>
        <c:ser>
          <c:idx val="1"/>
          <c:order val="1"/>
          <c:tx>
            <c:strRef>
              <c:f>'Pivot Data'!$AB$5</c:f>
              <c:strCache>
                <c:ptCount val="1"/>
                <c:pt idx="0">
                  <c:v>Average of Mill dP tol</c:v>
                </c:pt>
              </c:strCache>
            </c:strRef>
          </c:tx>
          <c:spPr>
            <a:ln w="28575" cap="rnd">
              <a:solidFill>
                <a:schemeClr val="accent2"/>
              </a:solidFill>
              <a:round/>
            </a:ln>
            <a:effectLst/>
          </c:spPr>
          <c:marker>
            <c:symbol val="none"/>
          </c:marker>
          <c:cat>
            <c:strRef>
              <c:f>'Pivot Data'!$Z$6:$Z$46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Data'!$AB$6:$AB$46</c:f>
              <c:numCache>
                <c:formatCode>General</c:formatCode>
                <c:ptCount val="40"/>
                <c:pt idx="0">
                  <c:v>105.25999999999999</c:v>
                </c:pt>
                <c:pt idx="1">
                  <c:v>126.53666666666668</c:v>
                </c:pt>
                <c:pt idx="2">
                  <c:v>119.73500000000001</c:v>
                </c:pt>
                <c:pt idx="3">
                  <c:v>110.27499999999999</c:v>
                </c:pt>
                <c:pt idx="4">
                  <c:v>91.47</c:v>
                </c:pt>
                <c:pt idx="5">
                  <c:v>78.819999999999993</c:v>
                </c:pt>
                <c:pt idx="6">
                  <c:v>155.96</c:v>
                </c:pt>
                <c:pt idx="7">
                  <c:v>184.60333333333332</c:v>
                </c:pt>
                <c:pt idx="8">
                  <c:v>127.69</c:v>
                </c:pt>
                <c:pt idx="9">
                  <c:v>56.82</c:v>
                </c:pt>
                <c:pt idx="10">
                  <c:v>240.94</c:v>
                </c:pt>
                <c:pt idx="11">
                  <c:v>213.93</c:v>
                </c:pt>
                <c:pt idx="12">
                  <c:v>166.31</c:v>
                </c:pt>
                <c:pt idx="13">
                  <c:v>178.35</c:v>
                </c:pt>
                <c:pt idx="14">
                  <c:v>341.04</c:v>
                </c:pt>
                <c:pt idx="15">
                  <c:v>158.76</c:v>
                </c:pt>
                <c:pt idx="16">
                  <c:v>250.25</c:v>
                </c:pt>
                <c:pt idx="17">
                  <c:v>136.33000000000001</c:v>
                </c:pt>
                <c:pt idx="18">
                  <c:v>136.21</c:v>
                </c:pt>
                <c:pt idx="19">
                  <c:v>291.79999999999995</c:v>
                </c:pt>
                <c:pt idx="20">
                  <c:v>95.025000000000006</c:v>
                </c:pt>
                <c:pt idx="21">
                  <c:v>72.539999999999992</c:v>
                </c:pt>
                <c:pt idx="22">
                  <c:v>80.239999999999995</c:v>
                </c:pt>
                <c:pt idx="23">
                  <c:v>73.875</c:v>
                </c:pt>
                <c:pt idx="24">
                  <c:v>80.38</c:v>
                </c:pt>
                <c:pt idx="25">
                  <c:v>47.65</c:v>
                </c:pt>
                <c:pt idx="26">
                  <c:v>84.710000000000008</c:v>
                </c:pt>
                <c:pt idx="27">
                  <c:v>101.84</c:v>
                </c:pt>
                <c:pt idx="28">
                  <c:v>98.13</c:v>
                </c:pt>
                <c:pt idx="29">
                  <c:v>78.59</c:v>
                </c:pt>
                <c:pt idx="30">
                  <c:v>97.539999999999992</c:v>
                </c:pt>
                <c:pt idx="31">
                  <c:v>65.03</c:v>
                </c:pt>
                <c:pt idx="32">
                  <c:v>119.46000000000001</c:v>
                </c:pt>
                <c:pt idx="33">
                  <c:v>78.2</c:v>
                </c:pt>
                <c:pt idx="34">
                  <c:v>73.960000000000008</c:v>
                </c:pt>
                <c:pt idx="35">
                  <c:v>102.56</c:v>
                </c:pt>
                <c:pt idx="36">
                  <c:v>90.94</c:v>
                </c:pt>
                <c:pt idx="37">
                  <c:v>113.69</c:v>
                </c:pt>
                <c:pt idx="38">
                  <c:v>132.41499999999999</c:v>
                </c:pt>
                <c:pt idx="39">
                  <c:v>57.040000000000006</c:v>
                </c:pt>
              </c:numCache>
            </c:numRef>
          </c:val>
          <c:smooth val="0"/>
          <c:extLst>
            <c:ext xmlns:c16="http://schemas.microsoft.com/office/drawing/2014/chart" uri="{C3380CC4-5D6E-409C-BE32-E72D297353CC}">
              <c16:uniqueId val="{00000001-9E24-4A0C-8C18-8AB6BDDA8F86}"/>
            </c:ext>
          </c:extLst>
        </c:ser>
        <c:dLbls>
          <c:showLegendKey val="0"/>
          <c:showVal val="0"/>
          <c:showCatName val="0"/>
          <c:showSerName val="0"/>
          <c:showPercent val="0"/>
          <c:showBubbleSize val="0"/>
        </c:dLbls>
        <c:smooth val="0"/>
        <c:axId val="710672031"/>
        <c:axId val="1131459648"/>
      </c:lineChart>
      <c:catAx>
        <c:axId val="71067203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459648"/>
        <c:crosses val="autoZero"/>
        <c:auto val="1"/>
        <c:lblAlgn val="ctr"/>
        <c:lblOffset val="100"/>
        <c:noMultiLvlLbl val="0"/>
      </c:catAx>
      <c:valAx>
        <c:axId val="113145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7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Data!PivotTable8</c:name>
    <c:fmtId val="3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Data'!$AE$5</c:f>
              <c:strCache>
                <c:ptCount val="1"/>
                <c:pt idx="0">
                  <c:v>Sum of Classifier dP</c:v>
                </c:pt>
              </c:strCache>
            </c:strRef>
          </c:tx>
          <c:spPr>
            <a:ln w="28575" cap="rnd">
              <a:solidFill>
                <a:schemeClr val="accent1"/>
              </a:solidFill>
              <a:round/>
            </a:ln>
            <a:effectLst/>
          </c:spPr>
          <c:marker>
            <c:symbol val="none"/>
          </c:marker>
          <c:errBars>
            <c:errDir val="y"/>
            <c:errBarType val="both"/>
            <c:errValType val="cust"/>
            <c:noEndCap val="0"/>
            <c:plus>
              <c:numRef>
                <c:f>'Pivot Data'!$AF$6:$AF$45</c:f>
                <c:numCache>
                  <c:formatCode>General</c:formatCode>
                  <c:ptCount val="40"/>
                  <c:pt idx="0">
                    <c:v>114.68</c:v>
                  </c:pt>
                  <c:pt idx="1">
                    <c:v>307.48</c:v>
                  </c:pt>
                  <c:pt idx="2">
                    <c:v>162.29</c:v>
                  </c:pt>
                  <c:pt idx="3">
                    <c:v>233.15999999999997</c:v>
                  </c:pt>
                  <c:pt idx="4">
                    <c:v>93.43</c:v>
                  </c:pt>
                  <c:pt idx="5">
                    <c:v>245.41000000000003</c:v>
                  </c:pt>
                  <c:pt idx="6">
                    <c:v>548.42999999999995</c:v>
                  </c:pt>
                  <c:pt idx="7">
                    <c:v>520.78</c:v>
                  </c:pt>
                  <c:pt idx="8">
                    <c:v>156.89999999999998</c:v>
                  </c:pt>
                  <c:pt idx="9">
                    <c:v>67.05</c:v>
                  </c:pt>
                  <c:pt idx="10">
                    <c:v>103.47</c:v>
                  </c:pt>
                  <c:pt idx="11">
                    <c:v>110.63</c:v>
                  </c:pt>
                  <c:pt idx="12">
                    <c:v>87.52000000000001</c:v>
                  </c:pt>
                  <c:pt idx="13">
                    <c:v>300.96000000000004</c:v>
                  </c:pt>
                  <c:pt idx="14">
                    <c:v>257.52</c:v>
                  </c:pt>
                  <c:pt idx="15">
                    <c:v>121.18</c:v>
                  </c:pt>
                  <c:pt idx="16">
                    <c:v>323.83000000000004</c:v>
                  </c:pt>
                  <c:pt idx="17">
                    <c:v>154.43</c:v>
                  </c:pt>
                  <c:pt idx="18">
                    <c:v>155.9</c:v>
                  </c:pt>
                  <c:pt idx="19">
                    <c:v>277.60000000000002</c:v>
                  </c:pt>
                  <c:pt idx="20">
                    <c:v>214.56</c:v>
                  </c:pt>
                  <c:pt idx="21">
                    <c:v>78.47</c:v>
                  </c:pt>
                  <c:pt idx="22">
                    <c:v>93.72999999999999</c:v>
                  </c:pt>
                  <c:pt idx="23">
                    <c:v>170.86</c:v>
                  </c:pt>
                  <c:pt idx="24">
                    <c:v>73.67</c:v>
                  </c:pt>
                  <c:pt idx="25">
                    <c:v>56.129999999999995</c:v>
                  </c:pt>
                  <c:pt idx="26">
                    <c:v>129.24</c:v>
                  </c:pt>
                  <c:pt idx="27">
                    <c:v>87.75</c:v>
                  </c:pt>
                  <c:pt idx="28">
                    <c:v>98.47999999999999</c:v>
                  </c:pt>
                  <c:pt idx="29">
                    <c:v>87.26</c:v>
                  </c:pt>
                  <c:pt idx="30">
                    <c:v>73.44</c:v>
                  </c:pt>
                  <c:pt idx="31">
                    <c:v>69.64</c:v>
                  </c:pt>
                  <c:pt idx="32">
                    <c:v>118.9</c:v>
                  </c:pt>
                  <c:pt idx="33">
                    <c:v>219.04999999999998</c:v>
                  </c:pt>
                  <c:pt idx="34">
                    <c:v>75.27</c:v>
                  </c:pt>
                  <c:pt idx="35">
                    <c:v>58.91</c:v>
                  </c:pt>
                  <c:pt idx="36">
                    <c:v>75.960000000000008</c:v>
                  </c:pt>
                  <c:pt idx="37">
                    <c:v>113.53999999999999</c:v>
                  </c:pt>
                  <c:pt idx="38">
                    <c:v>255.95999999999998</c:v>
                  </c:pt>
                  <c:pt idx="39">
                    <c:v>27.96</c:v>
                  </c:pt>
                </c:numCache>
              </c:numRef>
            </c:plus>
            <c:minus>
              <c:numRef>
                <c:f>'Pivot Data'!$AF$6:$AF$45</c:f>
                <c:numCache>
                  <c:formatCode>General</c:formatCode>
                  <c:ptCount val="40"/>
                  <c:pt idx="0">
                    <c:v>114.68</c:v>
                  </c:pt>
                  <c:pt idx="1">
                    <c:v>307.48</c:v>
                  </c:pt>
                  <c:pt idx="2">
                    <c:v>162.29</c:v>
                  </c:pt>
                  <c:pt idx="3">
                    <c:v>233.15999999999997</c:v>
                  </c:pt>
                  <c:pt idx="4">
                    <c:v>93.43</c:v>
                  </c:pt>
                  <c:pt idx="5">
                    <c:v>245.41000000000003</c:v>
                  </c:pt>
                  <c:pt idx="6">
                    <c:v>548.42999999999995</c:v>
                  </c:pt>
                  <c:pt idx="7">
                    <c:v>520.78</c:v>
                  </c:pt>
                  <c:pt idx="8">
                    <c:v>156.89999999999998</c:v>
                  </c:pt>
                  <c:pt idx="9">
                    <c:v>67.05</c:v>
                  </c:pt>
                  <c:pt idx="10">
                    <c:v>103.47</c:v>
                  </c:pt>
                  <c:pt idx="11">
                    <c:v>110.63</c:v>
                  </c:pt>
                  <c:pt idx="12">
                    <c:v>87.52000000000001</c:v>
                  </c:pt>
                  <c:pt idx="13">
                    <c:v>300.96000000000004</c:v>
                  </c:pt>
                  <c:pt idx="14">
                    <c:v>257.52</c:v>
                  </c:pt>
                  <c:pt idx="15">
                    <c:v>121.18</c:v>
                  </c:pt>
                  <c:pt idx="16">
                    <c:v>323.83000000000004</c:v>
                  </c:pt>
                  <c:pt idx="17">
                    <c:v>154.43</c:v>
                  </c:pt>
                  <c:pt idx="18">
                    <c:v>155.9</c:v>
                  </c:pt>
                  <c:pt idx="19">
                    <c:v>277.60000000000002</c:v>
                  </c:pt>
                  <c:pt idx="20">
                    <c:v>214.56</c:v>
                  </c:pt>
                  <c:pt idx="21">
                    <c:v>78.47</c:v>
                  </c:pt>
                  <c:pt idx="22">
                    <c:v>93.72999999999999</c:v>
                  </c:pt>
                  <c:pt idx="23">
                    <c:v>170.86</c:v>
                  </c:pt>
                  <c:pt idx="24">
                    <c:v>73.67</c:v>
                  </c:pt>
                  <c:pt idx="25">
                    <c:v>56.129999999999995</c:v>
                  </c:pt>
                  <c:pt idx="26">
                    <c:v>129.24</c:v>
                  </c:pt>
                  <c:pt idx="27">
                    <c:v>87.75</c:v>
                  </c:pt>
                  <c:pt idx="28">
                    <c:v>98.47999999999999</c:v>
                  </c:pt>
                  <c:pt idx="29">
                    <c:v>87.26</c:v>
                  </c:pt>
                  <c:pt idx="30">
                    <c:v>73.44</c:v>
                  </c:pt>
                  <c:pt idx="31">
                    <c:v>69.64</c:v>
                  </c:pt>
                  <c:pt idx="32">
                    <c:v>118.9</c:v>
                  </c:pt>
                  <c:pt idx="33">
                    <c:v>219.04999999999998</c:v>
                  </c:pt>
                  <c:pt idx="34">
                    <c:v>75.27</c:v>
                  </c:pt>
                  <c:pt idx="35">
                    <c:v>58.91</c:v>
                  </c:pt>
                  <c:pt idx="36">
                    <c:v>75.960000000000008</c:v>
                  </c:pt>
                  <c:pt idx="37">
                    <c:v>113.53999999999999</c:v>
                  </c:pt>
                  <c:pt idx="38">
                    <c:v>255.95999999999998</c:v>
                  </c:pt>
                  <c:pt idx="39">
                    <c:v>27.96</c:v>
                  </c:pt>
                </c:numCache>
              </c:numRef>
            </c:minus>
            <c:spPr>
              <a:noFill/>
              <a:ln w="9525" cap="flat" cmpd="sng" algn="ctr">
                <a:solidFill>
                  <a:schemeClr val="tx1">
                    <a:lumMod val="65000"/>
                    <a:lumOff val="35000"/>
                  </a:schemeClr>
                </a:solidFill>
                <a:round/>
              </a:ln>
              <a:effectLst/>
            </c:spPr>
          </c:errBars>
          <c:cat>
            <c:strRef>
              <c:f>'Pivot Data'!$AD$6:$AD$46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Data'!$AE$6:$AE$46</c:f>
              <c:numCache>
                <c:formatCode>General</c:formatCode>
                <c:ptCount val="40"/>
                <c:pt idx="0">
                  <c:v>62.75</c:v>
                </c:pt>
                <c:pt idx="1">
                  <c:v>479.82000000000005</c:v>
                </c:pt>
                <c:pt idx="2">
                  <c:v>311.53999999999996</c:v>
                </c:pt>
                <c:pt idx="3">
                  <c:v>265.50000000000011</c:v>
                </c:pt>
                <c:pt idx="4">
                  <c:v>135.16000000000008</c:v>
                </c:pt>
                <c:pt idx="5">
                  <c:v>306.41999999999996</c:v>
                </c:pt>
                <c:pt idx="6">
                  <c:v>264.4000000000002</c:v>
                </c:pt>
                <c:pt idx="7">
                  <c:v>272.98</c:v>
                </c:pt>
                <c:pt idx="8">
                  <c:v>198.32000000000005</c:v>
                </c:pt>
                <c:pt idx="9">
                  <c:v>129.38999999999999</c:v>
                </c:pt>
                <c:pt idx="10">
                  <c:v>143.25</c:v>
                </c:pt>
                <c:pt idx="11">
                  <c:v>134.25</c:v>
                </c:pt>
                <c:pt idx="12">
                  <c:v>130.90000000000009</c:v>
                </c:pt>
                <c:pt idx="13">
                  <c:v>132.36000000000001</c:v>
                </c:pt>
                <c:pt idx="14">
                  <c:v>126.29999999999995</c:v>
                </c:pt>
                <c:pt idx="15">
                  <c:v>135.51</c:v>
                </c:pt>
                <c:pt idx="16">
                  <c:v>268.27999999999986</c:v>
                </c:pt>
                <c:pt idx="17">
                  <c:v>193.63</c:v>
                </c:pt>
                <c:pt idx="18">
                  <c:v>193.56999999999994</c:v>
                </c:pt>
                <c:pt idx="19">
                  <c:v>118.67000000000007</c:v>
                </c:pt>
                <c:pt idx="20">
                  <c:v>253.85000000000002</c:v>
                </c:pt>
                <c:pt idx="21">
                  <c:v>39.539999999999964</c:v>
                </c:pt>
                <c:pt idx="22">
                  <c:v>39.279999999999973</c:v>
                </c:pt>
                <c:pt idx="23">
                  <c:v>101.01999999999998</c:v>
                </c:pt>
                <c:pt idx="24">
                  <c:v>61.090000000000032</c:v>
                </c:pt>
                <c:pt idx="25">
                  <c:v>132.26999999999998</c:v>
                </c:pt>
                <c:pt idx="26">
                  <c:v>338.42000000000007</c:v>
                </c:pt>
                <c:pt idx="27">
                  <c:v>212.95000000000005</c:v>
                </c:pt>
                <c:pt idx="28">
                  <c:v>133.17999999999995</c:v>
                </c:pt>
                <c:pt idx="29">
                  <c:v>131.65999999999997</c:v>
                </c:pt>
                <c:pt idx="30">
                  <c:v>129.88999999999999</c:v>
                </c:pt>
                <c:pt idx="31">
                  <c:v>131.01</c:v>
                </c:pt>
                <c:pt idx="32">
                  <c:v>209.51</c:v>
                </c:pt>
                <c:pt idx="33">
                  <c:v>500.15999999999985</c:v>
                </c:pt>
                <c:pt idx="34">
                  <c:v>213.94000000000005</c:v>
                </c:pt>
                <c:pt idx="35">
                  <c:v>126.82000000000005</c:v>
                </c:pt>
                <c:pt idx="36">
                  <c:v>157.75</c:v>
                </c:pt>
                <c:pt idx="37">
                  <c:v>121.59999999999991</c:v>
                </c:pt>
                <c:pt idx="38">
                  <c:v>336.28</c:v>
                </c:pt>
                <c:pt idx="39">
                  <c:v>135.20000000000005</c:v>
                </c:pt>
              </c:numCache>
            </c:numRef>
          </c:val>
          <c:smooth val="0"/>
          <c:extLst>
            <c:ext xmlns:c16="http://schemas.microsoft.com/office/drawing/2014/chart" uri="{C3380CC4-5D6E-409C-BE32-E72D297353CC}">
              <c16:uniqueId val="{00000000-8457-405B-B9DB-0016B2CBC301}"/>
            </c:ext>
          </c:extLst>
        </c:ser>
        <c:ser>
          <c:idx val="1"/>
          <c:order val="1"/>
          <c:tx>
            <c:strRef>
              <c:f>'Pivot Data'!$AF$5</c:f>
              <c:strCache>
                <c:ptCount val="1"/>
                <c:pt idx="0">
                  <c:v>Sum of Classifier dP tol</c:v>
                </c:pt>
              </c:strCache>
            </c:strRef>
          </c:tx>
          <c:spPr>
            <a:ln w="28575" cap="rnd">
              <a:solidFill>
                <a:schemeClr val="accent2"/>
              </a:solidFill>
              <a:round/>
            </a:ln>
            <a:effectLst/>
          </c:spPr>
          <c:marker>
            <c:symbol val="none"/>
          </c:marker>
          <c:cat>
            <c:strRef>
              <c:f>'Pivot Data'!$AD$6:$AD$46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Data'!$AF$6:$AF$46</c:f>
              <c:numCache>
                <c:formatCode>General</c:formatCode>
                <c:ptCount val="40"/>
                <c:pt idx="0">
                  <c:v>114.68</c:v>
                </c:pt>
                <c:pt idx="1">
                  <c:v>307.48</c:v>
                </c:pt>
                <c:pt idx="2">
                  <c:v>162.29</c:v>
                </c:pt>
                <c:pt idx="3">
                  <c:v>233.15999999999997</c:v>
                </c:pt>
                <c:pt idx="4">
                  <c:v>93.43</c:v>
                </c:pt>
                <c:pt idx="5">
                  <c:v>245.41000000000003</c:v>
                </c:pt>
                <c:pt idx="6">
                  <c:v>548.42999999999995</c:v>
                </c:pt>
                <c:pt idx="7">
                  <c:v>520.78</c:v>
                </c:pt>
                <c:pt idx="8">
                  <c:v>156.89999999999998</c:v>
                </c:pt>
                <c:pt idx="9">
                  <c:v>67.05</c:v>
                </c:pt>
                <c:pt idx="10">
                  <c:v>103.47</c:v>
                </c:pt>
                <c:pt idx="11">
                  <c:v>110.63</c:v>
                </c:pt>
                <c:pt idx="12">
                  <c:v>87.52000000000001</c:v>
                </c:pt>
                <c:pt idx="13">
                  <c:v>300.96000000000004</c:v>
                </c:pt>
                <c:pt idx="14">
                  <c:v>257.52</c:v>
                </c:pt>
                <c:pt idx="15">
                  <c:v>121.18</c:v>
                </c:pt>
                <c:pt idx="16">
                  <c:v>323.83000000000004</c:v>
                </c:pt>
                <c:pt idx="17">
                  <c:v>154.43</c:v>
                </c:pt>
                <c:pt idx="18">
                  <c:v>155.9</c:v>
                </c:pt>
                <c:pt idx="19">
                  <c:v>277.60000000000002</c:v>
                </c:pt>
                <c:pt idx="20">
                  <c:v>214.56</c:v>
                </c:pt>
                <c:pt idx="21">
                  <c:v>78.47</c:v>
                </c:pt>
                <c:pt idx="22">
                  <c:v>93.72999999999999</c:v>
                </c:pt>
                <c:pt idx="23">
                  <c:v>170.86</c:v>
                </c:pt>
                <c:pt idx="24">
                  <c:v>73.67</c:v>
                </c:pt>
                <c:pt idx="25">
                  <c:v>56.129999999999995</c:v>
                </c:pt>
                <c:pt idx="26">
                  <c:v>129.24</c:v>
                </c:pt>
                <c:pt idx="27">
                  <c:v>87.75</c:v>
                </c:pt>
                <c:pt idx="28">
                  <c:v>98.47999999999999</c:v>
                </c:pt>
                <c:pt idx="29">
                  <c:v>87.26</c:v>
                </c:pt>
                <c:pt idx="30">
                  <c:v>73.44</c:v>
                </c:pt>
                <c:pt idx="31">
                  <c:v>69.64</c:v>
                </c:pt>
                <c:pt idx="32">
                  <c:v>118.9</c:v>
                </c:pt>
                <c:pt idx="33">
                  <c:v>219.04999999999998</c:v>
                </c:pt>
                <c:pt idx="34">
                  <c:v>75.27</c:v>
                </c:pt>
                <c:pt idx="35">
                  <c:v>58.91</c:v>
                </c:pt>
                <c:pt idx="36">
                  <c:v>75.960000000000008</c:v>
                </c:pt>
                <c:pt idx="37">
                  <c:v>113.53999999999999</c:v>
                </c:pt>
                <c:pt idx="38">
                  <c:v>255.95999999999998</c:v>
                </c:pt>
                <c:pt idx="39">
                  <c:v>27.96</c:v>
                </c:pt>
              </c:numCache>
            </c:numRef>
          </c:val>
          <c:smooth val="0"/>
          <c:extLst>
            <c:ext xmlns:c16="http://schemas.microsoft.com/office/drawing/2014/chart" uri="{C3380CC4-5D6E-409C-BE32-E72D297353CC}">
              <c16:uniqueId val="{00000001-8457-405B-B9DB-0016B2CBC301}"/>
            </c:ext>
          </c:extLst>
        </c:ser>
        <c:dLbls>
          <c:showLegendKey val="0"/>
          <c:showVal val="0"/>
          <c:showCatName val="0"/>
          <c:showSerName val="0"/>
          <c:showPercent val="0"/>
          <c:showBubbleSize val="0"/>
        </c:dLbls>
        <c:smooth val="0"/>
        <c:axId val="1122806992"/>
        <c:axId val="1122803632"/>
      </c:lineChart>
      <c:catAx>
        <c:axId val="112280699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03632"/>
        <c:crosses val="autoZero"/>
        <c:auto val="1"/>
        <c:lblAlgn val="ctr"/>
        <c:lblOffset val="100"/>
        <c:noMultiLvlLbl val="0"/>
      </c:catAx>
      <c:valAx>
        <c:axId val="112280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06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Data!PivotTable9</c:name>
    <c:fmtId val="4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Data'!$AI$5</c:f>
              <c:strCache>
                <c:ptCount val="1"/>
                <c:pt idx="0">
                  <c:v>Average of Cyclone dP</c:v>
                </c:pt>
              </c:strCache>
            </c:strRef>
          </c:tx>
          <c:spPr>
            <a:ln w="28575" cap="rnd">
              <a:solidFill>
                <a:schemeClr val="accent1"/>
              </a:solidFill>
              <a:round/>
            </a:ln>
            <a:effectLst/>
          </c:spPr>
          <c:marker>
            <c:symbol val="none"/>
          </c:marker>
          <c:errBars>
            <c:errDir val="y"/>
            <c:errBarType val="both"/>
            <c:errValType val="cust"/>
            <c:noEndCap val="0"/>
            <c:plus>
              <c:numRef>
                <c:f>'Pivot Data'!$AJ$6:$AJ$44</c:f>
                <c:numCache>
                  <c:formatCode>General</c:formatCode>
                  <c:ptCount val="39"/>
                  <c:pt idx="0">
                    <c:v>114.68</c:v>
                  </c:pt>
                  <c:pt idx="1">
                    <c:v>102.49333333333334</c:v>
                  </c:pt>
                  <c:pt idx="2">
                    <c:v>81.144999999999996</c:v>
                  </c:pt>
                  <c:pt idx="3">
                    <c:v>116.57999999999998</c:v>
                  </c:pt>
                  <c:pt idx="4">
                    <c:v>93.43</c:v>
                  </c:pt>
                  <c:pt idx="5">
                    <c:v>122.70500000000001</c:v>
                  </c:pt>
                  <c:pt idx="6">
                    <c:v>182.80999999999997</c:v>
                  </c:pt>
                  <c:pt idx="7">
                    <c:v>173.59333333333333</c:v>
                  </c:pt>
                  <c:pt idx="8">
                    <c:v>156.89999999999998</c:v>
                  </c:pt>
                  <c:pt idx="9">
                    <c:v>67.05</c:v>
                  </c:pt>
                  <c:pt idx="10">
                    <c:v>103.47</c:v>
                  </c:pt>
                  <c:pt idx="11">
                    <c:v>110.63</c:v>
                  </c:pt>
                  <c:pt idx="12">
                    <c:v>87.52000000000001</c:v>
                  </c:pt>
                  <c:pt idx="13">
                    <c:v>300.96000000000004</c:v>
                  </c:pt>
                  <c:pt idx="14">
                    <c:v>257.52</c:v>
                  </c:pt>
                  <c:pt idx="15">
                    <c:v>121.18</c:v>
                  </c:pt>
                  <c:pt idx="16">
                    <c:v>161.91500000000002</c:v>
                  </c:pt>
                  <c:pt idx="17">
                    <c:v>154.43</c:v>
                  </c:pt>
                  <c:pt idx="18">
                    <c:v>155.9</c:v>
                  </c:pt>
                  <c:pt idx="19">
                    <c:v>277.60000000000002</c:v>
                  </c:pt>
                  <c:pt idx="20">
                    <c:v>107.28</c:v>
                  </c:pt>
                  <c:pt idx="21">
                    <c:v>78.47</c:v>
                  </c:pt>
                  <c:pt idx="22">
                    <c:v>93.72999999999999</c:v>
                  </c:pt>
                  <c:pt idx="23">
                    <c:v>85.43</c:v>
                  </c:pt>
                  <c:pt idx="24">
                    <c:v>73.67</c:v>
                  </c:pt>
                  <c:pt idx="25">
                    <c:v>56.129999999999995</c:v>
                  </c:pt>
                  <c:pt idx="26">
                    <c:v>64.62</c:v>
                  </c:pt>
                  <c:pt idx="27">
                    <c:v>87.75</c:v>
                  </c:pt>
                  <c:pt idx="28">
                    <c:v>98.47999999999999</c:v>
                  </c:pt>
                  <c:pt idx="29">
                    <c:v>87.26</c:v>
                  </c:pt>
                  <c:pt idx="30">
                    <c:v>73.44</c:v>
                  </c:pt>
                  <c:pt idx="31">
                    <c:v>69.64</c:v>
                  </c:pt>
                  <c:pt idx="32">
                    <c:v>118.9</c:v>
                  </c:pt>
                  <c:pt idx="33">
                    <c:v>73.016666666666666</c:v>
                  </c:pt>
                  <c:pt idx="34">
                    <c:v>75.27</c:v>
                  </c:pt>
                  <c:pt idx="35">
                    <c:v>58.91</c:v>
                  </c:pt>
                  <c:pt idx="36">
                    <c:v>75.960000000000008</c:v>
                  </c:pt>
                  <c:pt idx="37">
                    <c:v>113.53999999999999</c:v>
                  </c:pt>
                  <c:pt idx="38">
                    <c:v>127.97999999999999</c:v>
                  </c:pt>
                </c:numCache>
              </c:numRef>
            </c:plus>
            <c:minus>
              <c:numRef>
                <c:f>'Pivot Data'!$AJ$6:$AJ$44</c:f>
                <c:numCache>
                  <c:formatCode>General</c:formatCode>
                  <c:ptCount val="39"/>
                  <c:pt idx="0">
                    <c:v>114.68</c:v>
                  </c:pt>
                  <c:pt idx="1">
                    <c:v>102.49333333333334</c:v>
                  </c:pt>
                  <c:pt idx="2">
                    <c:v>81.144999999999996</c:v>
                  </c:pt>
                  <c:pt idx="3">
                    <c:v>116.57999999999998</c:v>
                  </c:pt>
                  <c:pt idx="4">
                    <c:v>93.43</c:v>
                  </c:pt>
                  <c:pt idx="5">
                    <c:v>122.70500000000001</c:v>
                  </c:pt>
                  <c:pt idx="6">
                    <c:v>182.80999999999997</c:v>
                  </c:pt>
                  <c:pt idx="7">
                    <c:v>173.59333333333333</c:v>
                  </c:pt>
                  <c:pt idx="8">
                    <c:v>156.89999999999998</c:v>
                  </c:pt>
                  <c:pt idx="9">
                    <c:v>67.05</c:v>
                  </c:pt>
                  <c:pt idx="10">
                    <c:v>103.47</c:v>
                  </c:pt>
                  <c:pt idx="11">
                    <c:v>110.63</c:v>
                  </c:pt>
                  <c:pt idx="12">
                    <c:v>87.52000000000001</c:v>
                  </c:pt>
                  <c:pt idx="13">
                    <c:v>300.96000000000004</c:v>
                  </c:pt>
                  <c:pt idx="14">
                    <c:v>257.52</c:v>
                  </c:pt>
                  <c:pt idx="15">
                    <c:v>121.18</c:v>
                  </c:pt>
                  <c:pt idx="16">
                    <c:v>161.91500000000002</c:v>
                  </c:pt>
                  <c:pt idx="17">
                    <c:v>154.43</c:v>
                  </c:pt>
                  <c:pt idx="18">
                    <c:v>155.9</c:v>
                  </c:pt>
                  <c:pt idx="19">
                    <c:v>277.60000000000002</c:v>
                  </c:pt>
                  <c:pt idx="20">
                    <c:v>107.28</c:v>
                  </c:pt>
                  <c:pt idx="21">
                    <c:v>78.47</c:v>
                  </c:pt>
                  <c:pt idx="22">
                    <c:v>93.72999999999999</c:v>
                  </c:pt>
                  <c:pt idx="23">
                    <c:v>85.43</c:v>
                  </c:pt>
                  <c:pt idx="24">
                    <c:v>73.67</c:v>
                  </c:pt>
                  <c:pt idx="25">
                    <c:v>56.129999999999995</c:v>
                  </c:pt>
                  <c:pt idx="26">
                    <c:v>64.62</c:v>
                  </c:pt>
                  <c:pt idx="27">
                    <c:v>87.75</c:v>
                  </c:pt>
                  <c:pt idx="28">
                    <c:v>98.47999999999999</c:v>
                  </c:pt>
                  <c:pt idx="29">
                    <c:v>87.26</c:v>
                  </c:pt>
                  <c:pt idx="30">
                    <c:v>73.44</c:v>
                  </c:pt>
                  <c:pt idx="31">
                    <c:v>69.64</c:v>
                  </c:pt>
                  <c:pt idx="32">
                    <c:v>118.9</c:v>
                  </c:pt>
                  <c:pt idx="33">
                    <c:v>73.016666666666666</c:v>
                  </c:pt>
                  <c:pt idx="34">
                    <c:v>75.27</c:v>
                  </c:pt>
                  <c:pt idx="35">
                    <c:v>58.91</c:v>
                  </c:pt>
                  <c:pt idx="36">
                    <c:v>75.960000000000008</c:v>
                  </c:pt>
                  <c:pt idx="37">
                    <c:v>113.53999999999999</c:v>
                  </c:pt>
                  <c:pt idx="38">
                    <c:v>127.97999999999999</c:v>
                  </c:pt>
                </c:numCache>
              </c:numRef>
            </c:minus>
            <c:spPr>
              <a:noFill/>
              <a:ln w="9525" cap="flat" cmpd="sng" algn="ctr">
                <a:solidFill>
                  <a:schemeClr val="tx1">
                    <a:lumMod val="65000"/>
                    <a:lumOff val="35000"/>
                  </a:schemeClr>
                </a:solidFill>
                <a:round/>
              </a:ln>
              <a:effectLst/>
            </c:spPr>
          </c:errBars>
          <c:cat>
            <c:strRef>
              <c:f>'Pivot Data'!$AH$6:$AH$46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Data'!$AI$6:$AI$46</c:f>
              <c:numCache>
                <c:formatCode>General</c:formatCode>
                <c:ptCount val="40"/>
                <c:pt idx="0">
                  <c:v>62.75</c:v>
                </c:pt>
                <c:pt idx="1">
                  <c:v>159.94000000000003</c:v>
                </c:pt>
                <c:pt idx="2">
                  <c:v>155.76999999999998</c:v>
                </c:pt>
                <c:pt idx="3">
                  <c:v>132.75000000000006</c:v>
                </c:pt>
                <c:pt idx="4">
                  <c:v>135.16000000000008</c:v>
                </c:pt>
                <c:pt idx="5">
                  <c:v>153.20999999999998</c:v>
                </c:pt>
                <c:pt idx="6">
                  <c:v>88.133333333333397</c:v>
                </c:pt>
                <c:pt idx="7">
                  <c:v>90.993333333333339</c:v>
                </c:pt>
                <c:pt idx="8">
                  <c:v>198.32000000000005</c:v>
                </c:pt>
                <c:pt idx="9">
                  <c:v>129.38999999999999</c:v>
                </c:pt>
                <c:pt idx="10">
                  <c:v>143.25</c:v>
                </c:pt>
                <c:pt idx="11">
                  <c:v>134.25</c:v>
                </c:pt>
                <c:pt idx="12">
                  <c:v>130.90000000000009</c:v>
                </c:pt>
                <c:pt idx="13">
                  <c:v>132.36000000000001</c:v>
                </c:pt>
                <c:pt idx="14">
                  <c:v>126.29999999999995</c:v>
                </c:pt>
                <c:pt idx="15">
                  <c:v>135.51</c:v>
                </c:pt>
                <c:pt idx="16">
                  <c:v>134.13999999999993</c:v>
                </c:pt>
                <c:pt idx="17">
                  <c:v>193.63</c:v>
                </c:pt>
                <c:pt idx="18">
                  <c:v>193.56999999999994</c:v>
                </c:pt>
                <c:pt idx="19">
                  <c:v>118.67000000000007</c:v>
                </c:pt>
                <c:pt idx="20">
                  <c:v>126.92500000000001</c:v>
                </c:pt>
                <c:pt idx="21">
                  <c:v>39.539999999999964</c:v>
                </c:pt>
                <c:pt idx="22">
                  <c:v>39.279999999999973</c:v>
                </c:pt>
                <c:pt idx="23">
                  <c:v>50.509999999999991</c:v>
                </c:pt>
                <c:pt idx="24">
                  <c:v>61.090000000000032</c:v>
                </c:pt>
                <c:pt idx="25">
                  <c:v>132.26999999999998</c:v>
                </c:pt>
                <c:pt idx="26">
                  <c:v>169.21000000000004</c:v>
                </c:pt>
                <c:pt idx="27">
                  <c:v>212.95000000000005</c:v>
                </c:pt>
                <c:pt idx="28">
                  <c:v>133.17999999999995</c:v>
                </c:pt>
                <c:pt idx="29">
                  <c:v>131.65999999999997</c:v>
                </c:pt>
                <c:pt idx="30">
                  <c:v>129.88999999999999</c:v>
                </c:pt>
                <c:pt idx="31">
                  <c:v>131.01</c:v>
                </c:pt>
                <c:pt idx="32">
                  <c:v>209.51</c:v>
                </c:pt>
                <c:pt idx="33">
                  <c:v>166.71999999999994</c:v>
                </c:pt>
                <c:pt idx="34">
                  <c:v>213.94000000000005</c:v>
                </c:pt>
                <c:pt idx="35">
                  <c:v>126.82000000000005</c:v>
                </c:pt>
                <c:pt idx="36">
                  <c:v>157.75</c:v>
                </c:pt>
                <c:pt idx="37">
                  <c:v>121.59999999999991</c:v>
                </c:pt>
                <c:pt idx="38">
                  <c:v>168.14</c:v>
                </c:pt>
                <c:pt idx="39">
                  <c:v>135.20000000000005</c:v>
                </c:pt>
              </c:numCache>
            </c:numRef>
          </c:val>
          <c:smooth val="0"/>
          <c:extLst>
            <c:ext xmlns:c16="http://schemas.microsoft.com/office/drawing/2014/chart" uri="{C3380CC4-5D6E-409C-BE32-E72D297353CC}">
              <c16:uniqueId val="{00000000-5C72-42B8-8551-B02114967B0F}"/>
            </c:ext>
          </c:extLst>
        </c:ser>
        <c:ser>
          <c:idx val="1"/>
          <c:order val="1"/>
          <c:tx>
            <c:strRef>
              <c:f>'Pivot Data'!$AJ$5</c:f>
              <c:strCache>
                <c:ptCount val="1"/>
                <c:pt idx="0">
                  <c:v>Average of Cyclon dP tol</c:v>
                </c:pt>
              </c:strCache>
            </c:strRef>
          </c:tx>
          <c:spPr>
            <a:ln w="28575" cap="rnd">
              <a:solidFill>
                <a:schemeClr val="accent2"/>
              </a:solidFill>
              <a:round/>
            </a:ln>
            <a:effectLst/>
          </c:spPr>
          <c:marker>
            <c:symbol val="none"/>
          </c:marker>
          <c:cat>
            <c:strRef>
              <c:f>'Pivot Data'!$AH$6:$AH$46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Data'!$AJ$6:$AJ$46</c:f>
              <c:numCache>
                <c:formatCode>General</c:formatCode>
                <c:ptCount val="40"/>
                <c:pt idx="0">
                  <c:v>114.68</c:v>
                </c:pt>
                <c:pt idx="1">
                  <c:v>102.49333333333334</c:v>
                </c:pt>
                <c:pt idx="2">
                  <c:v>81.144999999999996</c:v>
                </c:pt>
                <c:pt idx="3">
                  <c:v>116.57999999999998</c:v>
                </c:pt>
                <c:pt idx="4">
                  <c:v>93.43</c:v>
                </c:pt>
                <c:pt idx="5">
                  <c:v>122.70500000000001</c:v>
                </c:pt>
                <c:pt idx="6">
                  <c:v>182.80999999999997</c:v>
                </c:pt>
                <c:pt idx="7">
                  <c:v>173.59333333333333</c:v>
                </c:pt>
                <c:pt idx="8">
                  <c:v>156.89999999999998</c:v>
                </c:pt>
                <c:pt idx="9">
                  <c:v>67.05</c:v>
                </c:pt>
                <c:pt idx="10">
                  <c:v>103.47</c:v>
                </c:pt>
                <c:pt idx="11">
                  <c:v>110.63</c:v>
                </c:pt>
                <c:pt idx="12">
                  <c:v>87.52000000000001</c:v>
                </c:pt>
                <c:pt idx="13">
                  <c:v>300.96000000000004</c:v>
                </c:pt>
                <c:pt idx="14">
                  <c:v>257.52</c:v>
                </c:pt>
                <c:pt idx="15">
                  <c:v>121.18</c:v>
                </c:pt>
                <c:pt idx="16">
                  <c:v>161.91500000000002</c:v>
                </c:pt>
                <c:pt idx="17">
                  <c:v>154.43</c:v>
                </c:pt>
                <c:pt idx="18">
                  <c:v>155.9</c:v>
                </c:pt>
                <c:pt idx="19">
                  <c:v>277.60000000000002</c:v>
                </c:pt>
                <c:pt idx="20">
                  <c:v>107.28</c:v>
                </c:pt>
                <c:pt idx="21">
                  <c:v>78.47</c:v>
                </c:pt>
                <c:pt idx="22">
                  <c:v>93.72999999999999</c:v>
                </c:pt>
                <c:pt idx="23">
                  <c:v>85.43</c:v>
                </c:pt>
                <c:pt idx="24">
                  <c:v>73.67</c:v>
                </c:pt>
                <c:pt idx="25">
                  <c:v>56.129999999999995</c:v>
                </c:pt>
                <c:pt idx="26">
                  <c:v>64.62</c:v>
                </c:pt>
                <c:pt idx="27">
                  <c:v>87.75</c:v>
                </c:pt>
                <c:pt idx="28">
                  <c:v>98.47999999999999</c:v>
                </c:pt>
                <c:pt idx="29">
                  <c:v>87.26</c:v>
                </c:pt>
                <c:pt idx="30">
                  <c:v>73.44</c:v>
                </c:pt>
                <c:pt idx="31">
                  <c:v>69.64</c:v>
                </c:pt>
                <c:pt idx="32">
                  <c:v>118.9</c:v>
                </c:pt>
                <c:pt idx="33">
                  <c:v>73.016666666666666</c:v>
                </c:pt>
                <c:pt idx="34">
                  <c:v>75.27</c:v>
                </c:pt>
                <c:pt idx="35">
                  <c:v>58.91</c:v>
                </c:pt>
                <c:pt idx="36">
                  <c:v>75.960000000000008</c:v>
                </c:pt>
                <c:pt idx="37">
                  <c:v>113.53999999999999</c:v>
                </c:pt>
                <c:pt idx="38">
                  <c:v>127.97999999999999</c:v>
                </c:pt>
                <c:pt idx="39">
                  <c:v>27.96</c:v>
                </c:pt>
              </c:numCache>
            </c:numRef>
          </c:val>
          <c:smooth val="0"/>
          <c:extLst>
            <c:ext xmlns:c16="http://schemas.microsoft.com/office/drawing/2014/chart" uri="{C3380CC4-5D6E-409C-BE32-E72D297353CC}">
              <c16:uniqueId val="{00000001-5C72-42B8-8551-B02114967B0F}"/>
            </c:ext>
          </c:extLst>
        </c:ser>
        <c:dLbls>
          <c:showLegendKey val="0"/>
          <c:showVal val="0"/>
          <c:showCatName val="0"/>
          <c:showSerName val="0"/>
          <c:showPercent val="0"/>
          <c:showBubbleSize val="0"/>
        </c:dLbls>
        <c:smooth val="0"/>
        <c:axId val="827539727"/>
        <c:axId val="827540207"/>
      </c:lineChart>
      <c:catAx>
        <c:axId val="82753972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40207"/>
        <c:crosses val="autoZero"/>
        <c:auto val="1"/>
        <c:lblAlgn val="ctr"/>
        <c:lblOffset val="100"/>
        <c:noMultiLvlLbl val="0"/>
      </c:catAx>
      <c:valAx>
        <c:axId val="82754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3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Data!PivotTable10</c:name>
    <c:fmtId val="5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Data'!$AM$5</c:f>
              <c:strCache>
                <c:ptCount val="1"/>
                <c:pt idx="0">
                  <c:v>Average of Fan dP</c:v>
                </c:pt>
              </c:strCache>
            </c:strRef>
          </c:tx>
          <c:spPr>
            <a:ln w="28575" cap="rnd">
              <a:solidFill>
                <a:schemeClr val="accent1"/>
              </a:solidFill>
              <a:round/>
            </a:ln>
            <a:effectLst/>
          </c:spPr>
          <c:marker>
            <c:symbol val="none"/>
          </c:marker>
          <c:errBars>
            <c:errDir val="y"/>
            <c:errBarType val="both"/>
            <c:errValType val="cust"/>
            <c:noEndCap val="0"/>
            <c:plus>
              <c:numRef>
                <c:f>'Pivot Data'!$AN$6:$AN$45</c:f>
                <c:numCache>
                  <c:formatCode>General</c:formatCode>
                  <c:ptCount val="40"/>
                  <c:pt idx="0">
                    <c:v>117.23</c:v>
                  </c:pt>
                  <c:pt idx="1">
                    <c:v>132.76666666666668</c:v>
                  </c:pt>
                  <c:pt idx="2">
                    <c:v>131.88999999999999</c:v>
                  </c:pt>
                  <c:pt idx="3">
                    <c:v>133.08499999999998</c:v>
                  </c:pt>
                  <c:pt idx="4">
                    <c:v>91.89</c:v>
                  </c:pt>
                  <c:pt idx="5">
                    <c:v>104.42500000000001</c:v>
                  </c:pt>
                  <c:pt idx="6">
                    <c:v>165.85333333333332</c:v>
                  </c:pt>
                  <c:pt idx="7">
                    <c:v>182.31333333333336</c:v>
                  </c:pt>
                  <c:pt idx="8">
                    <c:v>143.96</c:v>
                  </c:pt>
                  <c:pt idx="9">
                    <c:v>69.260000000000005</c:v>
                  </c:pt>
                  <c:pt idx="10">
                    <c:v>216.64000000000001</c:v>
                  </c:pt>
                  <c:pt idx="11">
                    <c:v>207.36</c:v>
                  </c:pt>
                  <c:pt idx="12">
                    <c:v>171.72</c:v>
                  </c:pt>
                  <c:pt idx="13">
                    <c:v>264.56</c:v>
                  </c:pt>
                  <c:pt idx="14">
                    <c:v>362.01</c:v>
                  </c:pt>
                  <c:pt idx="15">
                    <c:v>167.65</c:v>
                  </c:pt>
                  <c:pt idx="16">
                    <c:v>239.93</c:v>
                  </c:pt>
                  <c:pt idx="17">
                    <c:v>147.93</c:v>
                  </c:pt>
                  <c:pt idx="18">
                    <c:v>148.5</c:v>
                  </c:pt>
                  <c:pt idx="19">
                    <c:v>277.60000000000002</c:v>
                  </c:pt>
                  <c:pt idx="20">
                    <c:v>106.7</c:v>
                  </c:pt>
                  <c:pt idx="21">
                    <c:v>75.22999999999999</c:v>
                  </c:pt>
                  <c:pt idx="22">
                    <c:v>84.34</c:v>
                  </c:pt>
                  <c:pt idx="23">
                    <c:v>81.445000000000007</c:v>
                  </c:pt>
                  <c:pt idx="24">
                    <c:v>92.05</c:v>
                  </c:pt>
                  <c:pt idx="25">
                    <c:v>50.45</c:v>
                  </c:pt>
                  <c:pt idx="26">
                    <c:v>82.474999999999994</c:v>
                  </c:pt>
                  <c:pt idx="27">
                    <c:v>100.00999999999999</c:v>
                  </c:pt>
                  <c:pt idx="28">
                    <c:v>111.38</c:v>
                  </c:pt>
                  <c:pt idx="29">
                    <c:v>92.53</c:v>
                  </c:pt>
                  <c:pt idx="30">
                    <c:v>97.539999999999992</c:v>
                  </c:pt>
                  <c:pt idx="31">
                    <c:v>68.400000000000006</c:v>
                  </c:pt>
                  <c:pt idx="32">
                    <c:v>117.36</c:v>
                  </c:pt>
                  <c:pt idx="33">
                    <c:v>81.600000000000009</c:v>
                  </c:pt>
                  <c:pt idx="34">
                    <c:v>74.37</c:v>
                  </c:pt>
                  <c:pt idx="35">
                    <c:v>104.38</c:v>
                  </c:pt>
                  <c:pt idx="36">
                    <c:v>90.59</c:v>
                  </c:pt>
                  <c:pt idx="37">
                    <c:v>111.30000000000001</c:v>
                  </c:pt>
                  <c:pt idx="38">
                    <c:v>130.32499999999999</c:v>
                  </c:pt>
                  <c:pt idx="39">
                    <c:v>57.010000000000005</c:v>
                  </c:pt>
                </c:numCache>
              </c:numRef>
            </c:plus>
            <c:minus>
              <c:numRef>
                <c:f>'Pivot Data'!$AN$6:$AN$45</c:f>
                <c:numCache>
                  <c:formatCode>General</c:formatCode>
                  <c:ptCount val="40"/>
                  <c:pt idx="0">
                    <c:v>117.23</c:v>
                  </c:pt>
                  <c:pt idx="1">
                    <c:v>132.76666666666668</c:v>
                  </c:pt>
                  <c:pt idx="2">
                    <c:v>131.88999999999999</c:v>
                  </c:pt>
                  <c:pt idx="3">
                    <c:v>133.08499999999998</c:v>
                  </c:pt>
                  <c:pt idx="4">
                    <c:v>91.89</c:v>
                  </c:pt>
                  <c:pt idx="5">
                    <c:v>104.42500000000001</c:v>
                  </c:pt>
                  <c:pt idx="6">
                    <c:v>165.85333333333332</c:v>
                  </c:pt>
                  <c:pt idx="7">
                    <c:v>182.31333333333336</c:v>
                  </c:pt>
                  <c:pt idx="8">
                    <c:v>143.96</c:v>
                  </c:pt>
                  <c:pt idx="9">
                    <c:v>69.260000000000005</c:v>
                  </c:pt>
                  <c:pt idx="10">
                    <c:v>216.64000000000001</c:v>
                  </c:pt>
                  <c:pt idx="11">
                    <c:v>207.36</c:v>
                  </c:pt>
                  <c:pt idx="12">
                    <c:v>171.72</c:v>
                  </c:pt>
                  <c:pt idx="13">
                    <c:v>264.56</c:v>
                  </c:pt>
                  <c:pt idx="14">
                    <c:v>362.01</c:v>
                  </c:pt>
                  <c:pt idx="15">
                    <c:v>167.65</c:v>
                  </c:pt>
                  <c:pt idx="16">
                    <c:v>239.93</c:v>
                  </c:pt>
                  <c:pt idx="17">
                    <c:v>147.93</c:v>
                  </c:pt>
                  <c:pt idx="18">
                    <c:v>148.5</c:v>
                  </c:pt>
                  <c:pt idx="19">
                    <c:v>277.60000000000002</c:v>
                  </c:pt>
                  <c:pt idx="20">
                    <c:v>106.7</c:v>
                  </c:pt>
                  <c:pt idx="21">
                    <c:v>75.22999999999999</c:v>
                  </c:pt>
                  <c:pt idx="22">
                    <c:v>84.34</c:v>
                  </c:pt>
                  <c:pt idx="23">
                    <c:v>81.445000000000007</c:v>
                  </c:pt>
                  <c:pt idx="24">
                    <c:v>92.05</c:v>
                  </c:pt>
                  <c:pt idx="25">
                    <c:v>50.45</c:v>
                  </c:pt>
                  <c:pt idx="26">
                    <c:v>82.474999999999994</c:v>
                  </c:pt>
                  <c:pt idx="27">
                    <c:v>100.00999999999999</c:v>
                  </c:pt>
                  <c:pt idx="28">
                    <c:v>111.38</c:v>
                  </c:pt>
                  <c:pt idx="29">
                    <c:v>92.53</c:v>
                  </c:pt>
                  <c:pt idx="30">
                    <c:v>97.539999999999992</c:v>
                  </c:pt>
                  <c:pt idx="31">
                    <c:v>68.400000000000006</c:v>
                  </c:pt>
                  <c:pt idx="32">
                    <c:v>117.36</c:v>
                  </c:pt>
                  <c:pt idx="33">
                    <c:v>81.600000000000009</c:v>
                  </c:pt>
                  <c:pt idx="34">
                    <c:v>74.37</c:v>
                  </c:pt>
                  <c:pt idx="35">
                    <c:v>104.38</c:v>
                  </c:pt>
                  <c:pt idx="36">
                    <c:v>90.59</c:v>
                  </c:pt>
                  <c:pt idx="37">
                    <c:v>111.30000000000001</c:v>
                  </c:pt>
                  <c:pt idx="38">
                    <c:v>130.32499999999999</c:v>
                  </c:pt>
                  <c:pt idx="39">
                    <c:v>57.010000000000005</c:v>
                  </c:pt>
                </c:numCache>
              </c:numRef>
            </c:minus>
            <c:spPr>
              <a:noFill/>
              <a:ln w="9525" cap="flat" cmpd="sng" algn="ctr">
                <a:solidFill>
                  <a:schemeClr val="tx1">
                    <a:lumMod val="65000"/>
                    <a:lumOff val="35000"/>
                  </a:schemeClr>
                </a:solidFill>
                <a:round/>
              </a:ln>
              <a:effectLst/>
            </c:spPr>
          </c:errBars>
          <c:cat>
            <c:strRef>
              <c:f>'Pivot Data'!$AL$6:$AL$46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Data'!$AM$6:$AM$46</c:f>
              <c:numCache>
                <c:formatCode>General</c:formatCode>
                <c:ptCount val="40"/>
                <c:pt idx="0">
                  <c:v>-716.46</c:v>
                </c:pt>
                <c:pt idx="1">
                  <c:v>-746.65</c:v>
                </c:pt>
                <c:pt idx="2">
                  <c:v>-656.46</c:v>
                </c:pt>
                <c:pt idx="3">
                  <c:v>-714.83</c:v>
                </c:pt>
                <c:pt idx="4">
                  <c:v>-675.24</c:v>
                </c:pt>
                <c:pt idx="5">
                  <c:v>-697.47</c:v>
                </c:pt>
                <c:pt idx="6">
                  <c:v>-687.70666666666659</c:v>
                </c:pt>
                <c:pt idx="7">
                  <c:v>-590.58333333333337</c:v>
                </c:pt>
                <c:pt idx="8">
                  <c:v>-559.29</c:v>
                </c:pt>
                <c:pt idx="9">
                  <c:v>-663.08999999999992</c:v>
                </c:pt>
                <c:pt idx="10">
                  <c:v>-775.54</c:v>
                </c:pt>
                <c:pt idx="11">
                  <c:v>-755.33</c:v>
                </c:pt>
                <c:pt idx="12">
                  <c:v>-677.62</c:v>
                </c:pt>
                <c:pt idx="13">
                  <c:v>-605.89</c:v>
                </c:pt>
                <c:pt idx="14">
                  <c:v>-716.2</c:v>
                </c:pt>
                <c:pt idx="15">
                  <c:v>-648.30999999999995</c:v>
                </c:pt>
                <c:pt idx="16">
                  <c:v>-607.745</c:v>
                </c:pt>
                <c:pt idx="17">
                  <c:v>-547.75</c:v>
                </c:pt>
                <c:pt idx="18">
                  <c:v>-547.3599999999999</c:v>
                </c:pt>
                <c:pt idx="19">
                  <c:v>-593.85</c:v>
                </c:pt>
                <c:pt idx="20">
                  <c:v>-671.65</c:v>
                </c:pt>
                <c:pt idx="21">
                  <c:v>-506.68</c:v>
                </c:pt>
                <c:pt idx="22">
                  <c:v>-510.39</c:v>
                </c:pt>
                <c:pt idx="23">
                  <c:v>-565.10500000000002</c:v>
                </c:pt>
                <c:pt idx="24">
                  <c:v>-702.3900000000001</c:v>
                </c:pt>
                <c:pt idx="25">
                  <c:v>-783.26</c:v>
                </c:pt>
                <c:pt idx="26">
                  <c:v>-654.68500000000006</c:v>
                </c:pt>
                <c:pt idx="27">
                  <c:v>-706.3</c:v>
                </c:pt>
                <c:pt idx="28">
                  <c:v>-721.73</c:v>
                </c:pt>
                <c:pt idx="29">
                  <c:v>-719.01</c:v>
                </c:pt>
                <c:pt idx="30">
                  <c:v>-593.37</c:v>
                </c:pt>
                <c:pt idx="31">
                  <c:v>-592.65</c:v>
                </c:pt>
                <c:pt idx="32">
                  <c:v>-709.3599999999999</c:v>
                </c:pt>
                <c:pt idx="33">
                  <c:v>-628.56666666666661</c:v>
                </c:pt>
                <c:pt idx="34">
                  <c:v>-729.35</c:v>
                </c:pt>
                <c:pt idx="35">
                  <c:v>-556.04</c:v>
                </c:pt>
                <c:pt idx="36">
                  <c:v>-675.07</c:v>
                </c:pt>
                <c:pt idx="37">
                  <c:v>-508.74999999999994</c:v>
                </c:pt>
                <c:pt idx="38">
                  <c:v>-652.83999999999992</c:v>
                </c:pt>
                <c:pt idx="39">
                  <c:v>-649.7700000000001</c:v>
                </c:pt>
              </c:numCache>
            </c:numRef>
          </c:val>
          <c:smooth val="0"/>
          <c:extLst>
            <c:ext xmlns:c16="http://schemas.microsoft.com/office/drawing/2014/chart" uri="{C3380CC4-5D6E-409C-BE32-E72D297353CC}">
              <c16:uniqueId val="{00000000-A27C-4267-9E28-A074E030C94A}"/>
            </c:ext>
          </c:extLst>
        </c:ser>
        <c:ser>
          <c:idx val="1"/>
          <c:order val="1"/>
          <c:tx>
            <c:strRef>
              <c:f>'Pivot Data'!$AN$5</c:f>
              <c:strCache>
                <c:ptCount val="1"/>
                <c:pt idx="0">
                  <c:v>Average of Fan dP tol</c:v>
                </c:pt>
              </c:strCache>
            </c:strRef>
          </c:tx>
          <c:spPr>
            <a:ln w="28575" cap="rnd">
              <a:solidFill>
                <a:schemeClr val="accent2"/>
              </a:solidFill>
              <a:round/>
            </a:ln>
            <a:effectLst/>
          </c:spPr>
          <c:marker>
            <c:symbol val="none"/>
          </c:marker>
          <c:cat>
            <c:strRef>
              <c:f>'Pivot Data'!$AL$6:$AL$46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Data'!$AN$6:$AN$46</c:f>
              <c:numCache>
                <c:formatCode>General</c:formatCode>
                <c:ptCount val="40"/>
                <c:pt idx="0">
                  <c:v>117.23</c:v>
                </c:pt>
                <c:pt idx="1">
                  <c:v>132.76666666666668</c:v>
                </c:pt>
                <c:pt idx="2">
                  <c:v>131.88999999999999</c:v>
                </c:pt>
                <c:pt idx="3">
                  <c:v>133.08499999999998</c:v>
                </c:pt>
                <c:pt idx="4">
                  <c:v>91.89</c:v>
                </c:pt>
                <c:pt idx="5">
                  <c:v>104.42500000000001</c:v>
                </c:pt>
                <c:pt idx="6">
                  <c:v>165.85333333333332</c:v>
                </c:pt>
                <c:pt idx="7">
                  <c:v>182.31333333333336</c:v>
                </c:pt>
                <c:pt idx="8">
                  <c:v>143.96</c:v>
                </c:pt>
                <c:pt idx="9">
                  <c:v>69.260000000000005</c:v>
                </c:pt>
                <c:pt idx="10">
                  <c:v>216.64000000000001</c:v>
                </c:pt>
                <c:pt idx="11">
                  <c:v>207.36</c:v>
                </c:pt>
                <c:pt idx="12">
                  <c:v>171.72</c:v>
                </c:pt>
                <c:pt idx="13">
                  <c:v>264.56</c:v>
                </c:pt>
                <c:pt idx="14">
                  <c:v>362.01</c:v>
                </c:pt>
                <c:pt idx="15">
                  <c:v>167.65</c:v>
                </c:pt>
                <c:pt idx="16">
                  <c:v>239.93</c:v>
                </c:pt>
                <c:pt idx="17">
                  <c:v>147.93</c:v>
                </c:pt>
                <c:pt idx="18">
                  <c:v>148.5</c:v>
                </c:pt>
                <c:pt idx="19">
                  <c:v>277.60000000000002</c:v>
                </c:pt>
                <c:pt idx="20">
                  <c:v>106.7</c:v>
                </c:pt>
                <c:pt idx="21">
                  <c:v>75.22999999999999</c:v>
                </c:pt>
                <c:pt idx="22">
                  <c:v>84.34</c:v>
                </c:pt>
                <c:pt idx="23">
                  <c:v>81.445000000000007</c:v>
                </c:pt>
                <c:pt idx="24">
                  <c:v>92.05</c:v>
                </c:pt>
                <c:pt idx="25">
                  <c:v>50.45</c:v>
                </c:pt>
                <c:pt idx="26">
                  <c:v>82.474999999999994</c:v>
                </c:pt>
                <c:pt idx="27">
                  <c:v>100.00999999999999</c:v>
                </c:pt>
                <c:pt idx="28">
                  <c:v>111.38</c:v>
                </c:pt>
                <c:pt idx="29">
                  <c:v>92.53</c:v>
                </c:pt>
                <c:pt idx="30">
                  <c:v>97.539999999999992</c:v>
                </c:pt>
                <c:pt idx="31">
                  <c:v>68.400000000000006</c:v>
                </c:pt>
                <c:pt idx="32">
                  <c:v>117.36</c:v>
                </c:pt>
                <c:pt idx="33">
                  <c:v>81.600000000000009</c:v>
                </c:pt>
                <c:pt idx="34">
                  <c:v>74.37</c:v>
                </c:pt>
                <c:pt idx="35">
                  <c:v>104.38</c:v>
                </c:pt>
                <c:pt idx="36">
                  <c:v>90.59</c:v>
                </c:pt>
                <c:pt idx="37">
                  <c:v>111.30000000000001</c:v>
                </c:pt>
                <c:pt idx="38">
                  <c:v>130.32499999999999</c:v>
                </c:pt>
                <c:pt idx="39">
                  <c:v>57.010000000000005</c:v>
                </c:pt>
              </c:numCache>
            </c:numRef>
          </c:val>
          <c:smooth val="0"/>
          <c:extLst>
            <c:ext xmlns:c16="http://schemas.microsoft.com/office/drawing/2014/chart" uri="{C3380CC4-5D6E-409C-BE32-E72D297353CC}">
              <c16:uniqueId val="{00000001-A27C-4267-9E28-A074E030C94A}"/>
            </c:ext>
          </c:extLst>
        </c:ser>
        <c:dLbls>
          <c:showLegendKey val="0"/>
          <c:showVal val="0"/>
          <c:showCatName val="0"/>
          <c:showSerName val="0"/>
          <c:showPercent val="0"/>
          <c:showBubbleSize val="0"/>
        </c:dLbls>
        <c:smooth val="0"/>
        <c:axId val="714496447"/>
        <c:axId val="714500287"/>
      </c:lineChart>
      <c:catAx>
        <c:axId val="71449644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500287"/>
        <c:crosses val="autoZero"/>
        <c:auto val="1"/>
        <c:lblAlgn val="ctr"/>
        <c:lblOffset val="100"/>
        <c:noMultiLvlLbl val="0"/>
      </c:catAx>
      <c:valAx>
        <c:axId val="71450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9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[C_mill_data_log.xlsx]Pivot Data!PivotTable11</c:name>
    <c:fmtId val="5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Data'!$AQ$5</c:f>
              <c:strCache>
                <c:ptCount val="1"/>
                <c:pt idx="0">
                  <c:v>Total</c:v>
                </c:pt>
              </c:strCache>
            </c:strRef>
          </c:tx>
          <c:spPr>
            <a:ln w="28575" cap="rnd">
              <a:solidFill>
                <a:schemeClr val="accent1"/>
              </a:solidFill>
              <a:round/>
            </a:ln>
            <a:effectLst/>
          </c:spPr>
          <c:marker>
            <c:symbol val="none"/>
          </c:marker>
          <c:cat>
            <c:strRef>
              <c:f>'Pivot Data'!$AP$6:$AP$46</c:f>
              <c:strCache>
                <c:ptCount val="40"/>
                <c:pt idx="0">
                  <c:v>28/01/2024</c:v>
                </c:pt>
                <c:pt idx="1">
                  <c:v>29/01/2024</c:v>
                </c:pt>
                <c:pt idx="2">
                  <c:v>30/01/2024</c:v>
                </c:pt>
                <c:pt idx="3">
                  <c:v>31/01/2024</c:v>
                </c:pt>
                <c:pt idx="4">
                  <c:v>01/02/2024</c:v>
                </c:pt>
                <c:pt idx="5">
                  <c:v>02/02/2024</c:v>
                </c:pt>
                <c:pt idx="6">
                  <c:v>03/02/2024</c:v>
                </c:pt>
                <c:pt idx="7">
                  <c:v>05/02/2024</c:v>
                </c:pt>
                <c:pt idx="8">
                  <c:v>06/02/2024</c:v>
                </c:pt>
                <c:pt idx="9">
                  <c:v>07/02/2024</c:v>
                </c:pt>
                <c:pt idx="10">
                  <c:v>16/02/2024</c:v>
                </c:pt>
                <c:pt idx="11">
                  <c:v>21/02/2024</c:v>
                </c:pt>
                <c:pt idx="12">
                  <c:v>22/02/2024</c:v>
                </c:pt>
                <c:pt idx="13">
                  <c:v>23/02/2024</c:v>
                </c:pt>
                <c:pt idx="14">
                  <c:v>24/02/2024</c:v>
                </c:pt>
                <c:pt idx="15">
                  <c:v>01/03/2024</c:v>
                </c:pt>
                <c:pt idx="16">
                  <c:v>02/03/2024</c:v>
                </c:pt>
                <c:pt idx="17">
                  <c:v>04/03/2024</c:v>
                </c:pt>
                <c:pt idx="18">
                  <c:v>05/03/2024</c:v>
                </c:pt>
                <c:pt idx="19">
                  <c:v>07/03/2024</c:v>
                </c:pt>
                <c:pt idx="20">
                  <c:v>08/03/2024</c:v>
                </c:pt>
                <c:pt idx="21">
                  <c:v>09/03/2024</c:v>
                </c:pt>
                <c:pt idx="22">
                  <c:v>10/03/2024</c:v>
                </c:pt>
                <c:pt idx="23">
                  <c:v>11/03/2024</c:v>
                </c:pt>
                <c:pt idx="24">
                  <c:v>12/03/2024</c:v>
                </c:pt>
                <c:pt idx="25">
                  <c:v>13/03/2024</c:v>
                </c:pt>
                <c:pt idx="26">
                  <c:v>14/03/2024</c:v>
                </c:pt>
                <c:pt idx="27">
                  <c:v>15/03/2024</c:v>
                </c:pt>
                <c:pt idx="28">
                  <c:v>16/03/2024</c:v>
                </c:pt>
                <c:pt idx="29">
                  <c:v>17/03/2024</c:v>
                </c:pt>
                <c:pt idx="30">
                  <c:v>18/03/2024</c:v>
                </c:pt>
                <c:pt idx="31">
                  <c:v>19/03/2024</c:v>
                </c:pt>
                <c:pt idx="32">
                  <c:v>20/03/2024</c:v>
                </c:pt>
                <c:pt idx="33">
                  <c:v>21/03/2024</c:v>
                </c:pt>
                <c:pt idx="34">
                  <c:v>22/03/2024</c:v>
                </c:pt>
                <c:pt idx="35">
                  <c:v>23/03/2024</c:v>
                </c:pt>
                <c:pt idx="36">
                  <c:v>24/03/2024</c:v>
                </c:pt>
                <c:pt idx="37">
                  <c:v>25/03/2024</c:v>
                </c:pt>
                <c:pt idx="38">
                  <c:v>26/03/2024</c:v>
                </c:pt>
                <c:pt idx="39">
                  <c:v>27/03/2024</c:v>
                </c:pt>
              </c:strCache>
            </c:strRef>
          </c:cat>
          <c:val>
            <c:numRef>
              <c:f>'Pivot Data'!$AQ$6:$AQ$46</c:f>
              <c:numCache>
                <c:formatCode>General</c:formatCode>
                <c:ptCount val="40"/>
                <c:pt idx="0">
                  <c:v>8.6599999999998545</c:v>
                </c:pt>
                <c:pt idx="1">
                  <c:v>-456.20333333333343</c:v>
                </c:pt>
                <c:pt idx="2">
                  <c:v>-591.24</c:v>
                </c:pt>
                <c:pt idx="3">
                  <c:v>-241.88</c:v>
                </c:pt>
                <c:pt idx="4">
                  <c:v>-191.80999999999995</c:v>
                </c:pt>
                <c:pt idx="5">
                  <c:v>-689.36500000000001</c:v>
                </c:pt>
                <c:pt idx="6">
                  <c:v>-104.86333333333339</c:v>
                </c:pt>
                <c:pt idx="7">
                  <c:v>-491.20333333333338</c:v>
                </c:pt>
                <c:pt idx="8">
                  <c:v>-1384.93</c:v>
                </c:pt>
                <c:pt idx="9">
                  <c:v>8.6200000000000045</c:v>
                </c:pt>
                <c:pt idx="10">
                  <c:v>7.6500000000000909</c:v>
                </c:pt>
                <c:pt idx="11">
                  <c:v>8.5600000000000591</c:v>
                </c:pt>
                <c:pt idx="12">
                  <c:v>8.5300000000000864</c:v>
                </c:pt>
                <c:pt idx="13">
                  <c:v>7.8099999999999454</c:v>
                </c:pt>
                <c:pt idx="14">
                  <c:v>-2</c:v>
                </c:pt>
                <c:pt idx="15">
                  <c:v>8.4800000000000182</c:v>
                </c:pt>
                <c:pt idx="16">
                  <c:v>8.2899999999999636</c:v>
                </c:pt>
                <c:pt idx="17">
                  <c:v>-1384.49</c:v>
                </c:pt>
                <c:pt idx="18">
                  <c:v>-1384.49</c:v>
                </c:pt>
                <c:pt idx="19">
                  <c:v>-523.72</c:v>
                </c:pt>
                <c:pt idx="20">
                  <c:v>-211.85500000000008</c:v>
                </c:pt>
                <c:pt idx="21">
                  <c:v>6.6000000000000227</c:v>
                </c:pt>
                <c:pt idx="22">
                  <c:v>6.6200000000000045</c:v>
                </c:pt>
                <c:pt idx="23">
                  <c:v>7.660000000000025</c:v>
                </c:pt>
                <c:pt idx="24">
                  <c:v>80.839999999999918</c:v>
                </c:pt>
                <c:pt idx="25">
                  <c:v>-191.63000000000011</c:v>
                </c:pt>
                <c:pt idx="26">
                  <c:v>-741.49</c:v>
                </c:pt>
                <c:pt idx="27">
                  <c:v>-1011.6100000000001</c:v>
                </c:pt>
                <c:pt idx="28">
                  <c:v>-66.730000000000018</c:v>
                </c:pt>
                <c:pt idx="29">
                  <c:v>-216.22000000000003</c:v>
                </c:pt>
                <c:pt idx="30">
                  <c:v>-312.08000000000015</c:v>
                </c:pt>
                <c:pt idx="31">
                  <c:v>-358.91000000000008</c:v>
                </c:pt>
                <c:pt idx="32">
                  <c:v>-752.34000000000015</c:v>
                </c:pt>
                <c:pt idx="33">
                  <c:v>-690.89</c:v>
                </c:pt>
                <c:pt idx="34">
                  <c:v>-431.42000000000007</c:v>
                </c:pt>
                <c:pt idx="35">
                  <c:v>-681</c:v>
                </c:pt>
                <c:pt idx="36">
                  <c:v>-569.70000000000005</c:v>
                </c:pt>
                <c:pt idx="37">
                  <c:v>-991.04000000000008</c:v>
                </c:pt>
                <c:pt idx="38">
                  <c:v>-782.88499999999999</c:v>
                </c:pt>
                <c:pt idx="39">
                  <c:v>-192.88000000000011</c:v>
                </c:pt>
              </c:numCache>
            </c:numRef>
          </c:val>
          <c:smooth val="0"/>
          <c:extLst>
            <c:ext xmlns:c16="http://schemas.microsoft.com/office/drawing/2014/chart" uri="{C3380CC4-5D6E-409C-BE32-E72D297353CC}">
              <c16:uniqueId val="{00000000-65A5-4DC3-9096-0942E7727CAF}"/>
            </c:ext>
          </c:extLst>
        </c:ser>
        <c:dLbls>
          <c:showLegendKey val="0"/>
          <c:showVal val="0"/>
          <c:showCatName val="0"/>
          <c:showSerName val="0"/>
          <c:showPercent val="0"/>
          <c:showBubbleSize val="0"/>
        </c:dLbls>
        <c:smooth val="0"/>
        <c:axId val="1131460128"/>
        <c:axId val="1131461088"/>
      </c:lineChart>
      <c:catAx>
        <c:axId val="113146012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461088"/>
        <c:crosses val="autoZero"/>
        <c:auto val="1"/>
        <c:lblAlgn val="ctr"/>
        <c:lblOffset val="100"/>
        <c:noMultiLvlLbl val="0"/>
      </c:catAx>
      <c:valAx>
        <c:axId val="113146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46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1</xdr:row>
      <xdr:rowOff>0</xdr:rowOff>
    </xdr:from>
    <xdr:to>
      <xdr:col>4</xdr:col>
      <xdr:colOff>0</xdr:colOff>
      <xdr:row>14</xdr:row>
      <xdr:rowOff>114300</xdr:rowOff>
    </xdr:to>
    <mc:AlternateContent xmlns:mc="http://schemas.openxmlformats.org/markup-compatibility/2006">
      <mc:Choice xmlns:a14="http://schemas.microsoft.com/office/drawing/2010/main" Requires="a14">
        <xdr:graphicFrame macro="">
          <xdr:nvGraphicFramePr>
            <xdr:cNvPr id="2" name="recipe">
              <a:extLst>
                <a:ext uri="{FF2B5EF4-FFF2-40B4-BE49-F238E27FC236}">
                  <a16:creationId xmlns:a16="http://schemas.microsoft.com/office/drawing/2014/main" id="{9AB72710-1D8A-49E9-9987-5CECB1A32A67}"/>
                </a:ext>
              </a:extLst>
            </xdr:cNvPr>
            <xdr:cNvGraphicFramePr/>
          </xdr:nvGraphicFramePr>
          <xdr:xfrm>
            <a:off x="0" y="0"/>
            <a:ext cx="0" cy="0"/>
          </xdr:xfrm>
          <a:graphic>
            <a:graphicData uri="http://schemas.microsoft.com/office/drawing/2010/slicer">
              <sle:slicer xmlns:sle="http://schemas.microsoft.com/office/drawing/2010/slicer" name="recipe"/>
            </a:graphicData>
          </a:graphic>
        </xdr:graphicFrame>
      </mc:Choice>
      <mc:Fallback>
        <xdr:sp macro="" textlink="">
          <xdr:nvSpPr>
            <xdr:cNvPr id="0" name=""/>
            <xdr:cNvSpPr>
              <a:spLocks noTextEdit="1"/>
            </xdr:cNvSpPr>
          </xdr:nvSpPr>
          <xdr:spPr>
            <a:xfrm>
              <a:off x="619125" y="180975"/>
              <a:ext cx="1819275"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xdr:row>
      <xdr:rowOff>0</xdr:rowOff>
    </xdr:from>
    <xdr:to>
      <xdr:col>13</xdr:col>
      <xdr:colOff>0</xdr:colOff>
      <xdr:row>17</xdr:row>
      <xdr:rowOff>0</xdr:rowOff>
    </xdr:to>
    <xdr:graphicFrame macro="">
      <xdr:nvGraphicFramePr>
        <xdr:cNvPr id="3" name="Chart 2">
          <a:extLst>
            <a:ext uri="{FF2B5EF4-FFF2-40B4-BE49-F238E27FC236}">
              <a16:creationId xmlns:a16="http://schemas.microsoft.com/office/drawing/2014/main" id="{73890435-5156-4A8E-9791-5ADBC4E92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xdr:row>
      <xdr:rowOff>0</xdr:rowOff>
    </xdr:from>
    <xdr:to>
      <xdr:col>22</xdr:col>
      <xdr:colOff>0</xdr:colOff>
      <xdr:row>17</xdr:row>
      <xdr:rowOff>16782</xdr:rowOff>
    </xdr:to>
    <xdr:graphicFrame macro="">
      <xdr:nvGraphicFramePr>
        <xdr:cNvPr id="4" name="Chart 3">
          <a:extLst>
            <a:ext uri="{FF2B5EF4-FFF2-40B4-BE49-F238E27FC236}">
              <a16:creationId xmlns:a16="http://schemas.microsoft.com/office/drawing/2014/main" id="{536E4F4D-FFDC-4B14-AD1F-4EBFAD7FC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18</xdr:row>
      <xdr:rowOff>1</xdr:rowOff>
    </xdr:from>
    <xdr:to>
      <xdr:col>22</xdr:col>
      <xdr:colOff>0</xdr:colOff>
      <xdr:row>33</xdr:row>
      <xdr:rowOff>179070</xdr:rowOff>
    </xdr:to>
    <xdr:graphicFrame macro="">
      <xdr:nvGraphicFramePr>
        <xdr:cNvPr id="5" name="Chart 4">
          <a:extLst>
            <a:ext uri="{FF2B5EF4-FFF2-40B4-BE49-F238E27FC236}">
              <a16:creationId xmlns:a16="http://schemas.microsoft.com/office/drawing/2014/main" id="{031B2530-65C6-4729-A623-968AB0491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17</xdr:row>
      <xdr:rowOff>179069</xdr:rowOff>
    </xdr:from>
    <xdr:to>
      <xdr:col>13</xdr:col>
      <xdr:colOff>0</xdr:colOff>
      <xdr:row>34</xdr:row>
      <xdr:rowOff>0</xdr:rowOff>
    </xdr:to>
    <xdr:graphicFrame macro="">
      <xdr:nvGraphicFramePr>
        <xdr:cNvPr id="6" name="Chart 5">
          <a:extLst>
            <a:ext uri="{FF2B5EF4-FFF2-40B4-BE49-F238E27FC236}">
              <a16:creationId xmlns:a16="http://schemas.microsoft.com/office/drawing/2014/main" id="{A4A88103-A610-4EDF-9C65-54310B57B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35</xdr:row>
      <xdr:rowOff>0</xdr:rowOff>
    </xdr:from>
    <xdr:to>
      <xdr:col>13</xdr:col>
      <xdr:colOff>0</xdr:colOff>
      <xdr:row>51</xdr:row>
      <xdr:rowOff>0</xdr:rowOff>
    </xdr:to>
    <xdr:graphicFrame macro="">
      <xdr:nvGraphicFramePr>
        <xdr:cNvPr id="7" name="Chart 6">
          <a:extLst>
            <a:ext uri="{FF2B5EF4-FFF2-40B4-BE49-F238E27FC236}">
              <a16:creationId xmlns:a16="http://schemas.microsoft.com/office/drawing/2014/main" id="{C414FABA-E951-4511-9EB3-E8417C9C3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35</xdr:row>
      <xdr:rowOff>0</xdr:rowOff>
    </xdr:from>
    <xdr:to>
      <xdr:col>22</xdr:col>
      <xdr:colOff>0</xdr:colOff>
      <xdr:row>51</xdr:row>
      <xdr:rowOff>0</xdr:rowOff>
    </xdr:to>
    <xdr:graphicFrame macro="">
      <xdr:nvGraphicFramePr>
        <xdr:cNvPr id="8" name="Chart 7">
          <a:extLst>
            <a:ext uri="{FF2B5EF4-FFF2-40B4-BE49-F238E27FC236}">
              <a16:creationId xmlns:a16="http://schemas.microsoft.com/office/drawing/2014/main" id="{63B63CCF-D00F-451E-A623-9D37B9555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52</xdr:row>
      <xdr:rowOff>0</xdr:rowOff>
    </xdr:from>
    <xdr:to>
      <xdr:col>13</xdr:col>
      <xdr:colOff>0</xdr:colOff>
      <xdr:row>68</xdr:row>
      <xdr:rowOff>0</xdr:rowOff>
    </xdr:to>
    <xdr:graphicFrame macro="">
      <xdr:nvGraphicFramePr>
        <xdr:cNvPr id="9" name="Chart 8">
          <a:extLst>
            <a:ext uri="{FF2B5EF4-FFF2-40B4-BE49-F238E27FC236}">
              <a16:creationId xmlns:a16="http://schemas.microsoft.com/office/drawing/2014/main" id="{62820B84-5C8E-47F2-B721-4E197C623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52</xdr:row>
      <xdr:rowOff>0</xdr:rowOff>
    </xdr:from>
    <xdr:to>
      <xdr:col>22</xdr:col>
      <xdr:colOff>0</xdr:colOff>
      <xdr:row>68</xdr:row>
      <xdr:rowOff>0</xdr:rowOff>
    </xdr:to>
    <xdr:graphicFrame macro="">
      <xdr:nvGraphicFramePr>
        <xdr:cNvPr id="10" name="Chart 9">
          <a:extLst>
            <a:ext uri="{FF2B5EF4-FFF2-40B4-BE49-F238E27FC236}">
              <a16:creationId xmlns:a16="http://schemas.microsoft.com/office/drawing/2014/main" id="{BC55E742-E27C-486A-8737-B1B696A15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69</xdr:row>
      <xdr:rowOff>0</xdr:rowOff>
    </xdr:from>
    <xdr:to>
      <xdr:col>13</xdr:col>
      <xdr:colOff>0</xdr:colOff>
      <xdr:row>85</xdr:row>
      <xdr:rowOff>0</xdr:rowOff>
    </xdr:to>
    <xdr:graphicFrame macro="">
      <xdr:nvGraphicFramePr>
        <xdr:cNvPr id="11" name="Chart 10">
          <a:extLst>
            <a:ext uri="{FF2B5EF4-FFF2-40B4-BE49-F238E27FC236}">
              <a16:creationId xmlns:a16="http://schemas.microsoft.com/office/drawing/2014/main" id="{1820DF64-48F7-45E8-BE61-E14835DB1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0</xdr:colOff>
      <xdr:row>69</xdr:row>
      <xdr:rowOff>0</xdr:rowOff>
    </xdr:from>
    <xdr:to>
      <xdr:col>22</xdr:col>
      <xdr:colOff>0</xdr:colOff>
      <xdr:row>85</xdr:row>
      <xdr:rowOff>0</xdr:rowOff>
    </xdr:to>
    <xdr:graphicFrame macro="">
      <xdr:nvGraphicFramePr>
        <xdr:cNvPr id="12" name="Chart 11">
          <a:extLst>
            <a:ext uri="{FF2B5EF4-FFF2-40B4-BE49-F238E27FC236}">
              <a16:creationId xmlns:a16="http://schemas.microsoft.com/office/drawing/2014/main" id="{5FD158FB-C4CE-4A21-A35C-8C53B10E5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0</xdr:colOff>
      <xdr:row>86</xdr:row>
      <xdr:rowOff>0</xdr:rowOff>
    </xdr:from>
    <xdr:to>
      <xdr:col>13</xdr:col>
      <xdr:colOff>0</xdr:colOff>
      <xdr:row>102</xdr:row>
      <xdr:rowOff>0</xdr:rowOff>
    </xdr:to>
    <xdr:graphicFrame macro="">
      <xdr:nvGraphicFramePr>
        <xdr:cNvPr id="13" name="Chart 12">
          <a:extLst>
            <a:ext uri="{FF2B5EF4-FFF2-40B4-BE49-F238E27FC236}">
              <a16:creationId xmlns:a16="http://schemas.microsoft.com/office/drawing/2014/main" id="{B923E018-BC62-4FEE-8D47-A649CA578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Carruthers" refreshedDate="45408.660403703703" createdVersion="8" refreshedVersion="8" minRefreshableVersion="3" recordCount="56" xr:uid="{C2566898-D6FA-4CCB-856D-EECB8099389E}">
  <cacheSource type="worksheet">
    <worksheetSource name="Table1"/>
  </cacheSource>
  <cacheFields count="49">
    <cacheField name="recipe" numFmtId="0">
      <sharedItems count="11">
        <s v="19"/>
        <s v="43"/>
        <s v="38"/>
        <s v="40"/>
        <s v="22"/>
        <s v="3"/>
        <s v="67"/>
        <s v="65"/>
        <s v="70"/>
        <s v="29"/>
        <s v="11"/>
      </sharedItems>
    </cacheField>
    <cacheField name="F502 mean" numFmtId="0">
      <sharedItems containsSemiMixedTypes="0" containsString="0" containsNumber="1" minValue="107.88" maxValue="281.88"/>
    </cacheField>
    <cacheField name="F502 tol" numFmtId="0">
      <sharedItems containsSemiMixedTypes="0" containsString="0" containsNumber="1" minValue="9.39" maxValue="95.08"/>
    </cacheField>
    <cacheField name="F502 units" numFmtId="0">
      <sharedItems/>
    </cacheField>
    <cacheField name="F51 mean" numFmtId="0">
      <sharedItems containsSemiMixedTypes="0" containsString="0" containsNumber="1" minValue="1799.75" maxValue="2005.4"/>
    </cacheField>
    <cacheField name="F51 tol" numFmtId="0">
      <sharedItems containsSemiMixedTypes="0" containsString="0" containsNumber="1" minValue="104.7" maxValue="440.59"/>
    </cacheField>
    <cacheField name="F51 units" numFmtId="0">
      <sharedItems/>
    </cacheField>
    <cacheField name="F51 set point" numFmtId="0">
      <sharedItems containsSemiMixedTypes="0" containsString="0" containsNumber="1" containsInteger="1" minValue="2000" maxValue="2000"/>
    </cacheField>
    <cacheField name="F51_OP mean" numFmtId="0">
      <sharedItems containsSemiMixedTypes="0" containsString="0" containsNumber="1" minValue="40.840000000000003" maxValue="81.53"/>
    </cacheField>
    <cacheField name="F51_OP tol" numFmtId="0">
      <sharedItems containsSemiMixedTypes="0" containsString="0" containsNumber="1" minValue="1.7" maxValue="24.35"/>
    </cacheField>
    <cacheField name="F51_OP units" numFmtId="0">
      <sharedItems/>
    </cacheField>
    <cacheField name="F52_OP mean" numFmtId="0">
      <sharedItems containsSemiMixedTypes="0" containsString="0" containsNumber="1" minValue="27.85" maxValue="65.25"/>
    </cacheField>
    <cacheField name="F52_OP tol" numFmtId="0">
      <sharedItems containsSemiMixedTypes="0" containsString="0" containsNumber="1" minValue="1.1499999999999999" maxValue="23.18"/>
    </cacheField>
    <cacheField name="F52_OP units" numFmtId="0">
      <sharedItems/>
    </cacheField>
    <cacheField name="F52 mean" numFmtId="0">
      <sharedItems containsSemiMixedTypes="0" containsString="0" containsNumber="1" minValue="4998.7" maxValue="10802.29"/>
    </cacheField>
    <cacheField name="F52 tol" numFmtId="0">
      <sharedItems containsSemiMixedTypes="0" containsString="0" containsNumber="1" minValue="133.83000000000001" maxValue="247.86"/>
    </cacheField>
    <cacheField name="F52 units" numFmtId="0">
      <sharedItems/>
    </cacheField>
    <cacheField name="F52 set point" numFmtId="0">
      <sharedItems containsSemiMixedTypes="0" containsString="0" containsNumber="1" containsInteger="1" minValue="5000" maxValue="10800"/>
    </cacheField>
    <cacheField name="P51 mean" numFmtId="0">
      <sharedItems containsSemiMixedTypes="0" containsString="0" containsNumber="1" minValue="-324.56" maxValue="-60.43"/>
    </cacheField>
    <cacheField name="P51 tol" numFmtId="0">
      <sharedItems containsSemiMixedTypes="0" containsString="0" containsNumber="1" minValue="20.54" maxValue="230.9"/>
    </cacheField>
    <cacheField name="P51 units" numFmtId="0">
      <sharedItems/>
    </cacheField>
    <cacheField name="P52 mean" numFmtId="0">
      <sharedItems containsSemiMixedTypes="0" containsString="0" containsNumber="1" minValue="-549.5" maxValue="-172.15"/>
    </cacheField>
    <cacheField name="P52 tol" numFmtId="0">
      <sharedItems containsSemiMixedTypes="0" containsString="0" containsNumber="1" minValue="16.02" maxValue="151.26"/>
    </cacheField>
    <cacheField name="P52 units" numFmtId="0">
      <sharedItems/>
    </cacheField>
    <cacheField name="P53 mean" numFmtId="0">
      <sharedItems containsSemiMixedTypes="0" containsString="0" containsNumber="1" minValue="-980.26" maxValue="-515.55999999999995"/>
    </cacheField>
    <cacheField name="P53 tol" numFmtId="0">
      <sharedItems containsSemiMixedTypes="0" containsString="0" containsNumber="1" minValue="11.97" maxValue="140.54"/>
    </cacheField>
    <cacheField name="P53 units" numFmtId="0">
      <sharedItems/>
    </cacheField>
    <cacheField name="P54 mean" numFmtId="0">
      <sharedItems containsSemiMixedTypes="0" containsString="0" containsNumber="1" minValue="-1048.99" maxValue="-710.2"/>
    </cacheField>
    <cacheField name="P54 tol" numFmtId="0">
      <sharedItems containsSemiMixedTypes="0" containsString="0" containsNumber="1" minValue="15.99" maxValue="161.78"/>
    </cacheField>
    <cacheField name="P54 units" numFmtId="0">
      <sharedItems/>
    </cacheField>
    <cacheField name="S51 mean" numFmtId="0">
      <sharedItems containsSemiMixedTypes="0" containsString="0" containsNumber="1" minValue="8.3800000000000008" maxValue="1926.68"/>
    </cacheField>
    <cacheField name="S51 tol" numFmtId="0">
      <sharedItems containsSemiMixedTypes="0" containsString="0" containsNumber="1" minValue="0.13" maxValue="421.93"/>
    </cacheField>
    <cacheField name="S51 units" numFmtId="0">
      <sharedItems/>
    </cacheField>
    <cacheField name="Goal Feed rate" numFmtId="0">
      <sharedItems containsSemiMixedTypes="0" containsString="0" containsNumber="1" containsInteger="1" minValue="800" maxValue="2200"/>
    </cacheField>
    <cacheField name="S52 mean" numFmtId="0">
      <sharedItems containsSemiMixedTypes="0" containsString="0" containsNumber="1" minValue="6.59" maxValue="2000.05"/>
    </cacheField>
    <cacheField name="S52 tol" numFmtId="0">
      <sharedItems containsSemiMixedTypes="0" containsString="0" containsNumber="1" minValue="0.09" maxValue="746"/>
    </cacheField>
    <cacheField name="S52 units" numFmtId="0">
      <sharedItems/>
    </cacheField>
    <cacheField name="date" numFmtId="14">
      <sharedItems containsSemiMixedTypes="0" containsNonDate="0" containsDate="1" containsString="0" minDate="2024-01-28T00:00:00" maxDate="2024-03-28T00:00:00" count="40">
        <d v="2024-03-27T00:00:00"/>
        <d v="2024-03-26T00:00:00"/>
        <d v="2024-03-25T00:00:00"/>
        <d v="2024-03-24T00:00:00"/>
        <d v="2024-03-23T00:00:00"/>
        <d v="2024-03-22T00:00:00"/>
        <d v="2024-03-21T00:00:00"/>
        <d v="2024-03-20T00:00:00"/>
        <d v="2024-03-19T00:00:00"/>
        <d v="2024-03-18T00:00:00"/>
        <d v="2024-03-17T00:00:00"/>
        <d v="2024-03-16T00:00:00"/>
        <d v="2024-03-15T00:00:00"/>
        <d v="2024-03-14T00:00:00"/>
        <d v="2024-03-13T00:00:00"/>
        <d v="2024-03-12T00:00:00"/>
        <d v="2024-03-11T00:00:00"/>
        <d v="2024-03-10T00:00:00"/>
        <d v="2024-03-09T00:00:00"/>
        <d v="2024-03-08T00:00:00"/>
        <d v="2024-03-07T00:00:00"/>
        <d v="2024-03-05T00:00:00"/>
        <d v="2024-03-04T00:00:00"/>
        <d v="2024-03-02T00:00:00"/>
        <d v="2024-03-01T00:00:00"/>
        <d v="2024-02-24T00:00:00"/>
        <d v="2024-02-23T00:00:00"/>
        <d v="2024-02-22T00:00:00"/>
        <d v="2024-02-21T00:00:00"/>
        <d v="2024-02-16T00:00:00"/>
        <d v="2024-02-07T00:00:00"/>
        <d v="2024-02-06T00:00:00"/>
        <d v="2024-02-05T00:00:00"/>
        <d v="2024-02-03T00:00:00"/>
        <d v="2024-02-02T00:00:00"/>
        <d v="2024-02-01T00:00:00"/>
        <d v="2024-01-31T00:00:00"/>
        <d v="2024-01-30T00:00:00"/>
        <d v="2024-01-29T00:00:00"/>
        <d v="2024-01-28T00:00:00"/>
      </sharedItems>
    </cacheField>
    <cacheField name="Grade" numFmtId="0">
      <sharedItems/>
    </cacheField>
    <cacheField name="Total Feedrate - LAC" numFmtId="0">
      <sharedItems containsSemiMixedTypes="0" containsString="0" containsNumber="1" minValue="15.07" maxValue="2008.57"/>
    </cacheField>
    <cacheField name="Deviation from feed" numFmtId="0">
      <sharedItems containsSemiMixedTypes="0" containsString="0" containsNumber="1" minValue="-1491.55" maxValue="80.839999999999918"/>
    </cacheField>
    <cacheField name="Cyclone dP" numFmtId="0">
      <sharedItems containsSemiMixedTypes="0" containsString="0" containsNumber="1" minValue="38.029999999999973" maxValue="213.94000000000005"/>
    </cacheField>
    <cacheField name="Cyclon dP tol" numFmtId="0">
      <sharedItems containsSemiMixedTypes="0" containsString="0" containsNumber="1" minValue="27.96" maxValue="300.96000000000004"/>
    </cacheField>
    <cacheField name="Mill dP" numFmtId="0">
      <sharedItems containsSemiMixedTypes="0" containsString="0" containsNumber="1" minValue="36.080000000000013" maxValue="275.56"/>
    </cacheField>
    <cacheField name="Mill dP tol" numFmtId="0">
      <sharedItems containsSemiMixedTypes="0" containsString="0" containsNumber="1" minValue="47.65" maxValue="341.04"/>
    </cacheField>
    <cacheField name="Classifier dP" numFmtId="0">
      <sharedItems containsSemiMixedTypes="0" containsString="0" containsNumber="1" minValue="38.029999999999973" maxValue="213.94000000000005"/>
    </cacheField>
    <cacheField name="Classifier dP tol" numFmtId="0">
      <sharedItems containsSemiMixedTypes="0" containsString="0" containsNumber="1" minValue="27.96" maxValue="300.96000000000004"/>
    </cacheField>
    <cacheField name="Fan dP" numFmtId="0">
      <sharedItems containsSemiMixedTypes="0" containsString="0" containsNumber="1" minValue="-815.91" maxValue="-506.68"/>
    </cacheField>
    <cacheField name="Fan dP tol" numFmtId="0">
      <sharedItems containsSemiMixedTypes="0" containsString="0" containsNumber="1" minValue="50.45" maxValue="362.01"/>
    </cacheField>
  </cacheFields>
  <extLst>
    <ext xmlns:x14="http://schemas.microsoft.com/office/spreadsheetml/2009/9/main" uri="{725AE2AE-9491-48be-B2B4-4EB974FC3084}">
      <x14:pivotCacheDefinition pivotCacheId="812670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n v="199.34"/>
    <n v="9.39"/>
    <s v="mmWG"/>
    <n v="1801.24"/>
    <n v="321.29000000000002"/>
    <s v="m³/h"/>
    <n v="2000"/>
    <n v="43.1"/>
    <n v="4.5599999999999996"/>
    <s v="%"/>
    <n v="48.95"/>
    <n v="2.93"/>
    <s v="%"/>
    <n v="8498.44"/>
    <n v="153.69999999999999"/>
    <s v="m³/h"/>
    <n v="8500"/>
    <n v="-60.43"/>
    <n v="41.02"/>
    <s v="mmWG"/>
    <n v="-224.24"/>
    <n v="16.02"/>
    <s v="mmWG"/>
    <n v="-575"/>
    <n v="11.97"/>
    <s v="mbar"/>
    <n v="-710.2"/>
    <n v="15.99"/>
    <s v="mmWG"/>
    <n v="8.5500000000000007"/>
    <n v="0.14000000000000001"/>
    <s v="kg"/>
    <n v="2000"/>
    <n v="1798.57"/>
    <n v="55.4"/>
    <s v="kg"/>
    <x v="0"/>
    <s v="C*1"/>
    <n v="1807.12"/>
    <n v="-192.88000000000011"/>
    <n v="135.20000000000005"/>
    <n v="27.96"/>
    <n v="163.81"/>
    <n v="57.040000000000006"/>
    <n v="135.20000000000005"/>
    <n v="27.96"/>
    <n v="-649.7700000000001"/>
    <n v="57.010000000000005"/>
  </r>
  <r>
    <x v="0"/>
    <n v="182.09"/>
    <n v="86.77"/>
    <s v="mmWG"/>
    <n v="1799.75"/>
    <n v="261.14"/>
    <s v="m³/h"/>
    <n v="2000"/>
    <n v="40.840000000000003"/>
    <n v="5.93"/>
    <s v="%"/>
    <n v="48.21"/>
    <n v="1.96"/>
    <s v="%"/>
    <n v="8504.11"/>
    <n v="164.91"/>
    <s v="m³/h"/>
    <n v="8500"/>
    <n v="-70.41"/>
    <n v="59.55"/>
    <s v="mmWG"/>
    <n v="-226.51"/>
    <n v="64.55"/>
    <s v="mmWG"/>
    <n v="-576.82000000000005"/>
    <n v="62.83"/>
    <s v="mbar"/>
    <n v="-711.52"/>
    <n v="65.180000000000007"/>
    <s v="mmWG"/>
    <n v="1800.17"/>
    <n v="30.06"/>
    <s v="kg"/>
    <n v="2000"/>
    <n v="6.84"/>
    <n v="0.1"/>
    <s v="kg"/>
    <x v="1"/>
    <s v="C*1"/>
    <n v="1807.01"/>
    <n v="-192.99"/>
    <n v="134.69999999999993"/>
    <n v="128.01"/>
    <n v="156.1"/>
    <n v="124.1"/>
    <n v="134.69999999999993"/>
    <n v="128.01"/>
    <n v="-641.11"/>
    <n v="124.73"/>
  </r>
  <r>
    <x v="1"/>
    <n v="194.12"/>
    <n v="95.08"/>
    <s v="mmWG"/>
    <n v="1995.21"/>
    <n v="425.74"/>
    <s v="m³/h"/>
    <n v="2000"/>
    <n v="49.69"/>
    <n v="6.37"/>
    <s v="%"/>
    <n v="53.44"/>
    <n v="2.65"/>
    <s v="%"/>
    <n v="10802.29"/>
    <n v="152.37"/>
    <s v="m³/h"/>
    <n v="10800"/>
    <n v="-210.8"/>
    <n v="68.349999999999994"/>
    <s v="mmWG"/>
    <n v="-331.82"/>
    <n v="72.38"/>
    <s v="mmWG"/>
    <n v="-673.79"/>
    <n v="60.38"/>
    <s v="mbar"/>
    <n v="-875.37"/>
    <n v="67.569999999999993"/>
    <s v="mmWG"/>
    <n v="8.82"/>
    <n v="0.13"/>
    <s v="kg"/>
    <n v="2100"/>
    <n v="718.4"/>
    <n v="88.39"/>
    <s v="kg"/>
    <x v="1"/>
    <s v="C*4"/>
    <n v="727.22"/>
    <n v="-1372.78"/>
    <n v="201.58000000000004"/>
    <n v="127.94999999999999"/>
    <n v="121.01999999999998"/>
    <n v="140.72999999999999"/>
    <n v="201.58000000000004"/>
    <n v="127.94999999999999"/>
    <n v="-664.56999999999994"/>
    <n v="135.91999999999999"/>
  </r>
  <r>
    <x v="0"/>
    <n v="281.88"/>
    <n v="83.98"/>
    <s v="mmWG"/>
    <n v="2001.54"/>
    <n v="164.18"/>
    <s v="m³/h"/>
    <n v="2000"/>
    <n v="46.14"/>
    <n v="2.0499999999999998"/>
    <s v="%"/>
    <n v="41.96"/>
    <n v="1.73"/>
    <s v="%"/>
    <n v="8497.0499999999993"/>
    <n v="183.88"/>
    <s v="m³/h"/>
    <n v="8500"/>
    <n v="-209.3"/>
    <n v="53.67"/>
    <s v="mmWG"/>
    <n v="-294.45999999999998"/>
    <n v="60.02"/>
    <s v="mmWG"/>
    <n v="-596.45000000000005"/>
    <n v="55.91"/>
    <s v="mbar"/>
    <n v="-718.05"/>
    <n v="57.63"/>
    <s v="mmWG"/>
    <n v="8.9"/>
    <n v="0.13"/>
    <s v="kg"/>
    <n v="2000"/>
    <n v="1000.06"/>
    <n v="51.82"/>
    <s v="kg"/>
    <x v="2"/>
    <s v="C*1"/>
    <n v="1008.9599999999999"/>
    <n v="-991.04000000000008"/>
    <n v="121.59999999999991"/>
    <n v="113.53999999999999"/>
    <n v="85.159999999999968"/>
    <n v="113.69"/>
    <n v="121.59999999999991"/>
    <n v="113.53999999999999"/>
    <n v="-508.74999999999994"/>
    <n v="111.30000000000001"/>
  </r>
  <r>
    <x v="0"/>
    <n v="229.67"/>
    <n v="39.31"/>
    <s v="mmWG"/>
    <n v="2001.73"/>
    <n v="284.85000000000002"/>
    <s v="m³/h"/>
    <n v="2000"/>
    <n v="46.75"/>
    <n v="2.86"/>
    <s v="%"/>
    <n v="50.53"/>
    <n v="3.11"/>
    <s v="%"/>
    <n v="9500.23"/>
    <n v="197.24"/>
    <s v="m³/h"/>
    <n v="8500"/>
    <n v="-134.91999999999999"/>
    <n v="50.49"/>
    <s v="mmWG"/>
    <n v="-290.45999999999998"/>
    <n v="40.450000000000003"/>
    <s v="mmWG"/>
    <n v="-652.24"/>
    <n v="35.86"/>
    <s v="mbar"/>
    <n v="-809.99"/>
    <n v="40.1"/>
    <s v="mmWG"/>
    <n v="400.3"/>
    <n v="84.29"/>
    <s v="kg"/>
    <n v="2000"/>
    <n v="1030"/>
    <n v="93.3"/>
    <s v="kg"/>
    <x v="3"/>
    <s v="C*1"/>
    <n v="1430.3"/>
    <n v="-569.70000000000005"/>
    <n v="157.75"/>
    <n v="75.960000000000008"/>
    <n v="155.54"/>
    <n v="90.94"/>
    <n v="157.75"/>
    <n v="75.960000000000008"/>
    <n v="-675.07"/>
    <n v="90.59"/>
  </r>
  <r>
    <x v="0"/>
    <n v="218.14"/>
    <n v="24.26"/>
    <s v="mmWG"/>
    <n v="1998.68"/>
    <n v="207.98"/>
    <s v="m³/h"/>
    <n v="2000"/>
    <n v="46.45"/>
    <n v="1.91"/>
    <s v="%"/>
    <n v="42.9"/>
    <n v="3.13"/>
    <s v="%"/>
    <n v="8500.19"/>
    <n v="156.99"/>
    <s v="m³/h"/>
    <n v="8500"/>
    <n v="-213.2"/>
    <n v="69.010000000000005"/>
    <s v="mmWG"/>
    <n v="-317.97000000000003"/>
    <n v="33.549999999999997"/>
    <s v="mmWG"/>
    <n v="-642.41999999999996"/>
    <n v="23.54"/>
    <s v="mbar"/>
    <n v="-769.24"/>
    <n v="35.369999999999997"/>
    <s v="mmWG"/>
    <n v="8.9600000000000009"/>
    <n v="0.14000000000000001"/>
    <s v="kg"/>
    <n v="2000"/>
    <n v="1310.04"/>
    <n v="746"/>
    <s v="kg"/>
    <x v="4"/>
    <s v="C*1"/>
    <n v="1319"/>
    <n v="-681"/>
    <n v="126.82000000000005"/>
    <n v="58.91"/>
    <n v="104.77000000000004"/>
    <n v="102.56"/>
    <n v="126.82000000000005"/>
    <n v="58.91"/>
    <n v="-556.04"/>
    <n v="104.38"/>
  </r>
  <r>
    <x v="2"/>
    <n v="167.43"/>
    <n v="21.52"/>
    <s v="mmWG"/>
    <n v="2002.53"/>
    <n v="331.72"/>
    <s v="m³/h"/>
    <n v="2000"/>
    <n v="46.45"/>
    <n v="3.42"/>
    <s v="%"/>
    <n v="57.42"/>
    <n v="1.59"/>
    <s v="%"/>
    <n v="10801.54"/>
    <n v="133.83000000000001"/>
    <s v="m³/h"/>
    <n v="10800"/>
    <n v="-133.34"/>
    <n v="35.47"/>
    <s v="mmWG"/>
    <n v="-268.5"/>
    <n v="38.49"/>
    <s v="mmWG"/>
    <n v="-648.75"/>
    <n v="36.369999999999997"/>
    <s v="mbar"/>
    <n v="-862.69"/>
    <n v="38.9"/>
    <s v="mmWG"/>
    <n v="8.86"/>
    <n v="0.23"/>
    <s v="kg"/>
    <n v="2200"/>
    <n v="1759.72"/>
    <n v="50.58"/>
    <s v="kg"/>
    <x v="5"/>
    <s v="C*3"/>
    <n v="1768.58"/>
    <n v="-431.42000000000007"/>
    <n v="213.94000000000005"/>
    <n v="75.27"/>
    <n v="135.16"/>
    <n v="73.960000000000008"/>
    <n v="213.94000000000005"/>
    <n v="75.27"/>
    <n v="-729.35"/>
    <n v="74.37"/>
  </r>
  <r>
    <x v="3"/>
    <n v="157.41"/>
    <n v="28.82"/>
    <s v="mmWG"/>
    <n v="2000.26"/>
    <n v="243.02"/>
    <s v="m³/h"/>
    <n v="2000"/>
    <n v="46.73"/>
    <n v="2.89"/>
    <s v="%"/>
    <n v="46.05"/>
    <n v="1.95"/>
    <s v="%"/>
    <n v="9500.3799999999992"/>
    <n v="195.32"/>
    <s v="m³/h"/>
    <n v="10800"/>
    <n v="-237.9"/>
    <n v="35.89"/>
    <s v="mmWG"/>
    <n v="-349.5"/>
    <n v="40.6"/>
    <s v="mmWG"/>
    <n v="-670.46"/>
    <n v="39.76"/>
    <s v="mbar"/>
    <n v="-829.28"/>
    <n v="45.83"/>
    <s v="mmWG"/>
    <n v="8.85"/>
    <n v="0.14000000000000001"/>
    <s v="kg"/>
    <n v="2200"/>
    <n v="1200.0999999999999"/>
    <n v="46.7"/>
    <s v="kg"/>
    <x v="6"/>
    <s v="C*3"/>
    <n v="1208.9499999999998"/>
    <n v="-991.05000000000018"/>
    <n v="158.81999999999994"/>
    <n v="85.59"/>
    <n v="111.6"/>
    <n v="76.490000000000009"/>
    <n v="158.81999999999994"/>
    <n v="85.59"/>
    <n v="-591.38"/>
    <n v="81.72"/>
  </r>
  <r>
    <x v="4"/>
    <n v="187.57"/>
    <n v="17.39"/>
    <s v="mmWG"/>
    <n v="1999.66"/>
    <n v="252.2"/>
    <s v="m³/h"/>
    <n v="2000"/>
    <n v="46.67"/>
    <n v="2.2200000000000002"/>
    <s v="%"/>
    <n v="43.26"/>
    <n v="2.35"/>
    <s v="%"/>
    <n v="8500.26"/>
    <n v="169.82"/>
    <s v="m³/h"/>
    <n v="8500"/>
    <n v="-217.1"/>
    <n v="56.28"/>
    <s v="mmWG"/>
    <n v="-334.2"/>
    <n v="28.9"/>
    <s v="mmWG"/>
    <n v="-669.23"/>
    <n v="24.46"/>
    <s v="mbar"/>
    <n v="-799.74"/>
    <n v="32.15"/>
    <s v="mmWG"/>
    <n v="8.82"/>
    <n v="0.13"/>
    <s v="kg"/>
    <n v="2000"/>
    <n v="1660.06"/>
    <n v="282.08999999999997"/>
    <s v="kg"/>
    <x v="6"/>
    <s v="C*1"/>
    <n v="1668.8799999999999"/>
    <n v="-331.12000000000012"/>
    <n v="130.51"/>
    <n v="56.61"/>
    <n v="117.1"/>
    <n v="85.18"/>
    <n v="130.51"/>
    <n v="56.61"/>
    <n v="-582.64"/>
    <n v="88.43"/>
  </r>
  <r>
    <x v="2"/>
    <n v="140.33000000000001"/>
    <n v="27.72"/>
    <s v="mmWG"/>
    <n v="1997.77"/>
    <n v="435.88"/>
    <s v="m³/h"/>
    <n v="2000"/>
    <n v="47.09"/>
    <n v="3.47"/>
    <s v="%"/>
    <n v="54.43"/>
    <n v="1.81"/>
    <s v="%"/>
    <n v="10801.14"/>
    <n v="150.19999999999999"/>
    <s v="m³/h"/>
    <n v="10800"/>
    <n v="-184"/>
    <n v="33.799999999999997"/>
    <s v="mmWG"/>
    <n v="-316.07"/>
    <n v="39.130000000000003"/>
    <s v="mmWG"/>
    <n v="-684.85"/>
    <n v="36"/>
    <s v="mbar"/>
    <n v="-895.68"/>
    <n v="40.85"/>
    <s v="mmWG"/>
    <n v="8.85"/>
    <n v="0.14000000000000001"/>
    <s v="kg"/>
    <n v="2200"/>
    <n v="1440.65"/>
    <n v="50.53"/>
    <s v="kg"/>
    <x v="6"/>
    <s v="C*3"/>
    <n v="1449.5"/>
    <n v="-750.5"/>
    <n v="210.82999999999993"/>
    <n v="76.849999999999994"/>
    <n v="132.07"/>
    <n v="72.930000000000007"/>
    <n v="210.82999999999993"/>
    <n v="76.849999999999994"/>
    <n v="-711.68"/>
    <n v="74.650000000000006"/>
  </r>
  <r>
    <x v="2"/>
    <n v="156"/>
    <n v="64.39"/>
    <s v="mmWG"/>
    <n v="1997.77"/>
    <n v="440.59"/>
    <s v="m³/h"/>
    <n v="2000"/>
    <n v="47.59"/>
    <n v="3"/>
    <s v="%"/>
    <n v="53.56"/>
    <n v="2.0499999999999998"/>
    <s v="%"/>
    <n v="10801.51"/>
    <n v="146.37"/>
    <s v="m³/h"/>
    <n v="10800"/>
    <n v="-188.82"/>
    <n v="56.87"/>
    <s v="mmWG"/>
    <n v="-322.45"/>
    <n v="62.59"/>
    <s v="mmWG"/>
    <n v="-688.67"/>
    <n v="58.41"/>
    <s v="mbar"/>
    <n v="-898.18"/>
    <n v="60.49"/>
    <s v="mmWG"/>
    <n v="1440.8"/>
    <n v="24.66"/>
    <s v="kg"/>
    <n v="2200"/>
    <n v="6.86"/>
    <n v="0.14000000000000001"/>
    <s v="kg"/>
    <x v="7"/>
    <s v="C*3"/>
    <n v="1447.6599999999999"/>
    <n v="-752.34000000000015"/>
    <n v="209.51"/>
    <n v="118.9"/>
    <n v="133.63"/>
    <n v="119.46000000000001"/>
    <n v="209.51"/>
    <n v="118.9"/>
    <n v="-709.3599999999999"/>
    <n v="117.36"/>
  </r>
  <r>
    <x v="0"/>
    <n v="217.42"/>
    <n v="43.11"/>
    <s v="mmWG"/>
    <n v="2000.54"/>
    <n v="105.42"/>
    <s v="m³/h"/>
    <n v="2000"/>
    <n v="45.24"/>
    <n v="2.63"/>
    <s v="%"/>
    <n v="44.82"/>
    <n v="1.48"/>
    <s v="%"/>
    <n v="8500.76"/>
    <n v="172.94"/>
    <s v="m³/h"/>
    <n v="8500"/>
    <n v="-153.97"/>
    <n v="31.5"/>
    <s v="mmWG"/>
    <n v="-275.8"/>
    <n v="33.53"/>
    <s v="mmWG"/>
    <n v="-615.61"/>
    <n v="32.74"/>
    <s v="mbar"/>
    <n v="-746.62"/>
    <n v="36.9"/>
    <s v="mmWG"/>
    <n v="8.51"/>
    <n v="0.21"/>
    <s v="kg"/>
    <n v="2000"/>
    <n v="1632.58"/>
    <n v="131.44999999999999"/>
    <s v="kg"/>
    <x v="8"/>
    <s v="C*1"/>
    <n v="1641.09"/>
    <n v="-358.91000000000008"/>
    <n v="131.01"/>
    <n v="69.64"/>
    <n v="121.83000000000001"/>
    <n v="65.03"/>
    <n v="131.01"/>
    <n v="69.64"/>
    <n v="-592.65"/>
    <n v="68.400000000000006"/>
  </r>
  <r>
    <x v="0"/>
    <n v="212.91"/>
    <n v="55.73"/>
    <s v="mmWG"/>
    <n v="2000.03"/>
    <n v="104.7"/>
    <s v="m³/h"/>
    <n v="2000"/>
    <n v="44.79"/>
    <n v="3.24"/>
    <s v="%"/>
    <n v="44.92"/>
    <n v="2.89"/>
    <s v="%"/>
    <n v="8499.8700000000008"/>
    <n v="174.52"/>
    <s v="m³/h"/>
    <n v="8500"/>
    <n v="-145.65"/>
    <n v="58.69"/>
    <s v="mmWG"/>
    <n v="-271.32"/>
    <n v="38.85"/>
    <s v="mmWG"/>
    <n v="-609.13"/>
    <n v="34.590000000000003"/>
    <s v="mbar"/>
    <n v="-739.02"/>
    <n v="38.85"/>
    <s v="mmWG"/>
    <n v="8.85"/>
    <n v="0.2"/>
    <s v="kg"/>
    <n v="2000"/>
    <n v="1679.07"/>
    <n v="383.3"/>
    <s v="kg"/>
    <x v="9"/>
    <s v="C*1"/>
    <n v="1687.9199999999998"/>
    <n v="-312.08000000000015"/>
    <n v="129.88999999999999"/>
    <n v="73.44"/>
    <n v="125.66999999999999"/>
    <n v="97.539999999999992"/>
    <n v="129.88999999999999"/>
    <n v="73.44"/>
    <n v="-593.37"/>
    <n v="97.539999999999992"/>
  </r>
  <r>
    <x v="0"/>
    <n v="205.95"/>
    <n v="34.619999999999997"/>
    <s v="mmWG"/>
    <n v="2001.07"/>
    <n v="175.04"/>
    <s v="m³/h"/>
    <n v="2000"/>
    <n v="45.13"/>
    <n v="2.52"/>
    <s v="%"/>
    <n v="51.13"/>
    <n v="4.62"/>
    <s v="%"/>
    <n v="8499.5300000000007"/>
    <n v="154.11000000000001"/>
    <s v="m³/h"/>
    <n v="8500"/>
    <n v="-68.73"/>
    <n v="47.36"/>
    <s v="mmWG"/>
    <n v="-301.67"/>
    <n v="31.23"/>
    <s v="mmWG"/>
    <n v="-656.08"/>
    <n v="42.09"/>
    <s v="mbar"/>
    <n v="-787.74"/>
    <n v="45.17"/>
    <s v="mmWG"/>
    <n v="1777.04"/>
    <n v="231.03"/>
    <s v="kg"/>
    <n v="2000"/>
    <n v="6.74"/>
    <n v="0.11"/>
    <s v="kg"/>
    <x v="10"/>
    <s v="C*1"/>
    <n v="1783.78"/>
    <n v="-216.22000000000003"/>
    <n v="131.65999999999997"/>
    <n v="87.26"/>
    <n v="232.94"/>
    <n v="78.59"/>
    <n v="131.65999999999997"/>
    <n v="87.26"/>
    <n v="-719.01"/>
    <n v="92.53"/>
  </r>
  <r>
    <x v="0"/>
    <n v="194.47"/>
    <n v="28.24"/>
    <s v="mmWG"/>
    <n v="1999.4"/>
    <n v="150.69"/>
    <s v="m³/h"/>
    <n v="2000"/>
    <n v="45.23"/>
    <n v="2.13"/>
    <s v="%"/>
    <n v="49.92"/>
    <n v="5.45"/>
    <s v="%"/>
    <n v="8499.4699999999993"/>
    <n v="146.46"/>
    <s v="m³/h"/>
    <n v="8500"/>
    <n v="-87.16"/>
    <n v="61.15"/>
    <s v="mmWG"/>
    <n v="-316.8"/>
    <n v="36.979999999999997"/>
    <s v="mmWG"/>
    <n v="-675.71"/>
    <n v="48.25"/>
    <s v="mbar"/>
    <n v="-808.89"/>
    <n v="50.23"/>
    <s v="mmWG"/>
    <n v="1926.68"/>
    <n v="134.74"/>
    <s v="kg"/>
    <n v="2000"/>
    <n v="6.59"/>
    <n v="0.12"/>
    <s v="kg"/>
    <x v="11"/>
    <s v="C*1"/>
    <n v="1933.27"/>
    <n v="-66.730000000000018"/>
    <n v="133.17999999999995"/>
    <n v="98.47999999999999"/>
    <n v="229.64000000000001"/>
    <n v="98.13"/>
    <n v="133.17999999999995"/>
    <n v="98.47999999999999"/>
    <n v="-721.73"/>
    <n v="111.38"/>
  </r>
  <r>
    <x v="1"/>
    <n v="154.43"/>
    <n v="18.78"/>
    <s v="mmWG"/>
    <n v="1999.1"/>
    <n v="129.52000000000001"/>
    <s v="m³/h"/>
    <n v="2000"/>
    <n v="45.09"/>
    <n v="3.12"/>
    <s v="%"/>
    <n v="56.47"/>
    <n v="2.25"/>
    <s v="%"/>
    <n v="10800.22"/>
    <n v="148.81"/>
    <s v="m³/h"/>
    <n v="10800"/>
    <n v="-113.94"/>
    <n v="54.68"/>
    <s v="mmWG"/>
    <n v="-240.83"/>
    <n v="47.16"/>
    <s v="mmWG"/>
    <n v="-607.29"/>
    <n v="42.42"/>
    <s v="mbar"/>
    <n v="-820.24"/>
    <n v="45.33"/>
    <s v="mmWG"/>
    <n v="8.52"/>
    <n v="0.15"/>
    <s v="kg"/>
    <n v="2100"/>
    <n v="1079.8699999999999"/>
    <n v="53.62"/>
    <s v="kg"/>
    <x v="12"/>
    <s v="C*4"/>
    <n v="1088.3899999999999"/>
    <n v="-1011.6100000000001"/>
    <n v="212.95000000000005"/>
    <n v="87.75"/>
    <n v="126.89000000000001"/>
    <n v="101.84"/>
    <n v="212.95000000000005"/>
    <n v="87.75"/>
    <n v="-706.3"/>
    <n v="100.00999999999999"/>
  </r>
  <r>
    <x v="0"/>
    <n v="204.62"/>
    <n v="18.239999999999998"/>
    <s v="mmWG"/>
    <n v="1999.16"/>
    <n v="158.91"/>
    <s v="m³/h"/>
    <n v="2000"/>
    <n v="45.76"/>
    <n v="1.96"/>
    <s v="%"/>
    <n v="46.5"/>
    <n v="3.18"/>
    <s v="%"/>
    <n v="8499.6"/>
    <n v="171.63"/>
    <s v="m³/h"/>
    <n v="8500"/>
    <n v="-122.8"/>
    <n v="58.38"/>
    <s v="mmWG"/>
    <n v="-277.64"/>
    <n v="24.04"/>
    <s v="mmWG"/>
    <n v="-629.54999999999995"/>
    <n v="25.1"/>
    <s v="mbar"/>
    <n v="-765.45"/>
    <n v="29.75"/>
    <s v="mmWG"/>
    <n v="8.52"/>
    <n v="0.13"/>
    <s v="kg"/>
    <n v="2000"/>
    <n v="2000.05"/>
    <n v="57.4"/>
    <s v="kg"/>
    <x v="13"/>
    <s v="C*1"/>
    <n v="2008.57"/>
    <n v="8.5699999999999363"/>
    <n v="135.90000000000009"/>
    <n v="54.85"/>
    <n v="154.83999999999997"/>
    <n v="82.42"/>
    <n v="135.90000000000009"/>
    <n v="54.85"/>
    <n v="-642.65000000000009"/>
    <n v="88.13"/>
  </r>
  <r>
    <x v="1"/>
    <n v="137.6"/>
    <n v="15.66"/>
    <s v="mmWG"/>
    <n v="2001.07"/>
    <n v="111.91"/>
    <s v="m³/h"/>
    <n v="2000"/>
    <n v="45.76"/>
    <n v="2.17"/>
    <s v="%"/>
    <n v="55.77"/>
    <n v="2.62"/>
    <s v="%"/>
    <n v="10800.43"/>
    <n v="151.74"/>
    <s v="m³/h"/>
    <n v="10800"/>
    <n v="-136.07"/>
    <n v="37.15"/>
    <s v="mmWG"/>
    <n v="-172.15"/>
    <n v="49.85"/>
    <s v="mmWG"/>
    <n v="-600.27"/>
    <n v="34.72"/>
    <s v="mbar"/>
    <n v="-802.79"/>
    <n v="39.67"/>
    <s v="mmWG"/>
    <n v="8.51"/>
    <n v="0.13"/>
    <s v="kg"/>
    <n v="2100"/>
    <n v="599.94000000000005"/>
    <n v="53.19"/>
    <s v="kg"/>
    <x v="13"/>
    <s v="C*4"/>
    <n v="608.45000000000005"/>
    <n v="-1491.55"/>
    <n v="202.51999999999998"/>
    <n v="74.39"/>
    <n v="36.080000000000013"/>
    <n v="87"/>
    <n v="202.51999999999998"/>
    <n v="74.39"/>
    <n v="-666.72"/>
    <n v="76.819999999999993"/>
  </r>
  <r>
    <x v="0"/>
    <n v="133.19999999999999"/>
    <n v="16.95"/>
    <s v="mmWG"/>
    <n v="2001.3"/>
    <n v="198.71"/>
    <s v="m³/h"/>
    <n v="2000"/>
    <n v="46.7"/>
    <n v="2.0499999999999998"/>
    <s v="%"/>
    <n v="55.85"/>
    <n v="3.3"/>
    <s v="%"/>
    <n v="8498.81"/>
    <n v="171.25"/>
    <s v="m³/h"/>
    <n v="8500"/>
    <n v="-80.239999999999995"/>
    <n v="20.54"/>
    <s v="mmWG"/>
    <n v="-355.8"/>
    <n v="27.11"/>
    <s v="mmWG"/>
    <n v="-731.23"/>
    <n v="26.22"/>
    <s v="mbar"/>
    <n v="-863.5"/>
    <n v="29.91"/>
    <s v="mmWG"/>
    <n v="8.52"/>
    <n v="0.17"/>
    <s v="kg"/>
    <n v="2000"/>
    <n v="1799.85"/>
    <n v="53.14"/>
    <s v="kg"/>
    <x v="14"/>
    <s v="C*1"/>
    <n v="1808.37"/>
    <n v="-191.63000000000011"/>
    <n v="132.26999999999998"/>
    <n v="56.129999999999995"/>
    <n v="275.56"/>
    <n v="47.65"/>
    <n v="132.26999999999998"/>
    <n v="56.129999999999995"/>
    <n v="-783.26"/>
    <n v="50.45"/>
  </r>
  <r>
    <x v="5"/>
    <n v="109.69"/>
    <n v="37.770000000000003"/>
    <s v="mmWG"/>
    <n v="2000.01"/>
    <n v="263.68"/>
    <s v="m³/h"/>
    <n v="2000"/>
    <n v="47.68"/>
    <n v="2.17"/>
    <s v="%"/>
    <n v="39.369999999999997"/>
    <n v="4.71"/>
    <s v="%"/>
    <n v="6000.27"/>
    <n v="139.22999999999999"/>
    <s v="m³/h"/>
    <n v="6000"/>
    <n v="-229.05"/>
    <n v="52.16"/>
    <s v="mmWG"/>
    <n v="-436.43"/>
    <n v="28.22"/>
    <s v="mmWG"/>
    <n v="-870.35"/>
    <n v="33.78"/>
    <s v="mbar"/>
    <n v="-931.44"/>
    <n v="39.89"/>
    <s v="mmWG"/>
    <n v="1124.06"/>
    <n v="132.63"/>
    <s v="kg"/>
    <n v="1050"/>
    <n v="6.78"/>
    <n v="0.14000000000000001"/>
    <s v="kg"/>
    <x v="15"/>
    <s v="C*SPF"/>
    <n v="1130.8399999999999"/>
    <n v="80.839999999999918"/>
    <n v="61.090000000000032"/>
    <n v="73.67"/>
    <n v="207.38"/>
    <n v="80.38"/>
    <n v="61.090000000000032"/>
    <n v="73.67"/>
    <n v="-702.3900000000001"/>
    <n v="92.05"/>
  </r>
  <r>
    <x v="6"/>
    <n v="232.93"/>
    <n v="15.57"/>
    <s v="mmWG"/>
    <n v="2000.34"/>
    <n v="157.84"/>
    <s v="m³/h"/>
    <n v="2000"/>
    <n v="46.48"/>
    <n v="2.14"/>
    <s v="%"/>
    <n v="35.159999999999997"/>
    <n v="1.18"/>
    <s v="%"/>
    <n v="5999.87"/>
    <n v="149.32"/>
    <s v="m³/h"/>
    <n v="6000"/>
    <n v="-240.25"/>
    <n v="24.55"/>
    <s v="mmWG"/>
    <n v="-349.38"/>
    <n v="30.09"/>
    <s v="mmWG"/>
    <n v="-766.08"/>
    <n v="31.2"/>
    <s v="mbar"/>
    <n v="-827.6"/>
    <n v="34.880000000000003"/>
    <s v="mmWG"/>
    <n v="1049.97"/>
    <n v="23.75"/>
    <s v="kg"/>
    <n v="1050"/>
    <n v="6.64"/>
    <n v="0.13"/>
    <s v="kg"/>
    <x v="16"/>
    <s v="KB-G"/>
    <n v="1056.6100000000001"/>
    <n v="6.6100000000001273"/>
    <n v="61.519999999999982"/>
    <n v="66.08"/>
    <n v="109.13"/>
    <n v="54.64"/>
    <n v="61.519999999999982"/>
    <n v="66.08"/>
    <n v="-587.35"/>
    <n v="59.430000000000007"/>
  </r>
  <r>
    <x v="7"/>
    <n v="255.71"/>
    <n v="38.9"/>
    <s v="mmWG"/>
    <n v="2000.3"/>
    <n v="240.4"/>
    <s v="m³/h"/>
    <n v="2000"/>
    <n v="46.97"/>
    <n v="2.31"/>
    <s v="%"/>
    <n v="28.9"/>
    <n v="1.98"/>
    <s v="%"/>
    <n v="4999.6099999999997"/>
    <n v="146.74"/>
    <s v="m³/h"/>
    <n v="5000"/>
    <n v="-258.24"/>
    <n v="48.92"/>
    <s v="mmWG"/>
    <n v="-371.18"/>
    <n v="44.19"/>
    <s v="mmWG"/>
    <n v="-761.6"/>
    <n v="50.24"/>
    <s v="mbar"/>
    <n v="-801.1"/>
    <n v="54.54"/>
    <s v="mmWG"/>
    <n v="8.8000000000000007"/>
    <n v="0.14000000000000001"/>
    <s v="kg"/>
    <n v="800"/>
    <n v="799.91"/>
    <n v="88.69"/>
    <s v="kg"/>
    <x v="16"/>
    <s v="KB-WJ / CAP SUPER"/>
    <n v="808.70999999999992"/>
    <n v="8.7099999999999227"/>
    <n v="39.5"/>
    <n v="104.78"/>
    <n v="112.94"/>
    <n v="93.11"/>
    <n v="39.5"/>
    <n v="104.78"/>
    <n v="-542.86"/>
    <n v="103.46000000000001"/>
  </r>
  <r>
    <x v="7"/>
    <n v="246.92"/>
    <n v="34.17"/>
    <s v="mmWG"/>
    <n v="2000.86"/>
    <n v="211.72"/>
    <s v="m³/h"/>
    <n v="2000"/>
    <n v="46.81"/>
    <n v="2.15"/>
    <s v="%"/>
    <n v="28.28"/>
    <n v="1.36"/>
    <s v="%"/>
    <n v="4999.7299999999996"/>
    <n v="149.63999999999999"/>
    <s v="m³/h"/>
    <n v="5000"/>
    <n v="-280.02999999999997"/>
    <n v="35.83"/>
    <s v="mmWG"/>
    <n v="-378.33"/>
    <n v="44.41"/>
    <s v="mmWG"/>
    <n v="-751.14"/>
    <n v="45.22"/>
    <s v="mbar"/>
    <n v="-790.42"/>
    <n v="48.51"/>
    <s v="mmWG"/>
    <n v="799.99"/>
    <n v="22.77"/>
    <s v="kg"/>
    <n v="800"/>
    <n v="6.63"/>
    <n v="0.1"/>
    <s v="kg"/>
    <x v="17"/>
    <s v="KB-WJ / CAP SUPER"/>
    <n v="806.62"/>
    <n v="6.6200000000000045"/>
    <n v="39.279999999999973"/>
    <n v="93.72999999999999"/>
    <n v="98.300000000000011"/>
    <n v="80.239999999999995"/>
    <n v="39.279999999999973"/>
    <n v="93.72999999999999"/>
    <n v="-510.39"/>
    <n v="84.34"/>
  </r>
  <r>
    <x v="7"/>
    <n v="241.04"/>
    <n v="24.47"/>
    <s v="mmWG"/>
    <n v="1998.38"/>
    <n v="214.38"/>
    <s v="m³/h"/>
    <n v="2000"/>
    <n v="46.85"/>
    <n v="2.14"/>
    <s v="%"/>
    <n v="28.19"/>
    <n v="1.28"/>
    <s v="%"/>
    <n v="5000.05"/>
    <n v="153.69"/>
    <s v="m³/h"/>
    <n v="5000"/>
    <n v="-283.83999999999997"/>
    <n v="33.68"/>
    <s v="mmWG"/>
    <n v="-380.6"/>
    <n v="38.86"/>
    <s v="mmWG"/>
    <n v="-750.98"/>
    <n v="36.92"/>
    <s v="mbar"/>
    <n v="-790.52"/>
    <n v="41.55"/>
    <s v="mmWG"/>
    <n v="799.97"/>
    <n v="22.41"/>
    <s v="kg"/>
    <n v="800"/>
    <n v="6.63"/>
    <n v="0.11"/>
    <s v="kg"/>
    <x v="18"/>
    <s v="KB-WJ / CAP SUPER"/>
    <n v="806.6"/>
    <n v="6.6000000000000227"/>
    <n v="39.539999999999964"/>
    <n v="78.47"/>
    <n v="96.760000000000048"/>
    <n v="72.539999999999992"/>
    <n v="39.539999999999964"/>
    <n v="78.47"/>
    <n v="-506.68"/>
    <n v="75.22999999999999"/>
  </r>
  <r>
    <x v="7"/>
    <n v="222.21"/>
    <n v="31.09"/>
    <s v="mmWG"/>
    <n v="2003.1"/>
    <n v="383.56"/>
    <s v="m³/h"/>
    <n v="2000"/>
    <n v="50.9"/>
    <n v="10.15"/>
    <s v="%"/>
    <n v="27.85"/>
    <n v="1.46"/>
    <s v="%"/>
    <n v="5001.12"/>
    <n v="213"/>
    <s v="m³/h"/>
    <n v="5000"/>
    <n v="-281.02"/>
    <n v="41.09"/>
    <s v="mmWG"/>
    <n v="-394.4"/>
    <n v="59.32"/>
    <s v="mmWG"/>
    <n v="-768.31"/>
    <n v="62.96"/>
    <s v="mbar"/>
    <n v="-808.41"/>
    <n v="78.349999999999994"/>
    <s v="mmWG"/>
    <n v="8.4600000000000009"/>
    <n v="0.14000000000000001"/>
    <s v="kg"/>
    <n v="800"/>
    <n v="800.67"/>
    <n v="91.88"/>
    <s v="kg"/>
    <x v="19"/>
    <s v="KB-WJ / CAP SUPER"/>
    <n v="809.13"/>
    <n v="9.1299999999999955"/>
    <n v="40.100000000000023"/>
    <n v="141.31"/>
    <n v="113.38"/>
    <n v="100.41"/>
    <n v="40.100000000000023"/>
    <n v="141.31"/>
    <n v="-527.39"/>
    <n v="119.44"/>
  </r>
  <r>
    <x v="2"/>
    <n v="170.14"/>
    <n v="11.28"/>
    <s v="mmWG"/>
    <n v="2001.65"/>
    <n v="122.35"/>
    <s v="m³/h"/>
    <n v="2000"/>
    <n v="45.51"/>
    <n v="2.13"/>
    <s v="%"/>
    <n v="65.25"/>
    <n v="10.53"/>
    <s v="%"/>
    <n v="10799.96"/>
    <n v="247.86"/>
    <s v="m³/h"/>
    <n v="10800"/>
    <n v="-61.4"/>
    <n v="54.78"/>
    <s v="mmWG"/>
    <n v="-288.45"/>
    <n v="34.86"/>
    <s v="mmWG"/>
    <n v="-663.56"/>
    <n v="34.07"/>
    <s v="mbar"/>
    <n v="-877.31"/>
    <n v="39.18"/>
    <s v="mmWG"/>
    <n v="1760.1"/>
    <n v="22.51"/>
    <s v="kg"/>
    <n v="2200"/>
    <n v="7.06"/>
    <n v="0.1"/>
    <s v="kg"/>
    <x v="19"/>
    <s v="C*3"/>
    <n v="1767.1599999999999"/>
    <n v="-432.84000000000015"/>
    <n v="213.75"/>
    <n v="73.25"/>
    <n v="227.04999999999998"/>
    <n v="89.64"/>
    <n v="213.75"/>
    <n v="73.25"/>
    <n v="-815.91"/>
    <n v="93.960000000000008"/>
  </r>
  <r>
    <x v="8"/>
    <n v="141.82"/>
    <n v="28.97"/>
    <s v="mmWG"/>
    <n v="1999.2"/>
    <n v="108.13"/>
    <s v="m³/h"/>
    <n v="2000"/>
    <n v="41.91"/>
    <n v="4.33"/>
    <s v="%"/>
    <n v="45.24"/>
    <n v="9.5"/>
    <s v="%"/>
    <n v="8499.83"/>
    <n v="164.49"/>
    <s v="m³/h"/>
    <n v="8500"/>
    <n v="-132.5"/>
    <n v="140.54"/>
    <s v="mmWG"/>
    <n v="-297.89999999999998"/>
    <n v="151.26"/>
    <s v="mmWG"/>
    <n v="-607.67999999999995"/>
    <n v="140.54"/>
    <s v="mbar"/>
    <n v="-726.35"/>
    <n v="137.06"/>
    <s v="mmWG"/>
    <n v="8.4600000000000009"/>
    <n v="0.13"/>
    <s v="kg"/>
    <n v="1000"/>
    <n v="467.82"/>
    <n v="322.27"/>
    <s v="kg"/>
    <x v="20"/>
    <s v="MELCD/CA1PA"/>
    <n v="476.28"/>
    <n v="-523.72"/>
    <n v="118.67000000000007"/>
    <n v="277.60000000000002"/>
    <n v="165.39999999999998"/>
    <n v="291.79999999999995"/>
    <n v="118.67000000000007"/>
    <n v="277.60000000000002"/>
    <n v="-593.85"/>
    <n v="277.60000000000002"/>
  </r>
  <r>
    <x v="9"/>
    <n v="121.93"/>
    <n v="10.96"/>
    <s v="mmWG"/>
    <n v="1998.96"/>
    <n v="301.92"/>
    <s v="m³/h"/>
    <n v="2000"/>
    <n v="44.06"/>
    <n v="3.49"/>
    <s v="%"/>
    <n v="50.67"/>
    <n v="1.73"/>
    <s v="%"/>
    <n v="10799.92"/>
    <n v="216.59"/>
    <s v="m³/h"/>
    <n v="8500"/>
    <n v="-181.69"/>
    <n v="61.49"/>
    <s v="mmWG"/>
    <n v="-288.82"/>
    <n v="74.72"/>
    <s v="mmWG"/>
    <n v="-535.48"/>
    <n v="68.89"/>
    <s v="mbar"/>
    <n v="-729.05"/>
    <n v="87.01"/>
    <s v="mmWG"/>
    <n v="8.4600000000000009"/>
    <n v="0.14000000000000001"/>
    <s v="kg"/>
    <n v="1400"/>
    <n v="7.05"/>
    <n v="0.15"/>
    <s v="kg"/>
    <x v="21"/>
    <s v="LAC"/>
    <n v="15.510000000000002"/>
    <n v="-1384.49"/>
    <n v="193.56999999999994"/>
    <n v="155.9"/>
    <n v="107.13"/>
    <n v="136.21"/>
    <n v="193.56999999999994"/>
    <n v="155.9"/>
    <n v="-547.3599999999999"/>
    <n v="148.5"/>
  </r>
  <r>
    <x v="9"/>
    <n v="122.02"/>
    <n v="10.96"/>
    <s v="mmWG"/>
    <n v="1998.55"/>
    <n v="306.04000000000002"/>
    <s v="m³/h"/>
    <n v="2000"/>
    <n v="44.07"/>
    <n v="3.45"/>
    <s v="%"/>
    <n v="50.67"/>
    <n v="1.73"/>
    <s v="%"/>
    <n v="10799.84"/>
    <n v="217.56"/>
    <s v="m³/h"/>
    <n v="8500"/>
    <n v="-181.59"/>
    <n v="61.54"/>
    <s v="mmWG"/>
    <n v="-288.79000000000002"/>
    <n v="74.790000000000006"/>
    <s v="mmWG"/>
    <n v="-535.71"/>
    <n v="68.040000000000006"/>
    <s v="mbar"/>
    <n v="-729.34"/>
    <n v="86.39"/>
    <s v="mmWG"/>
    <n v="8.4600000000000009"/>
    <n v="0.14000000000000001"/>
    <s v="kg"/>
    <n v="1400"/>
    <n v="7.05"/>
    <n v="0.15"/>
    <s v="kg"/>
    <x v="22"/>
    <s v="LAC"/>
    <n v="15.510000000000002"/>
    <n v="-1384.49"/>
    <n v="193.63"/>
    <n v="154.43"/>
    <n v="107.20000000000002"/>
    <n v="136.33000000000001"/>
    <n v="193.63"/>
    <n v="154.43"/>
    <n v="-547.75"/>
    <n v="147.93"/>
  </r>
  <r>
    <x v="8"/>
    <n v="192.85"/>
    <n v="35.26"/>
    <s v="mmWG"/>
    <n v="2001.16"/>
    <n v="177.63"/>
    <s v="m³/h"/>
    <n v="2000"/>
    <n v="44.11"/>
    <n v="4.62"/>
    <s v="%"/>
    <n v="45.28"/>
    <n v="7.2"/>
    <s v="%"/>
    <n v="8499.01"/>
    <n v="180.03"/>
    <s v="m³/h"/>
    <n v="8500"/>
    <n v="-181.79"/>
    <n v="169.03"/>
    <s v="mmWG"/>
    <n v="-311.36"/>
    <n v="104.89"/>
    <s v="mmWG"/>
    <n v="-655.22"/>
    <n v="92.14"/>
    <s v="mbar"/>
    <n v="-789.27"/>
    <n v="93.09"/>
    <s v="mmWG"/>
    <n v="8.41"/>
    <n v="0.13"/>
    <s v="kg"/>
    <n v="1000"/>
    <n v="999.98"/>
    <n v="54.21"/>
    <s v="kg"/>
    <x v="23"/>
    <s v="MELCD/CA1PA"/>
    <n v="1008.39"/>
    <n v="8.3899999999999864"/>
    <n v="134.04999999999995"/>
    <n v="185.23000000000002"/>
    <n v="129.57000000000002"/>
    <n v="273.92"/>
    <n v="134.04999999999995"/>
    <n v="185.23000000000002"/>
    <n v="-607.48"/>
    <n v="262.12"/>
  </r>
  <r>
    <x v="8"/>
    <n v="194.66"/>
    <n v="27.94"/>
    <s v="mmWG"/>
    <n v="2000.91"/>
    <n v="174.64"/>
    <s v="m³/h"/>
    <n v="2000"/>
    <n v="43.8"/>
    <n v="3.94"/>
    <s v="%"/>
    <n v="45.43"/>
    <n v="6.41"/>
    <s v="%"/>
    <n v="8498.94"/>
    <n v="178.85"/>
    <s v="m³/h"/>
    <n v="8500"/>
    <n v="-173.54"/>
    <n v="147.43"/>
    <s v="mmWG"/>
    <n v="-302.52999999999997"/>
    <n v="79.150000000000006"/>
    <s v="mmWG"/>
    <n v="-647.32000000000005"/>
    <n v="68.290000000000006"/>
    <s v="mbar"/>
    <n v="-781.55"/>
    <n v="70.31"/>
    <s v="mmWG"/>
    <n v="8.41"/>
    <n v="0.13"/>
    <s v="kg"/>
    <n v="1000"/>
    <n v="999.78"/>
    <n v="55.17"/>
    <s v="kg"/>
    <x v="23"/>
    <s v="MELCD/CA1PA"/>
    <n v="1008.1899999999999"/>
    <n v="8.1899999999999409"/>
    <n v="134.2299999999999"/>
    <n v="138.60000000000002"/>
    <n v="128.98999999999998"/>
    <n v="226.58"/>
    <n v="134.2299999999999"/>
    <n v="138.60000000000002"/>
    <n v="-608.01"/>
    <n v="217.74"/>
  </r>
  <r>
    <x v="8"/>
    <n v="178.63"/>
    <n v="13"/>
    <s v="mmWG"/>
    <n v="1999.94"/>
    <n v="125.82"/>
    <s v="m³/h"/>
    <n v="2000"/>
    <n v="45.74"/>
    <n v="2.2200000000000002"/>
    <s v="%"/>
    <n v="46.44"/>
    <n v="4.63"/>
    <s v="%"/>
    <n v="8499.4500000000007"/>
    <n v="161.4"/>
    <s v="m³/h"/>
    <n v="8500"/>
    <n v="-181.09"/>
    <n v="103.75"/>
    <s v="mmWG"/>
    <n v="-341.39"/>
    <n v="55.01"/>
    <s v="mmWG"/>
    <n v="-693.89"/>
    <n v="57.28"/>
    <s v="mbar"/>
    <n v="-829.4"/>
    <n v="63.9"/>
    <s v="mmWG"/>
    <n v="8.3800000000000008"/>
    <n v="0.13"/>
    <s v="kg"/>
    <n v="1000"/>
    <n v="1000.1"/>
    <n v="51.66"/>
    <s v="kg"/>
    <x v="24"/>
    <s v="MELCD/CA1PA"/>
    <n v="1008.48"/>
    <n v="8.4800000000000182"/>
    <n v="135.51"/>
    <n v="121.18"/>
    <n v="160.29999999999998"/>
    <n v="158.76"/>
    <n v="135.51"/>
    <n v="121.18"/>
    <n v="-648.30999999999995"/>
    <n v="167.65"/>
  </r>
  <r>
    <x v="8"/>
    <n v="158.53"/>
    <n v="35.15"/>
    <s v="mmWG"/>
    <n v="1997.59"/>
    <n v="143.76"/>
    <s v="m³/h"/>
    <n v="2000"/>
    <n v="45.88"/>
    <n v="5.05"/>
    <s v="%"/>
    <n v="49.91"/>
    <n v="23.18"/>
    <s v="%"/>
    <n v="8475.69"/>
    <n v="166.19"/>
    <s v="m³/h"/>
    <n v="8500"/>
    <n v="-143.68"/>
    <n v="230.9"/>
    <s v="mmWG"/>
    <n v="-401.25"/>
    <n v="110.14"/>
    <s v="mmWG"/>
    <n v="-733.58"/>
    <n v="126.41"/>
    <s v="mbar"/>
    <n v="-859.88"/>
    <n v="131.11000000000001"/>
    <s v="mmWG"/>
    <n v="8.42"/>
    <n v="0.14000000000000001"/>
    <s v="kg"/>
    <n v="1000"/>
    <n v="989.58"/>
    <n v="139.9"/>
    <s v="kg"/>
    <x v="25"/>
    <s v="MELCD/CA1PA"/>
    <n v="998"/>
    <n v="-2"/>
    <n v="126.29999999999995"/>
    <n v="257.52"/>
    <n v="257.57"/>
    <n v="341.04"/>
    <n v="126.29999999999995"/>
    <n v="257.52"/>
    <n v="-716.2"/>
    <n v="362.01"/>
  </r>
  <r>
    <x v="8"/>
    <n v="191.32"/>
    <n v="33.33"/>
    <s v="mmWG"/>
    <n v="2002.43"/>
    <n v="173.94"/>
    <s v="m³/h"/>
    <n v="2000"/>
    <n v="44.57"/>
    <n v="4.8499999999999996"/>
    <s v="%"/>
    <n v="46.34"/>
    <n v="6.32"/>
    <s v="%"/>
    <n v="8502.19"/>
    <n v="163.27000000000001"/>
    <s v="m³/h"/>
    <n v="8500"/>
    <n v="-160"/>
    <n v="102.78"/>
    <s v="mmWG"/>
    <n v="-300.52999999999997"/>
    <n v="75.569999999999993"/>
    <s v="mmWG"/>
    <n v="-633.53"/>
    <n v="139.18"/>
    <s v="mbar"/>
    <n v="-765.89"/>
    <n v="161.78"/>
    <s v="mmWG"/>
    <n v="8.3800000000000008"/>
    <n v="0.13"/>
    <s v="kg"/>
    <n v="1000"/>
    <n v="999.43"/>
    <n v="51.29"/>
    <s v="kg"/>
    <x v="26"/>
    <s v="MELCD/CA1PA"/>
    <n v="1007.81"/>
    <n v="7.8099999999999454"/>
    <n v="132.36000000000001"/>
    <n v="300.96000000000004"/>
    <n v="140.52999999999997"/>
    <n v="178.35"/>
    <n v="132.36000000000001"/>
    <n v="300.96000000000004"/>
    <n v="-605.89"/>
    <n v="264.56"/>
  </r>
  <r>
    <x v="8"/>
    <n v="177.34"/>
    <n v="16.03"/>
    <s v="mmWG"/>
    <n v="2001.72"/>
    <n v="121.72"/>
    <s v="m³/h"/>
    <n v="2000"/>
    <n v="45.9"/>
    <n v="1.95"/>
    <s v="%"/>
    <n v="48.6"/>
    <n v="7.84"/>
    <s v="%"/>
    <n v="8499.17"/>
    <n v="148.88"/>
    <s v="m³/h"/>
    <n v="8500"/>
    <n v="-135.34"/>
    <n v="125.23"/>
    <s v="mmWG"/>
    <n v="-345.72"/>
    <n v="41.08"/>
    <s v="mmWG"/>
    <n v="-682.06"/>
    <n v="41.03"/>
    <s v="mbar"/>
    <n v="-812.96"/>
    <n v="46.49"/>
    <s v="mmWG"/>
    <n v="8.4499999999999993"/>
    <n v="0.13"/>
    <s v="kg"/>
    <n v="1000"/>
    <n v="1000.08"/>
    <n v="47.09"/>
    <s v="kg"/>
    <x v="27"/>
    <s v="MELCD/CA1PA"/>
    <n v="1008.5300000000001"/>
    <n v="8.5300000000000864"/>
    <n v="130.90000000000009"/>
    <n v="87.52000000000001"/>
    <n v="210.38000000000002"/>
    <n v="166.31"/>
    <n v="130.90000000000009"/>
    <n v="87.52000000000001"/>
    <n v="-677.62"/>
    <n v="171.72"/>
  </r>
  <r>
    <x v="8"/>
    <n v="173.12"/>
    <n v="20.38"/>
    <s v="mmWG"/>
    <n v="2000.17"/>
    <n v="167.25"/>
    <s v="m³/h"/>
    <n v="2000"/>
    <n v="45.65"/>
    <n v="2.42"/>
    <s v="%"/>
    <n v="52.34"/>
    <n v="11.3"/>
    <s v="%"/>
    <n v="8500.9500000000007"/>
    <n v="146.43"/>
    <s v="m³/h"/>
    <n v="8500"/>
    <n v="-92.92"/>
    <n v="151.61000000000001"/>
    <s v="mmWG"/>
    <n v="-358.59"/>
    <n v="62.32"/>
    <s v="mmWG"/>
    <n v="-714"/>
    <n v="54.88"/>
    <s v="mbar"/>
    <n v="-848.25"/>
    <n v="55.75"/>
    <s v="mmWG"/>
    <n v="8.48"/>
    <n v="0.13"/>
    <s v="kg"/>
    <n v="1000"/>
    <n v="1000.08"/>
    <n v="48.12"/>
    <s v="kg"/>
    <x v="28"/>
    <s v="MELCD/CA1PA"/>
    <n v="1008.5600000000001"/>
    <n v="8.5600000000000591"/>
    <n v="134.25"/>
    <n v="110.63"/>
    <n v="265.66999999999996"/>
    <n v="213.93"/>
    <n v="134.25"/>
    <n v="110.63"/>
    <n v="-755.33"/>
    <n v="207.36"/>
  </r>
  <r>
    <x v="10"/>
    <n v="154.79"/>
    <n v="13.52"/>
    <s v="mmWG"/>
    <n v="2005.4"/>
    <n v="156.96"/>
    <s v="m³/h"/>
    <n v="2000"/>
    <n v="45.74"/>
    <n v="2.83"/>
    <s v="%"/>
    <n v="52.41"/>
    <n v="12.13"/>
    <s v="%"/>
    <n v="8499.31"/>
    <n v="228.23"/>
    <s v="m³/h"/>
    <n v="8500"/>
    <n v="-140.19"/>
    <n v="164.3"/>
    <s v="mmWG"/>
    <n v="-333.43"/>
    <n v="76.64"/>
    <s v="mmWG"/>
    <n v="-772.48"/>
    <n v="51.13"/>
    <s v="mbar"/>
    <n v="-915.73"/>
    <n v="52.34"/>
    <s v="mmWG"/>
    <n v="8.52"/>
    <n v="0.13"/>
    <s v="kg"/>
    <n v="2000"/>
    <n v="1999.13"/>
    <n v="57.66"/>
    <s v="kg"/>
    <x v="29"/>
    <s v="C*1P"/>
    <n v="2007.65"/>
    <n v="7.6500000000000909"/>
    <n v="143.25"/>
    <n v="103.47"/>
    <n v="193.24"/>
    <n v="240.94"/>
    <n v="143.25"/>
    <n v="103.47"/>
    <n v="-775.54"/>
    <n v="216.64000000000001"/>
  </r>
  <r>
    <x v="8"/>
    <n v="178.97"/>
    <n v="13.64"/>
    <s v="mmWG"/>
    <n v="2000.97"/>
    <n v="131.36000000000001"/>
    <s v="m³/h"/>
    <n v="2000"/>
    <n v="46.32"/>
    <n v="1.7"/>
    <s v="%"/>
    <n v="47.14"/>
    <n v="2.2400000000000002"/>
    <s v="%"/>
    <n v="8498.65"/>
    <n v="136.35"/>
    <s v="m³/h"/>
    <n v="8500"/>
    <n v="-156.56"/>
    <n v="31.44"/>
    <s v="mmWG"/>
    <n v="-359.06"/>
    <n v="25.38"/>
    <s v="mmWG"/>
    <n v="-690.26"/>
    <n v="29.23"/>
    <s v="mbar"/>
    <n v="-819.65"/>
    <n v="37.82"/>
    <s v="mmWG"/>
    <n v="8.42"/>
    <n v="0.13"/>
    <s v="kg"/>
    <n v="1000"/>
    <n v="1000.2"/>
    <n v="46.8"/>
    <s v="kg"/>
    <x v="30"/>
    <s v="MELCD/CA1PA"/>
    <n v="1008.62"/>
    <n v="8.6200000000000045"/>
    <n v="129.38999999999999"/>
    <n v="67.05"/>
    <n v="202.5"/>
    <n v="56.82"/>
    <n v="129.38999999999999"/>
    <n v="67.05"/>
    <n v="-663.08999999999992"/>
    <n v="69.260000000000005"/>
  </r>
  <r>
    <x v="9"/>
    <n v="117.8"/>
    <n v="16.53"/>
    <s v="mmWG"/>
    <n v="2000.27"/>
    <n v="144.51"/>
    <s v="m³/h"/>
    <n v="2000"/>
    <n v="43.48"/>
    <n v="3.8"/>
    <s v="%"/>
    <n v="51.28"/>
    <n v="2.31"/>
    <s v="%"/>
    <n v="10799.11"/>
    <n v="183.91"/>
    <s v="m³/h"/>
    <n v="8500"/>
    <n v="-174.8"/>
    <n v="59.63"/>
    <s v="mmWG"/>
    <n v="-288.12"/>
    <n v="68.06"/>
    <s v="mmWG"/>
    <n v="-535.77"/>
    <n v="72.569999999999993"/>
    <s v="mbar"/>
    <n v="-734.09"/>
    <n v="84.33"/>
    <s v="mmWG"/>
    <n v="8.4499999999999993"/>
    <n v="0.18"/>
    <s v="kg"/>
    <n v="1400"/>
    <n v="6.62"/>
    <n v="0.36"/>
    <s v="kg"/>
    <x v="31"/>
    <s v="LAC"/>
    <n v="15.07"/>
    <n v="-1384.93"/>
    <n v="198.32000000000005"/>
    <n v="156.89999999999998"/>
    <n v="113.32"/>
    <n v="127.69"/>
    <n v="198.32000000000005"/>
    <n v="156.89999999999998"/>
    <n v="-559.29"/>
    <n v="143.96"/>
  </r>
  <r>
    <x v="9"/>
    <n v="120.26"/>
    <n v="18.52"/>
    <s v="mmWG"/>
    <n v="2005.2"/>
    <n v="297.8"/>
    <s v="m³/h"/>
    <n v="2000"/>
    <n v="43.21"/>
    <n v="5.7"/>
    <s v="%"/>
    <n v="51.23"/>
    <n v="3.08"/>
    <s v="%"/>
    <n v="10801.19"/>
    <n v="197.55"/>
    <s v="m³/h"/>
    <n v="8500"/>
    <n v="-142.04"/>
    <n v="89.41"/>
    <s v="mmWG"/>
    <n v="-263.62"/>
    <n v="115.78"/>
    <s v="mmWG"/>
    <n v="-515.55999999999995"/>
    <n v="89.19"/>
    <s v="mbar"/>
    <n v="-711.05"/>
    <n v="114.35"/>
    <s v="mmWG"/>
    <n v="8.4499999999999993"/>
    <n v="0.14000000000000001"/>
    <s v="kg"/>
    <n v="1400"/>
    <n v="6.84"/>
    <n v="0.1"/>
    <s v="kg"/>
    <x v="32"/>
    <s v="LAC"/>
    <n v="15.29"/>
    <n v="-1384.71"/>
    <n v="195.49"/>
    <n v="203.54"/>
    <n v="121.58000000000001"/>
    <n v="205.19"/>
    <n v="195.49"/>
    <n v="203.54"/>
    <n v="-569.01"/>
    <n v="203.76"/>
  </r>
  <r>
    <x v="7"/>
    <n v="178.07"/>
    <n v="28.06"/>
    <s v="mmWG"/>
    <n v="1994.72"/>
    <n v="425.98"/>
    <s v="m³/h"/>
    <n v="2000"/>
    <n v="48.37"/>
    <n v="8.85"/>
    <s v="%"/>
    <n v="29.58"/>
    <n v="2.65"/>
    <s v="%"/>
    <n v="4998.95"/>
    <n v="177.39"/>
    <s v="m³/h"/>
    <n v="5000"/>
    <n v="-272.11"/>
    <n v="145.28"/>
    <s v="mmWG"/>
    <n v="-451.65"/>
    <n v="129.65"/>
    <s v="mmWG"/>
    <n v="-842.01"/>
    <n v="108.36"/>
    <s v="mbar"/>
    <n v="-880.04"/>
    <n v="118.93"/>
    <s v="mmWG"/>
    <n v="8.4499999999999993"/>
    <n v="0.13"/>
    <s v="kg"/>
    <n v="800"/>
    <n v="700.51"/>
    <n v="62.22"/>
    <s v="kg"/>
    <x v="32"/>
    <s v="KB-WJ / CAP SUPER"/>
    <n v="708.96"/>
    <n v="-91.039999999999964"/>
    <n v="38.029999999999973"/>
    <n v="227.29000000000002"/>
    <n v="179.53999999999996"/>
    <n v="274.93"/>
    <n v="38.029999999999973"/>
    <n v="227.29000000000002"/>
    <n v="-607.92999999999995"/>
    <n v="264.21000000000004"/>
  </r>
  <r>
    <x v="7"/>
    <n v="189.29"/>
    <n v="14.72"/>
    <s v="mmWG"/>
    <n v="2000.36"/>
    <n v="331.91"/>
    <s v="m³/h"/>
    <n v="2000"/>
    <n v="48.12"/>
    <n v="2.86"/>
    <s v="%"/>
    <n v="29.62"/>
    <n v="1.1499999999999999"/>
    <s v="%"/>
    <n v="4998.7"/>
    <n v="157.91"/>
    <s v="m³/h"/>
    <n v="5000"/>
    <n v="-289.54000000000002"/>
    <n v="28.99"/>
    <s v="mmWG"/>
    <n v="-456.64"/>
    <n v="44.7"/>
    <s v="mmWG"/>
    <n v="-844.89"/>
    <n v="39.97"/>
    <s v="mbar"/>
    <n v="-884.35"/>
    <n v="49.98"/>
    <s v="mmWG"/>
    <n v="8.4700000000000006"/>
    <n v="0.14000000000000001"/>
    <s v="kg"/>
    <n v="800"/>
    <n v="793.67"/>
    <n v="101.88"/>
    <s v="kg"/>
    <x v="32"/>
    <s v="KB-WJ / CAP SUPER"/>
    <n v="802.14"/>
    <n v="2.1399999999999864"/>
    <n v="39.460000000000036"/>
    <n v="89.949999999999989"/>
    <n v="167.09999999999997"/>
    <n v="73.69"/>
    <n v="39.460000000000036"/>
    <n v="89.949999999999989"/>
    <n v="-594.80999999999995"/>
    <n v="78.97"/>
  </r>
  <r>
    <x v="5"/>
    <n v="176.27"/>
    <n v="27.49"/>
    <s v="mmWG"/>
    <n v="1999.96"/>
    <n v="104.98"/>
    <s v="m³/h"/>
    <n v="2000"/>
    <n v="60.58"/>
    <n v="24.35"/>
    <s v="%"/>
    <n v="39.04"/>
    <n v="4"/>
    <s v="%"/>
    <n v="6000.06"/>
    <n v="143.6"/>
    <s v="m³/h"/>
    <n v="6000"/>
    <n v="-295.57"/>
    <n v="51.37"/>
    <s v="mmWG"/>
    <n v="-549.5"/>
    <n v="98.01"/>
    <s v="mmWG"/>
    <n v="-980.26"/>
    <n v="115.02"/>
    <s v="mbar"/>
    <n v="-1048.99"/>
    <n v="136.01"/>
    <s v="mmWG"/>
    <n v="1050.24"/>
    <n v="24.7"/>
    <s v="kg"/>
    <n v="1050"/>
    <n v="6.86"/>
    <n v="0.1"/>
    <s v="kg"/>
    <x v="33"/>
    <s v="C*SPF"/>
    <n v="1057.0999999999999"/>
    <n v="7.0999999999999091"/>
    <n v="68.730000000000018"/>
    <n v="251.02999999999997"/>
    <n v="253.93"/>
    <n v="149.38"/>
    <n v="68.730000000000018"/>
    <n v="251.02999999999997"/>
    <n v="-753.42000000000007"/>
    <n v="187.38"/>
  </r>
  <r>
    <x v="0"/>
    <n v="195.75"/>
    <n v="18.14"/>
    <s v="mmWG"/>
    <n v="1999.52"/>
    <n v="201.14"/>
    <s v="m³/h"/>
    <n v="2000"/>
    <n v="45.64"/>
    <n v="2.11"/>
    <s v="%"/>
    <n v="46.05"/>
    <n v="2.2000000000000002"/>
    <s v="%"/>
    <n v="8500.6299999999992"/>
    <n v="172.55"/>
    <s v="m³/h"/>
    <n v="8500"/>
    <n v="-160.13999999999999"/>
    <n v="40.47"/>
    <s v="mmWG"/>
    <n v="-345"/>
    <n v="27.94"/>
    <s v="mmWG"/>
    <n v="-686.8"/>
    <n v="24.45"/>
    <s v="mbar"/>
    <n v="-820.45"/>
    <n v="29.24"/>
    <s v="mmWG"/>
    <n v="8.49"/>
    <n v="0.14000000000000001"/>
    <s v="kg"/>
    <n v="2000"/>
    <n v="1663.08"/>
    <n v="154.65"/>
    <s v="kg"/>
    <x v="33"/>
    <s v="C*1"/>
    <n v="1671.57"/>
    <n v="-328.43000000000006"/>
    <n v="133.65000000000009"/>
    <n v="53.69"/>
    <n v="184.86"/>
    <n v="68.41"/>
    <n v="133.65000000000009"/>
    <n v="53.69"/>
    <n v="-660.31000000000006"/>
    <n v="69.709999999999994"/>
  </r>
  <r>
    <x v="6"/>
    <n v="161.85"/>
    <n v="38.58"/>
    <s v="mmWG"/>
    <n v="1999.36"/>
    <n v="155.86000000000001"/>
    <s v="m³/h"/>
    <n v="2000"/>
    <n v="49.8"/>
    <n v="12.9"/>
    <s v="%"/>
    <n v="35.54"/>
    <n v="1.97"/>
    <s v="%"/>
    <n v="5999.56"/>
    <n v="146.22999999999999"/>
    <s v="m³/h"/>
    <n v="6000"/>
    <n v="-324.56"/>
    <n v="118.18"/>
    <s v="mmWG"/>
    <n v="-488.79"/>
    <n v="131.91"/>
    <s v="mmWG"/>
    <n v="-911.93"/>
    <n v="121.42"/>
    <s v="mbar"/>
    <n v="-973.95"/>
    <n v="122.29"/>
    <s v="mmWG"/>
    <n v="1049.8800000000001"/>
    <n v="24.65"/>
    <s v="kg"/>
    <n v="1050"/>
    <n v="6.86"/>
    <n v="0.1"/>
    <s v="kg"/>
    <x v="33"/>
    <s v="KB-G"/>
    <n v="1056.74"/>
    <n v="6.7400000000000091"/>
    <n v="62.020000000000095"/>
    <n v="243.71"/>
    <n v="164.23000000000002"/>
    <n v="250.09"/>
    <n v="62.020000000000095"/>
    <n v="243.71"/>
    <n v="-649.3900000000001"/>
    <n v="240.47000000000003"/>
  </r>
  <r>
    <x v="0"/>
    <n v="184.66"/>
    <n v="24.99"/>
    <s v="mmWG"/>
    <n v="2001.72"/>
    <n v="202.43"/>
    <s v="m³/h"/>
    <n v="2000"/>
    <n v="45.79"/>
    <n v="2.85"/>
    <s v="%"/>
    <n v="52.01"/>
    <n v="10.37"/>
    <s v="%"/>
    <n v="8502.39"/>
    <n v="167.34"/>
    <s v="m³/h"/>
    <n v="8500"/>
    <n v="-94.05"/>
    <n v="52.57"/>
    <s v="mmWG"/>
    <n v="-356.68"/>
    <n v="39.22"/>
    <s v="mmWG"/>
    <n v="-711.69"/>
    <n v="88.56"/>
    <s v="mbar"/>
    <n v="-842.67"/>
    <n v="92.3"/>
    <s v="mmWG"/>
    <n v="8.6199999999999992"/>
    <n v="0.13"/>
    <s v="kg"/>
    <n v="2000"/>
    <n v="1605.94"/>
    <n v="420.05"/>
    <s v="kg"/>
    <x v="34"/>
    <s v="C*1"/>
    <n v="1614.56"/>
    <n v="-385.44000000000005"/>
    <n v="130.9799999999999"/>
    <n v="180.86"/>
    <n v="262.63"/>
    <n v="91.789999999999992"/>
    <n v="130.9799999999999"/>
    <n v="180.86"/>
    <n v="-748.62"/>
    <n v="144.87"/>
  </r>
  <r>
    <x v="3"/>
    <n v="175.2"/>
    <n v="14.04"/>
    <s v="mmWG"/>
    <n v="1999.99"/>
    <n v="118.49"/>
    <s v="m³/h"/>
    <n v="2000"/>
    <n v="46.08"/>
    <n v="1.85"/>
    <s v="%"/>
    <n v="49.13"/>
    <n v="1.81"/>
    <s v="%"/>
    <n v="10000.200000000001"/>
    <n v="156.22999999999999"/>
    <s v="m³/h"/>
    <n v="10800"/>
    <n v="-204.17"/>
    <n v="30.35"/>
    <s v="mmWG"/>
    <n v="-342.53"/>
    <n v="35.5"/>
    <s v="mmWG"/>
    <n v="-675.05"/>
    <n v="30.92"/>
    <s v="mbar"/>
    <n v="-850.49"/>
    <n v="33.630000000000003"/>
    <s v="mmWG"/>
    <n v="1199.95"/>
    <n v="22.06"/>
    <s v="kg"/>
    <n v="2200"/>
    <n v="6.76"/>
    <n v="0.11"/>
    <s v="kg"/>
    <x v="34"/>
    <s v="C*3"/>
    <n v="1206.71"/>
    <n v="-993.29"/>
    <n v="175.44000000000005"/>
    <n v="64.550000000000011"/>
    <n v="138.35999999999999"/>
    <n v="65.849999999999994"/>
    <n v="175.44000000000005"/>
    <n v="64.550000000000011"/>
    <n v="-646.32000000000005"/>
    <n v="63.980000000000004"/>
  </r>
  <r>
    <x v="0"/>
    <n v="186.49"/>
    <n v="20.98"/>
    <s v="mmWG"/>
    <n v="1999.65"/>
    <n v="136.44999999999999"/>
    <s v="m³/h"/>
    <n v="2000"/>
    <n v="44.91"/>
    <n v="2.79"/>
    <s v="%"/>
    <n v="46.41"/>
    <n v="1.97"/>
    <s v="%"/>
    <n v="8500.93"/>
    <n v="172.67"/>
    <s v="m³/h"/>
    <n v="8500"/>
    <n v="-145.84"/>
    <n v="43.88"/>
    <s v="mmWG"/>
    <n v="-338.87"/>
    <n v="47.59"/>
    <s v="mmWG"/>
    <n v="-685.92"/>
    <n v="45.42"/>
    <s v="mbar"/>
    <n v="-821.08"/>
    <n v="48.01"/>
    <s v="mmWG"/>
    <n v="8.5399999999999991"/>
    <n v="0.14000000000000001"/>
    <s v="kg"/>
    <n v="2000"/>
    <n v="1799.65"/>
    <n v="53.07"/>
    <s v="kg"/>
    <x v="35"/>
    <s v="C*1"/>
    <n v="1808.19"/>
    <n v="-191.80999999999995"/>
    <n v="135.16000000000008"/>
    <n v="93.43"/>
    <n v="193.03"/>
    <n v="91.47"/>
    <n v="135.16000000000008"/>
    <n v="93.43"/>
    <n v="-675.24"/>
    <n v="91.89"/>
  </r>
  <r>
    <x v="0"/>
    <n v="184.22"/>
    <n v="16.07"/>
    <s v="mmWG"/>
    <n v="2000.64"/>
    <n v="142.44999999999999"/>
    <s v="m³/h"/>
    <n v="2000"/>
    <n v="45.96"/>
    <n v="2.06"/>
    <s v="%"/>
    <n v="46.25"/>
    <n v="5.22"/>
    <s v="%"/>
    <n v="8499.7099999999991"/>
    <n v="160.69"/>
    <s v="m³/h"/>
    <n v="8500"/>
    <n v="-158.25"/>
    <n v="56.58"/>
    <s v="mmWG"/>
    <n v="-363.21"/>
    <n v="37.46"/>
    <s v="mmWG"/>
    <n v="-705.36"/>
    <n v="50.13"/>
    <s v="mbar"/>
    <n v="-837.94"/>
    <n v="51.88"/>
    <s v="mmWG"/>
    <n v="8.82"/>
    <n v="0.13"/>
    <s v="kg"/>
    <n v="2000"/>
    <n v="1700.16"/>
    <n v="57.23"/>
    <s v="kg"/>
    <x v="36"/>
    <s v="C*1"/>
    <n v="1708.98"/>
    <n v="-291.02"/>
    <n v="132.58000000000004"/>
    <n v="102.01"/>
    <n v="204.95999999999998"/>
    <n v="94.039999999999992"/>
    <n v="132.58000000000004"/>
    <n v="102.01"/>
    <n v="-679.69"/>
    <n v="108.46000000000001"/>
  </r>
  <r>
    <x v="0"/>
    <n v="161.69"/>
    <n v="19.7"/>
    <s v="mmWG"/>
    <n v="2000.6"/>
    <n v="154.47"/>
    <s v="m³/h"/>
    <n v="2000"/>
    <n v="46.23"/>
    <n v="2.06"/>
    <s v="%"/>
    <n v="52.16"/>
    <n v="9.34"/>
    <s v="%"/>
    <n v="8500.25"/>
    <n v="169.53"/>
    <s v="m³/h"/>
    <n v="8500"/>
    <n v="-131.72"/>
    <n v="91.22"/>
    <s v="mmWG"/>
    <n v="-377.8"/>
    <n v="35.29"/>
    <s v="mmWG"/>
    <n v="-748.77"/>
    <n v="64.66"/>
    <s v="mbar"/>
    <n v="-881.69"/>
    <n v="66.489999999999995"/>
    <s v="mmWG"/>
    <n v="1800.14"/>
    <n v="24.4"/>
    <s v="kg"/>
    <n v="2000"/>
    <n v="7.12"/>
    <n v="0.1"/>
    <s v="kg"/>
    <x v="36"/>
    <s v="C*1"/>
    <n v="1807.26"/>
    <n v="-192.74"/>
    <n v="132.92000000000007"/>
    <n v="131.14999999999998"/>
    <n v="246.08"/>
    <n v="126.50999999999999"/>
    <n v="132.92000000000007"/>
    <n v="131.14999999999998"/>
    <n v="-749.97"/>
    <n v="157.70999999999998"/>
  </r>
  <r>
    <x v="3"/>
    <n v="170.11"/>
    <n v="16.25"/>
    <s v="mmWG"/>
    <n v="1998.58"/>
    <n v="133.31"/>
    <s v="m³/h"/>
    <n v="2000"/>
    <n v="46.21"/>
    <n v="1.95"/>
    <s v="%"/>
    <n v="48.86"/>
    <n v="1.38"/>
    <s v="%"/>
    <n v="9999.5"/>
    <n v="148.62"/>
    <s v="m³/h"/>
    <n v="10800"/>
    <n v="-247.4"/>
    <n v="32.22"/>
    <s v="mmWG"/>
    <n v="-346.38"/>
    <n v="35.61"/>
    <s v="mmWG"/>
    <n v="-680.52"/>
    <n v="33.340000000000003"/>
    <s v="mbar"/>
    <n v="-857.58"/>
    <n v="37.54"/>
    <s v="mmWG"/>
    <n v="1200.06"/>
    <n v="21.59"/>
    <s v="kg"/>
    <n v="2200"/>
    <n v="6.99"/>
    <n v="0.16"/>
    <s v="kg"/>
    <x v="37"/>
    <s v="C*3"/>
    <n v="1207.05"/>
    <n v="-992.95"/>
    <n v="177.06000000000006"/>
    <n v="70.88"/>
    <n v="98.97999999999999"/>
    <n v="67.83"/>
    <n v="177.06000000000006"/>
    <n v="70.88"/>
    <n v="-610.18000000000006"/>
    <n v="69.759999999999991"/>
  </r>
  <r>
    <x v="0"/>
    <n v="107.88"/>
    <n v="26.53"/>
    <s v="mmWG"/>
    <n v="1883.93"/>
    <n v="403.87"/>
    <s v="m³/h"/>
    <n v="2000"/>
    <n v="81.53"/>
    <n v="13.51"/>
    <s v="%"/>
    <n v="50.25"/>
    <n v="11.62"/>
    <s v="%"/>
    <n v="8499.42"/>
    <n v="165.43"/>
    <s v="m³/h"/>
    <n v="8500"/>
    <n v="-77.69"/>
    <n v="145.99"/>
    <s v="mmWG"/>
    <n v="-284.02999999999997"/>
    <n v="25.65"/>
    <s v="mmWG"/>
    <n v="-645.95000000000005"/>
    <n v="43.38"/>
    <s v="mbar"/>
    <n v="-780.43"/>
    <n v="48.03"/>
    <s v="mmWG"/>
    <n v="110.19"/>
    <n v="421.93"/>
    <s v="kg"/>
    <n v="2000"/>
    <n v="1700.28"/>
    <n v="427.84"/>
    <s v="kg"/>
    <x v="37"/>
    <s v="C*1"/>
    <n v="1810.47"/>
    <n v="-189.52999999999997"/>
    <n v="134.4799999999999"/>
    <n v="91.41"/>
    <n v="206.33999999999997"/>
    <n v="171.64000000000001"/>
    <n v="134.4799999999999"/>
    <n v="91.41"/>
    <n v="-702.74"/>
    <n v="194.02"/>
  </r>
  <r>
    <x v="0"/>
    <n v="166.06"/>
    <n v="22.23"/>
    <s v="mmWG"/>
    <n v="2000.04"/>
    <n v="151.13999999999999"/>
    <s v="m³/h"/>
    <n v="2000"/>
    <n v="45.13"/>
    <n v="2.96"/>
    <s v="%"/>
    <n v="52.8"/>
    <n v="13.09"/>
    <s v="%"/>
    <n v="8499.4699999999993"/>
    <n v="172.64"/>
    <s v="m³/h"/>
    <n v="8500"/>
    <n v="-116.6"/>
    <n v="155.18"/>
    <s v="mmWG"/>
    <n v="-350.41"/>
    <n v="69.05"/>
    <s v="mmWG"/>
    <n v="-720.25"/>
    <n v="99.89"/>
    <s v="mbar"/>
    <n v="-854.48"/>
    <n v="98.74"/>
    <s v="mmWG"/>
    <n v="8.7899999999999991"/>
    <n v="0.14000000000000001"/>
    <s v="kg"/>
    <n v="2000"/>
    <n v="1755.46"/>
    <n v="285.62"/>
    <s v="kg"/>
    <x v="38"/>
    <s v="C*1"/>
    <n v="1764.25"/>
    <n v="-235.75"/>
    <n v="134.23000000000002"/>
    <n v="198.63"/>
    <n v="233.81000000000003"/>
    <n v="224.23000000000002"/>
    <n v="134.23000000000002"/>
    <n v="198.63"/>
    <n v="-737.88"/>
    <n v="253.92000000000002"/>
  </r>
  <r>
    <x v="1"/>
    <n v="158.09"/>
    <n v="11.28"/>
    <s v="mmWG"/>
    <n v="2001.48"/>
    <n v="201.41"/>
    <s v="m³/h"/>
    <n v="2000"/>
    <n v="46.7"/>
    <n v="2.2799999999999998"/>
    <s v="%"/>
    <n v="57.55"/>
    <n v="2.78"/>
    <s v="%"/>
    <n v="10796.84"/>
    <n v="145.97"/>
    <s v="m³/h"/>
    <n v="10800"/>
    <n v="-169.72"/>
    <n v="48.27"/>
    <s v="mmWG"/>
    <n v="-301.89999999999998"/>
    <n v="28.05"/>
    <s v="mmWG"/>
    <n v="-674.15"/>
    <n v="25.04"/>
    <s v="mbar"/>
    <n v="-885.49"/>
    <n v="25.63"/>
    <s v="mmWG"/>
    <n v="1153.1099999999999"/>
    <n v="69.84"/>
    <s v="kg"/>
    <n v="2100"/>
    <n v="6.62"/>
    <n v="0.09"/>
    <s v="kg"/>
    <x v="38"/>
    <s v="C*4"/>
    <n v="1159.7299999999998"/>
    <n v="-940.27000000000021"/>
    <n v="211.34000000000003"/>
    <n v="50.67"/>
    <n v="132.17999999999998"/>
    <n v="76.320000000000007"/>
    <n v="211.34000000000003"/>
    <n v="50.67"/>
    <n v="-715.77"/>
    <n v="73.900000000000006"/>
  </r>
  <r>
    <x v="0"/>
    <n v="164.81"/>
    <n v="15.32"/>
    <s v="mmWG"/>
    <n v="1999.03"/>
    <n v="202.5"/>
    <s v="m³/h"/>
    <n v="2000"/>
    <n v="46.15"/>
    <n v="2.67"/>
    <s v="%"/>
    <n v="55.44"/>
    <n v="3.33"/>
    <s v="%"/>
    <n v="8498.98"/>
    <n v="174.53"/>
    <s v="m³/h"/>
    <n v="8500"/>
    <n v="-100.32"/>
    <n v="40.130000000000003"/>
    <s v="mmWG"/>
    <n v="-366.01"/>
    <n v="38.93"/>
    <s v="mmWG"/>
    <n v="-752.37"/>
    <n v="27.83"/>
    <s v="mbar"/>
    <n v="-886.62"/>
    <n v="30.35"/>
    <s v="mmWG"/>
    <n v="1800.79"/>
    <n v="24.66"/>
    <s v="kg"/>
    <n v="2000"/>
    <n v="6.62"/>
    <n v="0.12"/>
    <s v="kg"/>
    <x v="38"/>
    <s v="C*1"/>
    <n v="1807.4099999999999"/>
    <n v="-192.59000000000015"/>
    <n v="134.25"/>
    <n v="58.18"/>
    <n v="265.69"/>
    <n v="79.06"/>
    <n v="134.25"/>
    <n v="58.18"/>
    <n v="-786.3"/>
    <n v="70.48"/>
  </r>
  <r>
    <x v="5"/>
    <n v="149.88"/>
    <n v="17.260000000000002"/>
    <s v="mmWG"/>
    <n v="2000.52"/>
    <n v="107.21"/>
    <s v="m³/h"/>
    <n v="2000"/>
    <n v="56.46"/>
    <n v="7.28"/>
    <s v="%"/>
    <n v="40.47"/>
    <n v="5.26"/>
    <s v="%"/>
    <n v="5998.88"/>
    <n v="136.11000000000001"/>
    <s v="m³/h"/>
    <n v="6000"/>
    <n v="-321.76"/>
    <n v="58.28"/>
    <s v="mmWG"/>
    <n v="-548.66999999999996"/>
    <n v="46.98"/>
    <s v="mmWG"/>
    <n v="-975.47"/>
    <n v="55.73"/>
    <s v="mbar"/>
    <n v="-1038.22"/>
    <n v="58.95"/>
    <s v="mmWG"/>
    <n v="8.84"/>
    <n v="0.14000000000000001"/>
    <s v="kg"/>
    <n v="1050"/>
    <n v="1049.82"/>
    <n v="52.17"/>
    <s v="kg"/>
    <x v="39"/>
    <s v="C*SPF"/>
    <n v="1058.6599999999999"/>
    <n v="8.6599999999998545"/>
    <n v="62.75"/>
    <n v="114.68"/>
    <n v="226.90999999999997"/>
    <n v="105.25999999999999"/>
    <n v="62.75"/>
    <n v="114.68"/>
    <n v="-716.46"/>
    <n v="117.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C6D160-21FA-4C3D-A0AD-806B2A33F294}"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P5:AQ46" firstHeaderRow="1"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pageFields count="1">
    <pageField fld="0" hier="-1"/>
  </pageFields>
  <dataFields count="1">
    <dataField name="Average of Deviation from feed" fld="40" subtotal="average" baseField="37" baseItem="0"/>
  </dataFields>
  <chartFormats count="2">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B7CBC7-AAF3-4851-BAFB-05C093A1A40C}"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L5:AN46" firstHeaderRow="0"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Average of Fan dP" fld="47" subtotal="average" baseField="37" baseItem="0"/>
    <dataField name="Average of Fan dP tol" fld="48" subtotal="average" baseField="37" baseItem="0"/>
  </dataFields>
  <chartFormats count="4">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50" format="4"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8E15A4-8647-4A34-AEC6-E8329769F32A}"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H5:AJ46" firstHeaderRow="0"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Average of Cyclone dP" fld="41" subtotal="average" baseField="0" baseItem="19"/>
    <dataField name="Average of Cyclon dP tol" fld="42" subtotal="average" baseField="0" baseItem="19"/>
  </dataFields>
  <chartFormats count="4">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BE3A9B-DCB2-44B3-9DAF-579FB8DECED0}"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D5:AF46" firstHeaderRow="0"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Sum of Classifier dP" fld="45" baseField="0" baseItem="0"/>
    <dataField name="Sum of Classifier dP tol" fld="46" baseField="0" baseItem="0"/>
  </dataFields>
  <chartFormats count="4">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E68A5B-1914-43EA-970A-F1875A9B8EBF}"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Z5:AB46" firstHeaderRow="0"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Average of Mill dP" fld="43" subtotal="average" baseField="37" baseItem="0"/>
    <dataField name="Average of Mill dP tol" fld="44" subtotal="average" baseField="37" baseItem="0"/>
  </dataFields>
  <chartFormats count="4">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1" format="6"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CBFB80-05C0-4571-8437-9A41F72B2CAF}"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V5:X46" firstHeaderRow="0"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Average of F52_OP mean" fld="11" subtotal="average" baseField="37" baseItem="0"/>
    <dataField name="Average of F52_OP tol" fld="12" subtotal="average" baseField="37" baseItem="0"/>
  </dataFields>
  <chartFormats count="2">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C8CEA4-BF92-40B2-A090-B68346544E93}"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R5:T46" firstHeaderRow="0"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Average of F52 mean" fld="14" subtotal="average" baseField="37" baseItem="0"/>
    <dataField name="Average of F52 tol" fld="15" subtotal="average" baseField="37" baseItem="0"/>
  </dataFields>
  <chartFormats count="2">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7FC826-B187-4534-BF8D-99415C5BD2FA}"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5:P46" firstHeaderRow="0"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Average of F51 mean" fld="4" subtotal="average" baseField="37" baseItem="0"/>
    <dataField name="Average of F51 tol" fld="5" subtotal="average" baseField="37" baseItem="0"/>
  </dataField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4D804B-860A-41CB-A4A1-0E325CC2F138}"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5:L46" firstHeaderRow="0"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Average of F51_OP mean" fld="8" subtotal="average" baseField="37" baseItem="0"/>
    <dataField name="Average of F51_OP tol" fld="9" subtotal="average" baseField="37" baseItem="0"/>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99409F-D0CE-48D4-B42F-9AE7EAD705DC}"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5:H46" firstHeaderRow="0" firstDataRow="1" firstDataCol="1" rowPageCount="1" colPageCount="1"/>
  <pivotFields count="49">
    <pivotField axis="axisPage" showAll="0">
      <items count="12">
        <item x="0"/>
        <item x="4"/>
        <item x="9"/>
        <item x="5"/>
        <item x="2"/>
        <item x="3"/>
        <item x="1"/>
        <item x="7"/>
        <item x="6"/>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Sum of P51 mean" fld="18" baseField="0" baseItem="0"/>
    <dataField name="Sum of P51 tol" fld="19"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B38F08-2652-4B68-8FCD-E18623D47D59}"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5:D46" firstHeaderRow="0" firstDataRow="1" firstDataCol="1" rowPageCount="1" colPageCount="1"/>
  <pivotFields count="49">
    <pivotField axis="axisPage" showAll="0">
      <items count="12">
        <item x="0"/>
        <item x="4"/>
        <item x="9"/>
        <item x="5"/>
        <item x="2"/>
        <item x="3"/>
        <item x="1"/>
        <item x="7"/>
        <item x="6"/>
        <item x="8"/>
        <item x="1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1">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7"/>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0" hier="-1"/>
  </pageFields>
  <dataFields count="2">
    <dataField name="Average of F502 mean" fld="1" subtotal="average" baseField="0" baseItem="0"/>
    <dataField name="Average of F502 tol" fld="2" subtotal="average" baseField="37" baseItem="1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ipe" xr10:uid="{1FF75BDB-DAF8-4DBC-8C02-8EF399D86AFC}" sourceName="reci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812670170">
      <items count="11">
        <i x="10" s="1"/>
        <i x="0" s="1"/>
        <i x="4" s="1"/>
        <i x="9" s="1"/>
        <i x="5" s="1"/>
        <i x="2" s="1"/>
        <i x="3" s="1"/>
        <i x="1" s="1"/>
        <i x="7"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ipe" xr10:uid="{D4B21153-9F20-4A91-B873-179F0187E6CD}" cache="Slicer_recipe" caption="reci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A6779-B604-4622-AE45-86E77624F44A}" name="Table1" displayName="Table1" ref="A1:AW57" totalsRowShown="0">
  <autoFilter ref="A1:AW57" xr:uid="{107A6779-B604-4622-AE45-86E77624F44A}"/>
  <sortState xmlns:xlrd2="http://schemas.microsoft.com/office/spreadsheetml/2017/richdata2" ref="A2:AO57">
    <sortCondition descending="1" ref="AL1:AL57"/>
  </sortState>
  <tableColumns count="49">
    <tableColumn id="1" xr3:uid="{A240D8EF-8068-49EB-910C-1ECCAA8436EE}" name="recipe"/>
    <tableColumn id="2" xr3:uid="{2F03DDE8-939D-49C2-8DD6-A548D8397EE5}" name="F502 mean"/>
    <tableColumn id="3" xr3:uid="{360B859B-4FAD-4DBB-BDDA-F97F04347BFC}" name="F502 tol"/>
    <tableColumn id="4" xr3:uid="{37174CED-8A07-464B-AF5F-E9B9F20BFCA9}" name="F502 units"/>
    <tableColumn id="5" xr3:uid="{0CB11C36-3DBC-4FFF-A9D0-C1F485FF2282}" name="F51 mean"/>
    <tableColumn id="6" xr3:uid="{C9E15305-E44A-43FD-A070-6EF49417F596}" name="F51 tol"/>
    <tableColumn id="7" xr3:uid="{A9A2EC82-61B8-48A6-B61B-87BE12EDB10D}" name="F51 units"/>
    <tableColumn id="8" xr3:uid="{672499C6-971A-413A-BFB3-C2EA26C6E00E}" name="F51 set point"/>
    <tableColumn id="9" xr3:uid="{69562227-C0E7-42CA-8B88-B24EC7E08ED3}" name="F51_OP mean"/>
    <tableColumn id="10" xr3:uid="{DF86F1D9-C191-490D-A2EF-24D808BD0A82}" name="F51_OP tol"/>
    <tableColumn id="11" xr3:uid="{BF548B0A-47DE-4CD0-BD93-1D30F2FBBE94}" name="F51_OP units"/>
    <tableColumn id="12" xr3:uid="{AA6C917E-FDEF-4521-9947-972FB4356CFD}" name="F52_OP mean"/>
    <tableColumn id="13" xr3:uid="{FB734AD4-1B11-48B2-9BA8-2740885DC479}" name="F52_OP tol"/>
    <tableColumn id="14" xr3:uid="{E1AEED35-F44C-413E-863D-1744DC8B2A78}" name="F52_OP units"/>
    <tableColumn id="15" xr3:uid="{90AC4F08-E112-46EA-9A12-1A13805658A2}" name="F52 mean"/>
    <tableColumn id="16" xr3:uid="{91B3426D-B52B-4E65-B370-C4C29831CA05}" name="F52 tol"/>
    <tableColumn id="17" xr3:uid="{BD470319-F62D-4FAB-8EA6-D6F5F80836B3}" name="F52 units"/>
    <tableColumn id="18" xr3:uid="{CECC1DAA-DE65-4BD3-A277-D00D6E6B5CC3}" name="F52 set point"/>
    <tableColumn id="19" xr3:uid="{0559763E-A9C4-4867-AC65-05C5CA9C1D6F}" name="P51 mean"/>
    <tableColumn id="20" xr3:uid="{23A8F925-7BF1-4590-A84E-9ACA776CE933}" name="P51 tol"/>
    <tableColumn id="21" xr3:uid="{E8F2B29A-1BAA-455F-83AE-AE58E1BDC706}" name="P51 units"/>
    <tableColumn id="22" xr3:uid="{070CCA6B-FC27-41A4-B259-EB6C8E983F35}" name="P52 mean"/>
    <tableColumn id="23" xr3:uid="{B8B75B0A-0750-4F5B-BC1B-B863C4667CA7}" name="P52 tol"/>
    <tableColumn id="24" xr3:uid="{43C468B7-ECA5-42D4-868D-2653D121DD27}" name="P52 units"/>
    <tableColumn id="25" xr3:uid="{055731C0-FB44-4A6D-AF73-AE0751FCDCD5}" name="P53 mean"/>
    <tableColumn id="26" xr3:uid="{41569726-DC96-4C70-9AEE-53959A479E66}" name="P53 tol"/>
    <tableColumn id="27" xr3:uid="{0054A9E1-D206-4067-AD48-C3D388EFA2FD}" name="P53 units"/>
    <tableColumn id="28" xr3:uid="{AFA6872B-5FBA-463F-86B9-30916FE7A21F}" name="P54 mean"/>
    <tableColumn id="29" xr3:uid="{7C08D8C5-D475-41C7-B005-45271B653D07}" name="P54 tol"/>
    <tableColumn id="30" xr3:uid="{466D8164-8B1C-427A-ABD4-9B457855B8FE}" name="P54 units"/>
    <tableColumn id="31" xr3:uid="{0B37E71F-3008-4761-B1BC-DA2362DF311B}" name="S51 mean"/>
    <tableColumn id="32" xr3:uid="{3B9C9277-A746-49A2-9AD9-18CD6E8C4A05}" name="S51 tol"/>
    <tableColumn id="33" xr3:uid="{4AFFD3A8-ACD3-4223-8054-5F90D6E1EB92}" name="S51 units"/>
    <tableColumn id="34" xr3:uid="{FC6B52E9-64C2-4B83-B096-926EB3F8CE99}" name="Goal Feed rate"/>
    <tableColumn id="35" xr3:uid="{811C0FCC-5D6B-43A8-A185-AEA3C3A3C5C3}" name="S52 mean"/>
    <tableColumn id="36" xr3:uid="{A3CBA006-DA56-4BDC-A570-91EF287F3BD6}" name="S52 tol"/>
    <tableColumn id="37" xr3:uid="{E42EEA3D-6E7F-44F0-9EAE-8A7B250D7208}" name="S52 units"/>
    <tableColumn id="38" xr3:uid="{AAC01C76-DFBF-4F2A-8E86-D7149B79CC2B}" name="date" dataDxfId="9"/>
    <tableColumn id="39" xr3:uid="{7ECF97E1-9EDA-4797-9060-5B52F083F61E}" name="Grade"/>
    <tableColumn id="41" xr3:uid="{C4BF9F1D-5A32-485E-A7C9-DB1A86F5FFF9}" name="Total Feedrate - LAC" dataDxfId="8">
      <calculatedColumnFormula>Table1[[#This Row],[S51 mean]]+Table1[[#This Row],[S52 mean]]</calculatedColumnFormula>
    </tableColumn>
    <tableColumn id="40" xr3:uid="{CB5BE223-A26C-48B9-9D16-614657D658CF}" name="Deviation from feed">
      <calculatedColumnFormula>AE2+AI2-AH2</calculatedColumnFormula>
    </tableColumn>
    <tableColumn id="42" xr3:uid="{9706B7FD-9E84-4F9F-8E12-19E992F0E68A}" name="Cyclone dP" dataDxfId="7">
      <calculatedColumnFormula>Table1[[#This Row],[P53 mean]]-Table1[[#This Row],[P54 mean]]</calculatedColumnFormula>
    </tableColumn>
    <tableColumn id="43" xr3:uid="{BEF42188-7C28-4A35-AAAD-121E036F3F4C}" name="Cyclon dP tol" dataDxfId="6">
      <calculatedColumnFormula>Table1[[#This Row],[P54 tol]]+Table1[[#This Row],[P53 tol]]</calculatedColumnFormula>
    </tableColumn>
    <tableColumn id="44" xr3:uid="{D09558E4-F272-4E60-A01A-6CED6A0A4BAC}" name="Mill dP" dataDxfId="5">
      <calculatedColumnFormula>Table1[[#This Row],[P51 mean]]-Table1[[#This Row],[P52 mean]]</calculatedColumnFormula>
    </tableColumn>
    <tableColumn id="45" xr3:uid="{CCF1B1B0-A985-4504-B4B6-6EFB7EB07077}" name="Mill dP tol" dataDxfId="4">
      <calculatedColumnFormula>Table1[[#This Row],[P51 tol]]+Table1[[#This Row],[P52 tol]]</calculatedColumnFormula>
    </tableColumn>
    <tableColumn id="46" xr3:uid="{1C6C9574-C2B0-4688-89D4-8C5009175850}" name="Classifier dP" dataDxfId="3">
      <calculatedColumnFormula>Table1[[#This Row],[P53 mean]]-Table1[[#This Row],[P54 mean]]</calculatedColumnFormula>
    </tableColumn>
    <tableColumn id="47" xr3:uid="{69738EC7-48EE-4F42-8BA2-E9DB3A9C9D5E}" name="Classifier dP tol" dataDxfId="2">
      <calculatedColumnFormula>Table1[[#This Row],[P54 tol]]+Table1[[#This Row],[P53 tol]]</calculatedColumnFormula>
    </tableColumn>
    <tableColumn id="48" xr3:uid="{E6284F5F-5905-483D-AD4B-EB7BBDA7CC38}" name="Fan dP" dataDxfId="1">
      <calculatedColumnFormula>Table1[[#This Row],[P54 mean]]-Table1[[#This Row],[P51 mean]]</calculatedColumnFormula>
    </tableColumn>
    <tableColumn id="49" xr3:uid="{0A7DA473-04D0-4C51-93D5-0BF523C58918}" name="Fan dP tol" dataDxfId="0">
      <calculatedColumnFormula>Table1[[#This Row],[P51 tol]]+Table1[[#This Row],[P54 tol]]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099E-A43D-4B57-972D-5C5DD96E0890}">
  <dimension ref="A1:AW57"/>
  <sheetViews>
    <sheetView topLeftCell="AD1" workbookViewId="0">
      <selection activeCell="AW3" sqref="AW3"/>
    </sheetView>
  </sheetViews>
  <sheetFormatPr defaultRowHeight="14.4" x14ac:dyDescent="0.3"/>
  <cols>
    <col min="2" max="2" width="12" customWidth="1"/>
    <col min="3" max="3" width="9.44140625" customWidth="1"/>
    <col min="4" max="4" width="11.33203125" customWidth="1"/>
    <col min="5" max="5" width="11" customWidth="1"/>
    <col min="6" max="6" width="8.44140625" customWidth="1"/>
    <col min="7" max="7" width="10.33203125" customWidth="1"/>
    <col min="8" max="8" width="13.5546875" customWidth="1"/>
    <col min="9" max="9" width="14.44140625" customWidth="1"/>
    <col min="10" max="10" width="11.88671875" customWidth="1"/>
    <col min="11" max="11" width="13.77734375" customWidth="1"/>
    <col min="12" max="12" width="14.44140625" customWidth="1"/>
    <col min="13" max="13" width="11.88671875" customWidth="1"/>
    <col min="14" max="14" width="13.77734375" customWidth="1"/>
    <col min="15" max="15" width="11" customWidth="1"/>
    <col min="16" max="16" width="8.44140625" customWidth="1"/>
    <col min="17" max="17" width="10.33203125" customWidth="1"/>
    <col min="18" max="18" width="13.5546875" customWidth="1"/>
    <col min="19" max="19" width="11.21875" customWidth="1"/>
    <col min="20" max="20" width="9" bestFit="1" customWidth="1"/>
    <col min="21" max="21" width="10.5546875" customWidth="1"/>
    <col min="22" max="22" width="11.21875" customWidth="1"/>
    <col min="23" max="23" width="8.6640625" customWidth="1"/>
    <col min="24" max="24" width="10.5546875" customWidth="1"/>
    <col min="25" max="25" width="11.21875" customWidth="1"/>
    <col min="26" max="26" width="8.6640625" customWidth="1"/>
    <col min="27" max="27" width="10.5546875" customWidth="1"/>
    <col min="28" max="28" width="11.21875" customWidth="1"/>
    <col min="29" max="29" width="8.6640625" customWidth="1"/>
    <col min="30" max="30" width="10.5546875" customWidth="1"/>
    <col min="31" max="31" width="11.109375" customWidth="1"/>
    <col min="32" max="32" width="8.5546875" customWidth="1"/>
    <col min="33" max="33" width="10.44140625" customWidth="1"/>
    <col min="34" max="34" width="14.88671875" customWidth="1"/>
    <col min="35" max="35" width="11.109375" customWidth="1"/>
    <col min="36" max="36" width="8.5546875" customWidth="1"/>
    <col min="37" max="37" width="10.44140625" customWidth="1"/>
    <col min="38" max="38" width="10.5546875" bestFit="1" customWidth="1"/>
    <col min="39" max="39" width="17" bestFit="1" customWidth="1"/>
    <col min="40" max="40" width="17" customWidth="1"/>
    <col min="41" max="41" width="19.6640625" customWidth="1"/>
  </cols>
  <sheetData>
    <row r="1" spans="1:49" x14ac:dyDescent="0.3">
      <c r="A1" t="s">
        <v>1</v>
      </c>
      <c r="B1" t="s">
        <v>25</v>
      </c>
      <c r="C1" t="s">
        <v>26</v>
      </c>
      <c r="D1" t="s">
        <v>27</v>
      </c>
      <c r="E1" t="s">
        <v>28</v>
      </c>
      <c r="F1" t="s">
        <v>29</v>
      </c>
      <c r="G1" t="s">
        <v>30</v>
      </c>
      <c r="H1" t="s">
        <v>31</v>
      </c>
      <c r="I1" t="s">
        <v>32</v>
      </c>
      <c r="J1" t="s">
        <v>33</v>
      </c>
      <c r="K1" t="s">
        <v>34</v>
      </c>
      <c r="L1" t="s">
        <v>35</v>
      </c>
      <c r="M1" t="s">
        <v>36</v>
      </c>
      <c r="N1" t="s">
        <v>37</v>
      </c>
      <c r="O1" t="s">
        <v>38</v>
      </c>
      <c r="P1" t="s">
        <v>39</v>
      </c>
      <c r="Q1" t="s">
        <v>40</v>
      </c>
      <c r="R1" t="s">
        <v>41</v>
      </c>
      <c r="S1" t="s">
        <v>42</v>
      </c>
      <c r="T1" t="s">
        <v>43</v>
      </c>
      <c r="U1" t="s">
        <v>44</v>
      </c>
      <c r="V1" t="s">
        <v>45</v>
      </c>
      <c r="W1" t="s">
        <v>46</v>
      </c>
      <c r="X1" t="s">
        <v>47</v>
      </c>
      <c r="Y1" t="s">
        <v>48</v>
      </c>
      <c r="Z1" t="s">
        <v>49</v>
      </c>
      <c r="AA1" t="s">
        <v>50</v>
      </c>
      <c r="AB1" t="s">
        <v>51</v>
      </c>
      <c r="AC1" t="s">
        <v>52</v>
      </c>
      <c r="AD1" t="s">
        <v>53</v>
      </c>
      <c r="AE1" t="s">
        <v>54</v>
      </c>
      <c r="AF1" t="s">
        <v>55</v>
      </c>
      <c r="AG1" t="s">
        <v>56</v>
      </c>
      <c r="AH1" t="s">
        <v>62</v>
      </c>
      <c r="AI1" t="s">
        <v>57</v>
      </c>
      <c r="AJ1" t="s">
        <v>58</v>
      </c>
      <c r="AK1" t="s">
        <v>59</v>
      </c>
      <c r="AL1" t="s">
        <v>0</v>
      </c>
      <c r="AM1" t="s">
        <v>2</v>
      </c>
      <c r="AN1" t="s">
        <v>71</v>
      </c>
      <c r="AO1" t="s">
        <v>22</v>
      </c>
      <c r="AP1" t="s">
        <v>81</v>
      </c>
      <c r="AQ1" t="s">
        <v>82</v>
      </c>
      <c r="AR1" t="s">
        <v>83</v>
      </c>
      <c r="AS1" t="s">
        <v>84</v>
      </c>
      <c r="AT1" t="s">
        <v>85</v>
      </c>
      <c r="AU1" t="s">
        <v>86</v>
      </c>
      <c r="AV1" t="s">
        <v>93</v>
      </c>
      <c r="AW1" t="s">
        <v>94</v>
      </c>
    </row>
    <row r="2" spans="1:49" x14ac:dyDescent="0.3">
      <c r="A2" t="s">
        <v>8</v>
      </c>
      <c r="B2">
        <v>199.34</v>
      </c>
      <c r="C2">
        <v>9.39</v>
      </c>
      <c r="D2" t="s">
        <v>4</v>
      </c>
      <c r="E2">
        <v>1801.24</v>
      </c>
      <c r="F2">
        <v>321.29000000000002</v>
      </c>
      <c r="G2" t="s">
        <v>3</v>
      </c>
      <c r="H2">
        <v>2000</v>
      </c>
      <c r="I2">
        <v>43.1</v>
      </c>
      <c r="J2">
        <v>4.5599999999999996</v>
      </c>
      <c r="K2" t="s">
        <v>7</v>
      </c>
      <c r="L2">
        <v>48.95</v>
      </c>
      <c r="M2">
        <v>2.93</v>
      </c>
      <c r="N2" t="s">
        <v>7</v>
      </c>
      <c r="O2">
        <v>8498.44</v>
      </c>
      <c r="P2">
        <v>153.69999999999999</v>
      </c>
      <c r="Q2" t="s">
        <v>3</v>
      </c>
      <c r="R2">
        <v>8500</v>
      </c>
      <c r="S2">
        <v>-60.43</v>
      </c>
      <c r="T2">
        <v>41.02</v>
      </c>
      <c r="U2" t="s">
        <v>4</v>
      </c>
      <c r="V2">
        <v>-224.24</v>
      </c>
      <c r="W2">
        <v>16.02</v>
      </c>
      <c r="X2" t="s">
        <v>4</v>
      </c>
      <c r="Y2">
        <v>-575</v>
      </c>
      <c r="Z2">
        <v>11.97</v>
      </c>
      <c r="AA2" t="s">
        <v>5</v>
      </c>
      <c r="AB2">
        <v>-710.2</v>
      </c>
      <c r="AC2">
        <v>15.99</v>
      </c>
      <c r="AD2" t="s">
        <v>4</v>
      </c>
      <c r="AE2">
        <v>8.5500000000000007</v>
      </c>
      <c r="AF2">
        <v>0.14000000000000001</v>
      </c>
      <c r="AG2" t="s">
        <v>6</v>
      </c>
      <c r="AH2">
        <v>2000</v>
      </c>
      <c r="AI2">
        <v>1798.57</v>
      </c>
      <c r="AJ2">
        <v>55.4</v>
      </c>
      <c r="AK2" t="s">
        <v>6</v>
      </c>
      <c r="AL2" s="1">
        <v>45378</v>
      </c>
      <c r="AM2" t="s">
        <v>9</v>
      </c>
      <c r="AN2">
        <f>Table1[[#This Row],[S51 mean]]+Table1[[#This Row],[S52 mean]]</f>
        <v>1807.12</v>
      </c>
      <c r="AO2">
        <f>AE2+AI2-AH2</f>
        <v>-192.88000000000011</v>
      </c>
      <c r="AP2">
        <f>Table1[[#This Row],[P53 mean]]-Table1[[#This Row],[P54 mean]]</f>
        <v>135.20000000000005</v>
      </c>
      <c r="AQ2">
        <f>Table1[[#This Row],[P54 tol]]+Table1[[#This Row],[P53 tol]]</f>
        <v>27.96</v>
      </c>
      <c r="AR2">
        <f>Table1[[#This Row],[P51 mean]]-Table1[[#This Row],[P52 mean]]</f>
        <v>163.81</v>
      </c>
      <c r="AS2">
        <f>Table1[[#This Row],[P51 tol]]+Table1[[#This Row],[P52 tol]]</f>
        <v>57.040000000000006</v>
      </c>
      <c r="AT2">
        <f>Table1[[#This Row],[P53 mean]]-Table1[[#This Row],[P54 mean]]</f>
        <v>135.20000000000005</v>
      </c>
      <c r="AU2">
        <f>Table1[[#This Row],[P54 tol]]+Table1[[#This Row],[P53 tol]]</f>
        <v>27.96</v>
      </c>
      <c r="AV2" s="5">
        <f>Table1[[#This Row],[P54 mean]]-Table1[[#This Row],[P51 mean]]</f>
        <v>-649.7700000000001</v>
      </c>
      <c r="AW2" s="5">
        <f>Table1[[#This Row],[P51 tol]]+Table1[[#This Row],[P54 tol]]</f>
        <v>57.010000000000005</v>
      </c>
    </row>
    <row r="3" spans="1:49" x14ac:dyDescent="0.3">
      <c r="A3" t="s">
        <v>8</v>
      </c>
      <c r="B3">
        <v>182.09</v>
      </c>
      <c r="C3">
        <v>86.77</v>
      </c>
      <c r="D3" t="s">
        <v>4</v>
      </c>
      <c r="E3">
        <v>1799.75</v>
      </c>
      <c r="F3">
        <v>261.14</v>
      </c>
      <c r="G3" t="s">
        <v>3</v>
      </c>
      <c r="H3">
        <v>2000</v>
      </c>
      <c r="I3">
        <v>40.840000000000003</v>
      </c>
      <c r="J3">
        <v>5.93</v>
      </c>
      <c r="K3" t="s">
        <v>7</v>
      </c>
      <c r="L3">
        <v>48.21</v>
      </c>
      <c r="M3">
        <v>1.96</v>
      </c>
      <c r="N3" t="s">
        <v>7</v>
      </c>
      <c r="O3">
        <v>8504.11</v>
      </c>
      <c r="P3">
        <v>164.91</v>
      </c>
      <c r="Q3" t="s">
        <v>3</v>
      </c>
      <c r="R3">
        <v>8500</v>
      </c>
      <c r="S3">
        <v>-70.41</v>
      </c>
      <c r="T3">
        <v>59.55</v>
      </c>
      <c r="U3" t="s">
        <v>4</v>
      </c>
      <c r="V3">
        <v>-226.51</v>
      </c>
      <c r="W3">
        <v>64.55</v>
      </c>
      <c r="X3" t="s">
        <v>4</v>
      </c>
      <c r="Y3">
        <v>-576.82000000000005</v>
      </c>
      <c r="Z3">
        <v>62.83</v>
      </c>
      <c r="AA3" t="s">
        <v>5</v>
      </c>
      <c r="AB3">
        <v>-711.52</v>
      </c>
      <c r="AC3">
        <v>65.180000000000007</v>
      </c>
      <c r="AD3" t="s">
        <v>4</v>
      </c>
      <c r="AE3">
        <v>1800.17</v>
      </c>
      <c r="AF3">
        <v>30.06</v>
      </c>
      <c r="AG3" t="s">
        <v>6</v>
      </c>
      <c r="AH3">
        <v>2000</v>
      </c>
      <c r="AI3">
        <v>6.84</v>
      </c>
      <c r="AJ3">
        <v>0.1</v>
      </c>
      <c r="AK3" t="s">
        <v>6</v>
      </c>
      <c r="AL3" s="1">
        <v>45377</v>
      </c>
      <c r="AM3" t="s">
        <v>9</v>
      </c>
      <c r="AN3">
        <f>Table1[[#This Row],[S51 mean]]+Table1[[#This Row],[S52 mean]]</f>
        <v>1807.01</v>
      </c>
      <c r="AO3">
        <f>AE3+AI3-AH3</f>
        <v>-192.99</v>
      </c>
      <c r="AP3">
        <f>Table1[[#This Row],[P53 mean]]-Table1[[#This Row],[P54 mean]]</f>
        <v>134.69999999999993</v>
      </c>
      <c r="AQ3">
        <f>Table1[[#This Row],[P54 tol]]+Table1[[#This Row],[P53 tol]]</f>
        <v>128.01</v>
      </c>
      <c r="AR3">
        <f>Table1[[#This Row],[P51 mean]]-Table1[[#This Row],[P52 mean]]</f>
        <v>156.1</v>
      </c>
      <c r="AS3">
        <f>Table1[[#This Row],[P51 tol]]+Table1[[#This Row],[P52 tol]]</f>
        <v>124.1</v>
      </c>
      <c r="AT3">
        <f>Table1[[#This Row],[P53 mean]]-Table1[[#This Row],[P54 mean]]</f>
        <v>134.69999999999993</v>
      </c>
      <c r="AU3">
        <f>Table1[[#This Row],[P54 tol]]+Table1[[#This Row],[P53 tol]]</f>
        <v>128.01</v>
      </c>
      <c r="AV3" s="5">
        <f>Table1[[#This Row],[P54 mean]]-Table1[[#This Row],[P51 mean]]</f>
        <v>-641.11</v>
      </c>
      <c r="AW3" s="5">
        <f>Table1[[#This Row],[P51 tol]]+Table1[[#This Row],[P54 tol]]</f>
        <v>124.73</v>
      </c>
    </row>
    <row r="4" spans="1:49" x14ac:dyDescent="0.3">
      <c r="A4" t="s">
        <v>10</v>
      </c>
      <c r="B4">
        <v>194.12</v>
      </c>
      <c r="C4">
        <v>95.08</v>
      </c>
      <c r="D4" t="s">
        <v>4</v>
      </c>
      <c r="E4">
        <v>1995.21</v>
      </c>
      <c r="F4">
        <v>425.74</v>
      </c>
      <c r="G4" t="s">
        <v>3</v>
      </c>
      <c r="H4">
        <v>2000</v>
      </c>
      <c r="I4">
        <v>49.69</v>
      </c>
      <c r="J4">
        <v>6.37</v>
      </c>
      <c r="K4" t="s">
        <v>7</v>
      </c>
      <c r="L4">
        <v>53.44</v>
      </c>
      <c r="M4">
        <v>2.65</v>
      </c>
      <c r="N4" t="s">
        <v>7</v>
      </c>
      <c r="O4">
        <v>10802.29</v>
      </c>
      <c r="P4">
        <v>152.37</v>
      </c>
      <c r="Q4" t="s">
        <v>3</v>
      </c>
      <c r="R4">
        <v>10800</v>
      </c>
      <c r="S4">
        <v>-210.8</v>
      </c>
      <c r="T4">
        <v>68.349999999999994</v>
      </c>
      <c r="U4" t="s">
        <v>4</v>
      </c>
      <c r="V4">
        <v>-331.82</v>
      </c>
      <c r="W4">
        <v>72.38</v>
      </c>
      <c r="X4" t="s">
        <v>4</v>
      </c>
      <c r="Y4">
        <v>-673.79</v>
      </c>
      <c r="Z4">
        <v>60.38</v>
      </c>
      <c r="AA4" t="s">
        <v>5</v>
      </c>
      <c r="AB4">
        <v>-875.37</v>
      </c>
      <c r="AC4">
        <v>67.569999999999993</v>
      </c>
      <c r="AD4" t="s">
        <v>4</v>
      </c>
      <c r="AE4">
        <v>8.82</v>
      </c>
      <c r="AF4">
        <v>0.13</v>
      </c>
      <c r="AG4" t="s">
        <v>6</v>
      </c>
      <c r="AH4">
        <v>2100</v>
      </c>
      <c r="AI4">
        <v>718.4</v>
      </c>
      <c r="AJ4">
        <v>88.39</v>
      </c>
      <c r="AK4" t="s">
        <v>6</v>
      </c>
      <c r="AL4" s="1">
        <v>45377</v>
      </c>
      <c r="AM4" t="s">
        <v>11</v>
      </c>
      <c r="AN4">
        <f>Table1[[#This Row],[S51 mean]]+Table1[[#This Row],[S52 mean]]</f>
        <v>727.22</v>
      </c>
      <c r="AO4">
        <f>AE4+AI4-AH4</f>
        <v>-1372.78</v>
      </c>
      <c r="AP4">
        <f>Table1[[#This Row],[P53 mean]]-Table1[[#This Row],[P54 mean]]</f>
        <v>201.58000000000004</v>
      </c>
      <c r="AQ4">
        <f>Table1[[#This Row],[P54 tol]]+Table1[[#This Row],[P53 tol]]</f>
        <v>127.94999999999999</v>
      </c>
      <c r="AR4">
        <f>Table1[[#This Row],[P51 mean]]-Table1[[#This Row],[P52 mean]]</f>
        <v>121.01999999999998</v>
      </c>
      <c r="AS4">
        <f>Table1[[#This Row],[P51 tol]]+Table1[[#This Row],[P52 tol]]</f>
        <v>140.72999999999999</v>
      </c>
      <c r="AT4">
        <f>Table1[[#This Row],[P53 mean]]-Table1[[#This Row],[P54 mean]]</f>
        <v>201.58000000000004</v>
      </c>
      <c r="AU4">
        <f>Table1[[#This Row],[P54 tol]]+Table1[[#This Row],[P53 tol]]</f>
        <v>127.94999999999999</v>
      </c>
      <c r="AV4" s="5">
        <f>Table1[[#This Row],[P54 mean]]-Table1[[#This Row],[P51 mean]]</f>
        <v>-664.56999999999994</v>
      </c>
      <c r="AW4" s="5">
        <f>Table1[[#This Row],[P51 tol]]+Table1[[#This Row],[P54 tol]]</f>
        <v>135.91999999999999</v>
      </c>
    </row>
    <row r="5" spans="1:49" x14ac:dyDescent="0.3">
      <c r="A5" t="s">
        <v>8</v>
      </c>
      <c r="B5">
        <v>281.88</v>
      </c>
      <c r="C5">
        <v>83.98</v>
      </c>
      <c r="D5" t="s">
        <v>4</v>
      </c>
      <c r="E5">
        <v>2001.54</v>
      </c>
      <c r="F5">
        <v>164.18</v>
      </c>
      <c r="G5" t="s">
        <v>3</v>
      </c>
      <c r="H5">
        <v>2000</v>
      </c>
      <c r="I5">
        <v>46.14</v>
      </c>
      <c r="J5">
        <v>2.0499999999999998</v>
      </c>
      <c r="K5" t="s">
        <v>7</v>
      </c>
      <c r="L5">
        <v>41.96</v>
      </c>
      <c r="M5">
        <v>1.73</v>
      </c>
      <c r="N5" t="s">
        <v>7</v>
      </c>
      <c r="O5">
        <v>8497.0499999999993</v>
      </c>
      <c r="P5">
        <v>183.88</v>
      </c>
      <c r="Q5" t="s">
        <v>3</v>
      </c>
      <c r="R5">
        <v>8500</v>
      </c>
      <c r="S5">
        <v>-209.3</v>
      </c>
      <c r="T5">
        <v>53.67</v>
      </c>
      <c r="U5" t="s">
        <v>4</v>
      </c>
      <c r="V5">
        <v>-294.45999999999998</v>
      </c>
      <c r="W5">
        <v>60.02</v>
      </c>
      <c r="X5" t="s">
        <v>4</v>
      </c>
      <c r="Y5">
        <v>-596.45000000000005</v>
      </c>
      <c r="Z5">
        <v>55.91</v>
      </c>
      <c r="AA5" t="s">
        <v>5</v>
      </c>
      <c r="AB5">
        <v>-718.05</v>
      </c>
      <c r="AC5">
        <v>57.63</v>
      </c>
      <c r="AD5" t="s">
        <v>4</v>
      </c>
      <c r="AE5">
        <v>8.9</v>
      </c>
      <c r="AF5">
        <v>0.13</v>
      </c>
      <c r="AG5" t="s">
        <v>6</v>
      </c>
      <c r="AH5">
        <v>2000</v>
      </c>
      <c r="AI5">
        <v>1000.06</v>
      </c>
      <c r="AJ5">
        <v>51.82</v>
      </c>
      <c r="AK5" t="s">
        <v>6</v>
      </c>
      <c r="AL5" s="1">
        <v>45376</v>
      </c>
      <c r="AM5" t="s">
        <v>9</v>
      </c>
      <c r="AN5">
        <f>Table1[[#This Row],[S51 mean]]+Table1[[#This Row],[S52 mean]]</f>
        <v>1008.9599999999999</v>
      </c>
      <c r="AO5">
        <f>AE5+AI5-AH5</f>
        <v>-991.04000000000008</v>
      </c>
      <c r="AP5">
        <f>Table1[[#This Row],[P53 mean]]-Table1[[#This Row],[P54 mean]]</f>
        <v>121.59999999999991</v>
      </c>
      <c r="AQ5">
        <f>Table1[[#This Row],[P54 tol]]+Table1[[#This Row],[P53 tol]]</f>
        <v>113.53999999999999</v>
      </c>
      <c r="AR5">
        <f>Table1[[#This Row],[P51 mean]]-Table1[[#This Row],[P52 mean]]</f>
        <v>85.159999999999968</v>
      </c>
      <c r="AS5">
        <f>Table1[[#This Row],[P51 tol]]+Table1[[#This Row],[P52 tol]]</f>
        <v>113.69</v>
      </c>
      <c r="AT5">
        <f>Table1[[#This Row],[P53 mean]]-Table1[[#This Row],[P54 mean]]</f>
        <v>121.59999999999991</v>
      </c>
      <c r="AU5">
        <f>Table1[[#This Row],[P54 tol]]+Table1[[#This Row],[P53 tol]]</f>
        <v>113.53999999999999</v>
      </c>
      <c r="AV5" s="5">
        <f>Table1[[#This Row],[P54 mean]]-Table1[[#This Row],[P51 mean]]</f>
        <v>-508.74999999999994</v>
      </c>
      <c r="AW5" s="5">
        <f>Table1[[#This Row],[P51 tol]]+Table1[[#This Row],[P54 tol]]</f>
        <v>111.30000000000001</v>
      </c>
    </row>
    <row r="6" spans="1:49" x14ac:dyDescent="0.3">
      <c r="A6" t="s">
        <v>8</v>
      </c>
      <c r="B6">
        <v>229.67</v>
      </c>
      <c r="C6">
        <v>39.31</v>
      </c>
      <c r="D6" t="s">
        <v>4</v>
      </c>
      <c r="E6">
        <v>2001.73</v>
      </c>
      <c r="F6">
        <v>284.85000000000002</v>
      </c>
      <c r="G6" t="s">
        <v>3</v>
      </c>
      <c r="H6">
        <v>2000</v>
      </c>
      <c r="I6">
        <v>46.75</v>
      </c>
      <c r="J6">
        <v>2.86</v>
      </c>
      <c r="K6" t="s">
        <v>7</v>
      </c>
      <c r="L6">
        <v>50.53</v>
      </c>
      <c r="M6">
        <v>3.11</v>
      </c>
      <c r="N6" t="s">
        <v>7</v>
      </c>
      <c r="O6">
        <v>9500.23</v>
      </c>
      <c r="P6">
        <v>197.24</v>
      </c>
      <c r="Q6" t="s">
        <v>3</v>
      </c>
      <c r="R6">
        <v>8500</v>
      </c>
      <c r="S6">
        <v>-134.91999999999999</v>
      </c>
      <c r="T6">
        <v>50.49</v>
      </c>
      <c r="U6" t="s">
        <v>4</v>
      </c>
      <c r="V6">
        <v>-290.45999999999998</v>
      </c>
      <c r="W6">
        <v>40.450000000000003</v>
      </c>
      <c r="X6" t="s">
        <v>4</v>
      </c>
      <c r="Y6">
        <v>-652.24</v>
      </c>
      <c r="Z6">
        <v>35.86</v>
      </c>
      <c r="AA6" t="s">
        <v>5</v>
      </c>
      <c r="AB6">
        <v>-809.99</v>
      </c>
      <c r="AC6">
        <v>40.1</v>
      </c>
      <c r="AD6" t="s">
        <v>4</v>
      </c>
      <c r="AE6">
        <v>400.3</v>
      </c>
      <c r="AF6">
        <v>84.29</v>
      </c>
      <c r="AG6" t="s">
        <v>6</v>
      </c>
      <c r="AH6">
        <v>2000</v>
      </c>
      <c r="AI6">
        <v>1030</v>
      </c>
      <c r="AJ6">
        <v>93.3</v>
      </c>
      <c r="AK6" t="s">
        <v>6</v>
      </c>
      <c r="AL6" s="1">
        <v>45375</v>
      </c>
      <c r="AM6" t="s">
        <v>9</v>
      </c>
      <c r="AN6">
        <f>Table1[[#This Row],[S51 mean]]+Table1[[#This Row],[S52 mean]]</f>
        <v>1430.3</v>
      </c>
      <c r="AO6">
        <f>AE6+AI6-AH6</f>
        <v>-569.70000000000005</v>
      </c>
      <c r="AP6">
        <f>Table1[[#This Row],[P53 mean]]-Table1[[#This Row],[P54 mean]]</f>
        <v>157.75</v>
      </c>
      <c r="AQ6">
        <f>Table1[[#This Row],[P54 tol]]+Table1[[#This Row],[P53 tol]]</f>
        <v>75.960000000000008</v>
      </c>
      <c r="AR6">
        <f>Table1[[#This Row],[P51 mean]]-Table1[[#This Row],[P52 mean]]</f>
        <v>155.54</v>
      </c>
      <c r="AS6">
        <f>Table1[[#This Row],[P51 tol]]+Table1[[#This Row],[P52 tol]]</f>
        <v>90.94</v>
      </c>
      <c r="AT6">
        <f>Table1[[#This Row],[P53 mean]]-Table1[[#This Row],[P54 mean]]</f>
        <v>157.75</v>
      </c>
      <c r="AU6">
        <f>Table1[[#This Row],[P54 tol]]+Table1[[#This Row],[P53 tol]]</f>
        <v>75.960000000000008</v>
      </c>
      <c r="AV6" s="5">
        <f>Table1[[#This Row],[P54 mean]]-Table1[[#This Row],[P51 mean]]</f>
        <v>-675.07</v>
      </c>
      <c r="AW6" s="5">
        <f>Table1[[#This Row],[P51 tol]]+Table1[[#This Row],[P54 tol]]</f>
        <v>90.59</v>
      </c>
    </row>
    <row r="7" spans="1:49" x14ac:dyDescent="0.3">
      <c r="A7" t="s">
        <v>8</v>
      </c>
      <c r="B7">
        <v>218.14</v>
      </c>
      <c r="C7">
        <v>24.26</v>
      </c>
      <c r="D7" t="s">
        <v>4</v>
      </c>
      <c r="E7">
        <v>1998.68</v>
      </c>
      <c r="F7">
        <v>207.98</v>
      </c>
      <c r="G7" t="s">
        <v>3</v>
      </c>
      <c r="H7">
        <v>2000</v>
      </c>
      <c r="I7">
        <v>46.45</v>
      </c>
      <c r="J7">
        <v>1.91</v>
      </c>
      <c r="K7" t="s">
        <v>7</v>
      </c>
      <c r="L7">
        <v>42.9</v>
      </c>
      <c r="M7">
        <v>3.13</v>
      </c>
      <c r="N7" t="s">
        <v>7</v>
      </c>
      <c r="O7">
        <v>8500.19</v>
      </c>
      <c r="P7">
        <v>156.99</v>
      </c>
      <c r="Q7" t="s">
        <v>3</v>
      </c>
      <c r="R7">
        <v>8500</v>
      </c>
      <c r="S7">
        <v>-213.2</v>
      </c>
      <c r="T7">
        <v>69.010000000000005</v>
      </c>
      <c r="U7" t="s">
        <v>4</v>
      </c>
      <c r="V7">
        <v>-317.97000000000003</v>
      </c>
      <c r="W7">
        <v>33.549999999999997</v>
      </c>
      <c r="X7" t="s">
        <v>4</v>
      </c>
      <c r="Y7">
        <v>-642.41999999999996</v>
      </c>
      <c r="Z7">
        <v>23.54</v>
      </c>
      <c r="AA7" t="s">
        <v>5</v>
      </c>
      <c r="AB7">
        <v>-769.24</v>
      </c>
      <c r="AC7">
        <v>35.369999999999997</v>
      </c>
      <c r="AD7" t="s">
        <v>4</v>
      </c>
      <c r="AE7">
        <v>8.9600000000000009</v>
      </c>
      <c r="AF7">
        <v>0.14000000000000001</v>
      </c>
      <c r="AG7" t="s">
        <v>6</v>
      </c>
      <c r="AH7">
        <v>2000</v>
      </c>
      <c r="AI7">
        <v>1310.04</v>
      </c>
      <c r="AJ7">
        <v>746</v>
      </c>
      <c r="AK7" t="s">
        <v>6</v>
      </c>
      <c r="AL7" s="1">
        <v>45374</v>
      </c>
      <c r="AM7" t="s">
        <v>9</v>
      </c>
      <c r="AN7">
        <f>Table1[[#This Row],[S51 mean]]+Table1[[#This Row],[S52 mean]]</f>
        <v>1319</v>
      </c>
      <c r="AO7">
        <f>AE7+AI7-AH7</f>
        <v>-681</v>
      </c>
      <c r="AP7">
        <f>Table1[[#This Row],[P53 mean]]-Table1[[#This Row],[P54 mean]]</f>
        <v>126.82000000000005</v>
      </c>
      <c r="AQ7">
        <f>Table1[[#This Row],[P54 tol]]+Table1[[#This Row],[P53 tol]]</f>
        <v>58.91</v>
      </c>
      <c r="AR7">
        <f>Table1[[#This Row],[P51 mean]]-Table1[[#This Row],[P52 mean]]</f>
        <v>104.77000000000004</v>
      </c>
      <c r="AS7">
        <f>Table1[[#This Row],[P51 tol]]+Table1[[#This Row],[P52 tol]]</f>
        <v>102.56</v>
      </c>
      <c r="AT7">
        <f>Table1[[#This Row],[P53 mean]]-Table1[[#This Row],[P54 mean]]</f>
        <v>126.82000000000005</v>
      </c>
      <c r="AU7">
        <f>Table1[[#This Row],[P54 tol]]+Table1[[#This Row],[P53 tol]]</f>
        <v>58.91</v>
      </c>
      <c r="AV7" s="5">
        <f>Table1[[#This Row],[P54 mean]]-Table1[[#This Row],[P51 mean]]</f>
        <v>-556.04</v>
      </c>
      <c r="AW7" s="5">
        <f>Table1[[#This Row],[P51 tol]]+Table1[[#This Row],[P54 tol]]</f>
        <v>104.38</v>
      </c>
    </row>
    <row r="8" spans="1:49" x14ac:dyDescent="0.3">
      <c r="A8" t="s">
        <v>12</v>
      </c>
      <c r="B8">
        <v>167.43</v>
      </c>
      <c r="C8">
        <v>21.52</v>
      </c>
      <c r="D8" t="s">
        <v>4</v>
      </c>
      <c r="E8">
        <v>2002.53</v>
      </c>
      <c r="F8">
        <v>331.72</v>
      </c>
      <c r="G8" t="s">
        <v>3</v>
      </c>
      <c r="H8">
        <v>2000</v>
      </c>
      <c r="I8">
        <v>46.45</v>
      </c>
      <c r="J8">
        <v>3.42</v>
      </c>
      <c r="K8" t="s">
        <v>7</v>
      </c>
      <c r="L8">
        <v>57.42</v>
      </c>
      <c r="M8">
        <v>1.59</v>
      </c>
      <c r="N8" t="s">
        <v>7</v>
      </c>
      <c r="O8">
        <v>10801.54</v>
      </c>
      <c r="P8">
        <v>133.83000000000001</v>
      </c>
      <c r="Q8" t="s">
        <v>3</v>
      </c>
      <c r="R8">
        <v>10800</v>
      </c>
      <c r="S8">
        <v>-133.34</v>
      </c>
      <c r="T8">
        <v>35.47</v>
      </c>
      <c r="U8" t="s">
        <v>4</v>
      </c>
      <c r="V8">
        <v>-268.5</v>
      </c>
      <c r="W8">
        <v>38.49</v>
      </c>
      <c r="X8" t="s">
        <v>4</v>
      </c>
      <c r="Y8">
        <v>-648.75</v>
      </c>
      <c r="Z8">
        <v>36.369999999999997</v>
      </c>
      <c r="AA8" t="s">
        <v>5</v>
      </c>
      <c r="AB8">
        <v>-862.69</v>
      </c>
      <c r="AC8">
        <v>38.9</v>
      </c>
      <c r="AD8" t="s">
        <v>4</v>
      </c>
      <c r="AE8">
        <v>8.86</v>
      </c>
      <c r="AF8">
        <v>0.23</v>
      </c>
      <c r="AG8" t="s">
        <v>6</v>
      </c>
      <c r="AH8">
        <v>2200</v>
      </c>
      <c r="AI8">
        <v>1759.72</v>
      </c>
      <c r="AJ8">
        <v>50.58</v>
      </c>
      <c r="AK8" t="s">
        <v>6</v>
      </c>
      <c r="AL8" s="1">
        <v>45373</v>
      </c>
      <c r="AM8" t="s">
        <v>13</v>
      </c>
      <c r="AN8">
        <f>Table1[[#This Row],[S51 mean]]+Table1[[#This Row],[S52 mean]]</f>
        <v>1768.58</v>
      </c>
      <c r="AO8">
        <f>AE8+AI8-AH8</f>
        <v>-431.42000000000007</v>
      </c>
      <c r="AP8">
        <f>Table1[[#This Row],[P53 mean]]-Table1[[#This Row],[P54 mean]]</f>
        <v>213.94000000000005</v>
      </c>
      <c r="AQ8">
        <f>Table1[[#This Row],[P54 tol]]+Table1[[#This Row],[P53 tol]]</f>
        <v>75.27</v>
      </c>
      <c r="AR8">
        <f>Table1[[#This Row],[P51 mean]]-Table1[[#This Row],[P52 mean]]</f>
        <v>135.16</v>
      </c>
      <c r="AS8">
        <f>Table1[[#This Row],[P51 tol]]+Table1[[#This Row],[P52 tol]]</f>
        <v>73.960000000000008</v>
      </c>
      <c r="AT8">
        <f>Table1[[#This Row],[P53 mean]]-Table1[[#This Row],[P54 mean]]</f>
        <v>213.94000000000005</v>
      </c>
      <c r="AU8">
        <f>Table1[[#This Row],[P54 tol]]+Table1[[#This Row],[P53 tol]]</f>
        <v>75.27</v>
      </c>
      <c r="AV8" s="5">
        <f>Table1[[#This Row],[P54 mean]]-Table1[[#This Row],[P51 mean]]</f>
        <v>-729.35</v>
      </c>
      <c r="AW8" s="5">
        <f>Table1[[#This Row],[P51 tol]]+Table1[[#This Row],[P54 tol]]</f>
        <v>74.37</v>
      </c>
    </row>
    <row r="9" spans="1:49" x14ac:dyDescent="0.3">
      <c r="A9" t="s">
        <v>15</v>
      </c>
      <c r="B9">
        <v>157.41</v>
      </c>
      <c r="C9">
        <v>28.82</v>
      </c>
      <c r="D9" t="s">
        <v>4</v>
      </c>
      <c r="E9">
        <v>2000.26</v>
      </c>
      <c r="F9">
        <v>243.02</v>
      </c>
      <c r="G9" t="s">
        <v>3</v>
      </c>
      <c r="H9">
        <v>2000</v>
      </c>
      <c r="I9">
        <v>46.73</v>
      </c>
      <c r="J9">
        <v>2.89</v>
      </c>
      <c r="K9" t="s">
        <v>7</v>
      </c>
      <c r="L9">
        <v>46.05</v>
      </c>
      <c r="M9">
        <v>1.95</v>
      </c>
      <c r="N9" t="s">
        <v>7</v>
      </c>
      <c r="O9">
        <v>9500.3799999999992</v>
      </c>
      <c r="P9">
        <v>195.32</v>
      </c>
      <c r="Q9" t="s">
        <v>3</v>
      </c>
      <c r="R9">
        <v>10800</v>
      </c>
      <c r="S9">
        <v>-237.9</v>
      </c>
      <c r="T9">
        <v>35.89</v>
      </c>
      <c r="U9" t="s">
        <v>4</v>
      </c>
      <c r="V9">
        <v>-349.5</v>
      </c>
      <c r="W9">
        <v>40.6</v>
      </c>
      <c r="X9" t="s">
        <v>4</v>
      </c>
      <c r="Y9">
        <v>-670.46</v>
      </c>
      <c r="Z9">
        <v>39.76</v>
      </c>
      <c r="AA9" t="s">
        <v>5</v>
      </c>
      <c r="AB9">
        <v>-829.28</v>
      </c>
      <c r="AC9">
        <v>45.83</v>
      </c>
      <c r="AD9" t="s">
        <v>4</v>
      </c>
      <c r="AE9">
        <v>8.85</v>
      </c>
      <c r="AF9">
        <v>0.14000000000000001</v>
      </c>
      <c r="AG9" t="s">
        <v>6</v>
      </c>
      <c r="AH9">
        <v>2200</v>
      </c>
      <c r="AI9">
        <v>1200.0999999999999</v>
      </c>
      <c r="AJ9">
        <v>46.7</v>
      </c>
      <c r="AK9" t="s">
        <v>6</v>
      </c>
      <c r="AL9" s="1">
        <v>45372</v>
      </c>
      <c r="AM9" t="s">
        <v>13</v>
      </c>
      <c r="AN9">
        <f>Table1[[#This Row],[S51 mean]]+Table1[[#This Row],[S52 mean]]</f>
        <v>1208.9499999999998</v>
      </c>
      <c r="AO9">
        <f>AE9+AI9-AH9</f>
        <v>-991.05000000000018</v>
      </c>
      <c r="AP9">
        <f>Table1[[#This Row],[P53 mean]]-Table1[[#This Row],[P54 mean]]</f>
        <v>158.81999999999994</v>
      </c>
      <c r="AQ9">
        <f>Table1[[#This Row],[P54 tol]]+Table1[[#This Row],[P53 tol]]</f>
        <v>85.59</v>
      </c>
      <c r="AR9">
        <f>Table1[[#This Row],[P51 mean]]-Table1[[#This Row],[P52 mean]]</f>
        <v>111.6</v>
      </c>
      <c r="AS9">
        <f>Table1[[#This Row],[P51 tol]]+Table1[[#This Row],[P52 tol]]</f>
        <v>76.490000000000009</v>
      </c>
      <c r="AT9">
        <f>Table1[[#This Row],[P53 mean]]-Table1[[#This Row],[P54 mean]]</f>
        <v>158.81999999999994</v>
      </c>
      <c r="AU9">
        <f>Table1[[#This Row],[P54 tol]]+Table1[[#This Row],[P53 tol]]</f>
        <v>85.59</v>
      </c>
      <c r="AV9" s="5">
        <f>Table1[[#This Row],[P54 mean]]-Table1[[#This Row],[P51 mean]]</f>
        <v>-591.38</v>
      </c>
      <c r="AW9" s="5">
        <f>Table1[[#This Row],[P51 tol]]+Table1[[#This Row],[P54 tol]]</f>
        <v>81.72</v>
      </c>
    </row>
    <row r="10" spans="1:49" x14ac:dyDescent="0.3">
      <c r="A10" t="s">
        <v>14</v>
      </c>
      <c r="B10">
        <v>187.57</v>
      </c>
      <c r="C10">
        <v>17.39</v>
      </c>
      <c r="D10" t="s">
        <v>4</v>
      </c>
      <c r="E10">
        <v>1999.66</v>
      </c>
      <c r="F10">
        <v>252.2</v>
      </c>
      <c r="G10" t="s">
        <v>3</v>
      </c>
      <c r="H10">
        <v>2000</v>
      </c>
      <c r="I10">
        <v>46.67</v>
      </c>
      <c r="J10">
        <v>2.2200000000000002</v>
      </c>
      <c r="K10" t="s">
        <v>7</v>
      </c>
      <c r="L10">
        <v>43.26</v>
      </c>
      <c r="M10">
        <v>2.35</v>
      </c>
      <c r="N10" t="s">
        <v>7</v>
      </c>
      <c r="O10">
        <v>8500.26</v>
      </c>
      <c r="P10">
        <v>169.82</v>
      </c>
      <c r="Q10" t="s">
        <v>3</v>
      </c>
      <c r="R10">
        <v>8500</v>
      </c>
      <c r="S10">
        <v>-217.1</v>
      </c>
      <c r="T10">
        <v>56.28</v>
      </c>
      <c r="U10" t="s">
        <v>4</v>
      </c>
      <c r="V10">
        <v>-334.2</v>
      </c>
      <c r="W10">
        <v>28.9</v>
      </c>
      <c r="X10" t="s">
        <v>4</v>
      </c>
      <c r="Y10">
        <v>-669.23</v>
      </c>
      <c r="Z10">
        <v>24.46</v>
      </c>
      <c r="AA10" t="s">
        <v>5</v>
      </c>
      <c r="AB10">
        <v>-799.74</v>
      </c>
      <c r="AC10">
        <v>32.15</v>
      </c>
      <c r="AD10" t="s">
        <v>4</v>
      </c>
      <c r="AE10">
        <v>8.82</v>
      </c>
      <c r="AF10">
        <v>0.13</v>
      </c>
      <c r="AG10" t="s">
        <v>6</v>
      </c>
      <c r="AH10">
        <v>2000</v>
      </c>
      <c r="AI10">
        <v>1660.06</v>
      </c>
      <c r="AJ10">
        <v>282.08999999999997</v>
      </c>
      <c r="AK10" t="s">
        <v>6</v>
      </c>
      <c r="AL10" s="1">
        <v>45372</v>
      </c>
      <c r="AM10" t="s">
        <v>9</v>
      </c>
      <c r="AN10">
        <f>Table1[[#This Row],[S51 mean]]+Table1[[#This Row],[S52 mean]]</f>
        <v>1668.8799999999999</v>
      </c>
      <c r="AO10">
        <f>AE10+AI10-AH10</f>
        <v>-331.12000000000012</v>
      </c>
      <c r="AP10">
        <f>Table1[[#This Row],[P53 mean]]-Table1[[#This Row],[P54 mean]]</f>
        <v>130.51</v>
      </c>
      <c r="AQ10">
        <f>Table1[[#This Row],[P54 tol]]+Table1[[#This Row],[P53 tol]]</f>
        <v>56.61</v>
      </c>
      <c r="AR10">
        <f>Table1[[#This Row],[P51 mean]]-Table1[[#This Row],[P52 mean]]</f>
        <v>117.1</v>
      </c>
      <c r="AS10">
        <f>Table1[[#This Row],[P51 tol]]+Table1[[#This Row],[P52 tol]]</f>
        <v>85.18</v>
      </c>
      <c r="AT10">
        <f>Table1[[#This Row],[P53 mean]]-Table1[[#This Row],[P54 mean]]</f>
        <v>130.51</v>
      </c>
      <c r="AU10">
        <f>Table1[[#This Row],[P54 tol]]+Table1[[#This Row],[P53 tol]]</f>
        <v>56.61</v>
      </c>
      <c r="AV10" s="5">
        <f>Table1[[#This Row],[P54 mean]]-Table1[[#This Row],[P51 mean]]</f>
        <v>-582.64</v>
      </c>
      <c r="AW10" s="5">
        <f>Table1[[#This Row],[P51 tol]]+Table1[[#This Row],[P54 tol]]</f>
        <v>88.43</v>
      </c>
    </row>
    <row r="11" spans="1:49" x14ac:dyDescent="0.3">
      <c r="A11" t="s">
        <v>12</v>
      </c>
      <c r="B11">
        <v>140.33000000000001</v>
      </c>
      <c r="C11">
        <v>27.72</v>
      </c>
      <c r="D11" t="s">
        <v>4</v>
      </c>
      <c r="E11">
        <v>1997.77</v>
      </c>
      <c r="F11">
        <v>435.88</v>
      </c>
      <c r="G11" t="s">
        <v>3</v>
      </c>
      <c r="H11">
        <v>2000</v>
      </c>
      <c r="I11">
        <v>47.09</v>
      </c>
      <c r="J11">
        <v>3.47</v>
      </c>
      <c r="K11" t="s">
        <v>7</v>
      </c>
      <c r="L11">
        <v>54.43</v>
      </c>
      <c r="M11">
        <v>1.81</v>
      </c>
      <c r="N11" t="s">
        <v>7</v>
      </c>
      <c r="O11">
        <v>10801.14</v>
      </c>
      <c r="P11">
        <v>150.19999999999999</v>
      </c>
      <c r="Q11" t="s">
        <v>3</v>
      </c>
      <c r="R11">
        <v>10800</v>
      </c>
      <c r="S11">
        <v>-184</v>
      </c>
      <c r="T11">
        <v>33.799999999999997</v>
      </c>
      <c r="U11" t="s">
        <v>4</v>
      </c>
      <c r="V11">
        <v>-316.07</v>
      </c>
      <c r="W11">
        <v>39.130000000000003</v>
      </c>
      <c r="X11" t="s">
        <v>4</v>
      </c>
      <c r="Y11">
        <v>-684.85</v>
      </c>
      <c r="Z11">
        <v>36</v>
      </c>
      <c r="AA11" t="s">
        <v>5</v>
      </c>
      <c r="AB11">
        <v>-895.68</v>
      </c>
      <c r="AC11">
        <v>40.85</v>
      </c>
      <c r="AD11" t="s">
        <v>4</v>
      </c>
      <c r="AE11">
        <v>8.85</v>
      </c>
      <c r="AF11">
        <v>0.14000000000000001</v>
      </c>
      <c r="AG11" t="s">
        <v>6</v>
      </c>
      <c r="AH11">
        <v>2200</v>
      </c>
      <c r="AI11">
        <v>1440.65</v>
      </c>
      <c r="AJ11">
        <v>50.53</v>
      </c>
      <c r="AK11" t="s">
        <v>6</v>
      </c>
      <c r="AL11" s="1">
        <v>45372</v>
      </c>
      <c r="AM11" t="s">
        <v>13</v>
      </c>
      <c r="AN11">
        <f>Table1[[#This Row],[S51 mean]]+Table1[[#This Row],[S52 mean]]</f>
        <v>1449.5</v>
      </c>
      <c r="AO11">
        <f>AE11+AI11-AH11</f>
        <v>-750.5</v>
      </c>
      <c r="AP11">
        <f>Table1[[#This Row],[P53 mean]]-Table1[[#This Row],[P54 mean]]</f>
        <v>210.82999999999993</v>
      </c>
      <c r="AQ11">
        <f>Table1[[#This Row],[P54 tol]]+Table1[[#This Row],[P53 tol]]</f>
        <v>76.849999999999994</v>
      </c>
      <c r="AR11">
        <f>Table1[[#This Row],[P51 mean]]-Table1[[#This Row],[P52 mean]]</f>
        <v>132.07</v>
      </c>
      <c r="AS11">
        <f>Table1[[#This Row],[P51 tol]]+Table1[[#This Row],[P52 tol]]</f>
        <v>72.930000000000007</v>
      </c>
      <c r="AT11">
        <f>Table1[[#This Row],[P53 mean]]-Table1[[#This Row],[P54 mean]]</f>
        <v>210.82999999999993</v>
      </c>
      <c r="AU11">
        <f>Table1[[#This Row],[P54 tol]]+Table1[[#This Row],[P53 tol]]</f>
        <v>76.849999999999994</v>
      </c>
      <c r="AV11" s="5">
        <f>Table1[[#This Row],[P54 mean]]-Table1[[#This Row],[P51 mean]]</f>
        <v>-711.68</v>
      </c>
      <c r="AW11" s="5">
        <f>Table1[[#This Row],[P51 tol]]+Table1[[#This Row],[P54 tol]]</f>
        <v>74.650000000000006</v>
      </c>
    </row>
    <row r="12" spans="1:49" x14ac:dyDescent="0.3">
      <c r="A12" t="s">
        <v>12</v>
      </c>
      <c r="B12">
        <v>156</v>
      </c>
      <c r="C12">
        <v>64.39</v>
      </c>
      <c r="D12" t="s">
        <v>4</v>
      </c>
      <c r="E12">
        <v>1997.77</v>
      </c>
      <c r="F12">
        <v>440.59</v>
      </c>
      <c r="G12" t="s">
        <v>3</v>
      </c>
      <c r="H12">
        <v>2000</v>
      </c>
      <c r="I12">
        <v>47.59</v>
      </c>
      <c r="J12">
        <v>3</v>
      </c>
      <c r="K12" t="s">
        <v>7</v>
      </c>
      <c r="L12">
        <v>53.56</v>
      </c>
      <c r="M12">
        <v>2.0499999999999998</v>
      </c>
      <c r="N12" t="s">
        <v>7</v>
      </c>
      <c r="O12">
        <v>10801.51</v>
      </c>
      <c r="P12">
        <v>146.37</v>
      </c>
      <c r="Q12" t="s">
        <v>3</v>
      </c>
      <c r="R12">
        <v>10800</v>
      </c>
      <c r="S12">
        <v>-188.82</v>
      </c>
      <c r="T12">
        <v>56.87</v>
      </c>
      <c r="U12" t="s">
        <v>4</v>
      </c>
      <c r="V12">
        <v>-322.45</v>
      </c>
      <c r="W12">
        <v>62.59</v>
      </c>
      <c r="X12" t="s">
        <v>4</v>
      </c>
      <c r="Y12">
        <v>-688.67</v>
      </c>
      <c r="Z12">
        <v>58.41</v>
      </c>
      <c r="AA12" t="s">
        <v>5</v>
      </c>
      <c r="AB12">
        <v>-898.18</v>
      </c>
      <c r="AC12">
        <v>60.49</v>
      </c>
      <c r="AD12" t="s">
        <v>4</v>
      </c>
      <c r="AE12">
        <v>1440.8</v>
      </c>
      <c r="AF12">
        <v>24.66</v>
      </c>
      <c r="AG12" t="s">
        <v>6</v>
      </c>
      <c r="AH12">
        <v>2200</v>
      </c>
      <c r="AI12">
        <v>6.86</v>
      </c>
      <c r="AJ12">
        <v>0.14000000000000001</v>
      </c>
      <c r="AK12" t="s">
        <v>6</v>
      </c>
      <c r="AL12" s="1">
        <v>45371</v>
      </c>
      <c r="AM12" t="s">
        <v>13</v>
      </c>
      <c r="AN12">
        <f>Table1[[#This Row],[S51 mean]]+Table1[[#This Row],[S52 mean]]</f>
        <v>1447.6599999999999</v>
      </c>
      <c r="AO12">
        <f>AE12+AI12-AH12</f>
        <v>-752.34000000000015</v>
      </c>
      <c r="AP12">
        <f>Table1[[#This Row],[P53 mean]]-Table1[[#This Row],[P54 mean]]</f>
        <v>209.51</v>
      </c>
      <c r="AQ12">
        <f>Table1[[#This Row],[P54 tol]]+Table1[[#This Row],[P53 tol]]</f>
        <v>118.9</v>
      </c>
      <c r="AR12">
        <f>Table1[[#This Row],[P51 mean]]-Table1[[#This Row],[P52 mean]]</f>
        <v>133.63</v>
      </c>
      <c r="AS12">
        <f>Table1[[#This Row],[P51 tol]]+Table1[[#This Row],[P52 tol]]</f>
        <v>119.46000000000001</v>
      </c>
      <c r="AT12">
        <f>Table1[[#This Row],[P53 mean]]-Table1[[#This Row],[P54 mean]]</f>
        <v>209.51</v>
      </c>
      <c r="AU12">
        <f>Table1[[#This Row],[P54 tol]]+Table1[[#This Row],[P53 tol]]</f>
        <v>118.9</v>
      </c>
      <c r="AV12" s="5">
        <f>Table1[[#This Row],[P54 mean]]-Table1[[#This Row],[P51 mean]]</f>
        <v>-709.3599999999999</v>
      </c>
      <c r="AW12" s="5">
        <f>Table1[[#This Row],[P51 tol]]+Table1[[#This Row],[P54 tol]]</f>
        <v>117.36</v>
      </c>
    </row>
    <row r="13" spans="1:49" x14ac:dyDescent="0.3">
      <c r="A13" t="s">
        <v>8</v>
      </c>
      <c r="B13">
        <v>217.42</v>
      </c>
      <c r="C13">
        <v>43.11</v>
      </c>
      <c r="D13" t="s">
        <v>4</v>
      </c>
      <c r="E13">
        <v>2000.54</v>
      </c>
      <c r="F13">
        <v>105.42</v>
      </c>
      <c r="G13" t="s">
        <v>3</v>
      </c>
      <c r="H13">
        <v>2000</v>
      </c>
      <c r="I13">
        <v>45.24</v>
      </c>
      <c r="J13">
        <v>2.63</v>
      </c>
      <c r="K13" t="s">
        <v>7</v>
      </c>
      <c r="L13">
        <v>44.82</v>
      </c>
      <c r="M13">
        <v>1.48</v>
      </c>
      <c r="N13" t="s">
        <v>7</v>
      </c>
      <c r="O13">
        <v>8500.76</v>
      </c>
      <c r="P13">
        <v>172.94</v>
      </c>
      <c r="Q13" t="s">
        <v>3</v>
      </c>
      <c r="R13">
        <v>8500</v>
      </c>
      <c r="S13">
        <v>-153.97</v>
      </c>
      <c r="T13">
        <v>31.5</v>
      </c>
      <c r="U13" t="s">
        <v>4</v>
      </c>
      <c r="V13">
        <v>-275.8</v>
      </c>
      <c r="W13">
        <v>33.53</v>
      </c>
      <c r="X13" t="s">
        <v>4</v>
      </c>
      <c r="Y13">
        <v>-615.61</v>
      </c>
      <c r="Z13">
        <v>32.74</v>
      </c>
      <c r="AA13" t="s">
        <v>5</v>
      </c>
      <c r="AB13">
        <v>-746.62</v>
      </c>
      <c r="AC13">
        <v>36.9</v>
      </c>
      <c r="AD13" t="s">
        <v>4</v>
      </c>
      <c r="AE13">
        <v>8.51</v>
      </c>
      <c r="AF13">
        <v>0.21</v>
      </c>
      <c r="AG13" t="s">
        <v>6</v>
      </c>
      <c r="AH13">
        <v>2000</v>
      </c>
      <c r="AI13">
        <v>1632.58</v>
      </c>
      <c r="AJ13">
        <v>131.44999999999999</v>
      </c>
      <c r="AK13" t="s">
        <v>6</v>
      </c>
      <c r="AL13" s="1">
        <v>45370</v>
      </c>
      <c r="AM13" t="s">
        <v>9</v>
      </c>
      <c r="AN13">
        <f>Table1[[#This Row],[S51 mean]]+Table1[[#This Row],[S52 mean]]</f>
        <v>1641.09</v>
      </c>
      <c r="AO13">
        <f>AE13+AI13-AH13</f>
        <v>-358.91000000000008</v>
      </c>
      <c r="AP13">
        <f>Table1[[#This Row],[P53 mean]]-Table1[[#This Row],[P54 mean]]</f>
        <v>131.01</v>
      </c>
      <c r="AQ13">
        <f>Table1[[#This Row],[P54 tol]]+Table1[[#This Row],[P53 tol]]</f>
        <v>69.64</v>
      </c>
      <c r="AR13">
        <f>Table1[[#This Row],[P51 mean]]-Table1[[#This Row],[P52 mean]]</f>
        <v>121.83000000000001</v>
      </c>
      <c r="AS13">
        <f>Table1[[#This Row],[P51 tol]]+Table1[[#This Row],[P52 tol]]</f>
        <v>65.03</v>
      </c>
      <c r="AT13">
        <f>Table1[[#This Row],[P53 mean]]-Table1[[#This Row],[P54 mean]]</f>
        <v>131.01</v>
      </c>
      <c r="AU13">
        <f>Table1[[#This Row],[P54 tol]]+Table1[[#This Row],[P53 tol]]</f>
        <v>69.64</v>
      </c>
      <c r="AV13" s="5">
        <f>Table1[[#This Row],[P54 mean]]-Table1[[#This Row],[P51 mean]]</f>
        <v>-592.65</v>
      </c>
      <c r="AW13" s="5">
        <f>Table1[[#This Row],[P51 tol]]+Table1[[#This Row],[P54 tol]]</f>
        <v>68.400000000000006</v>
      </c>
    </row>
    <row r="14" spans="1:49" x14ac:dyDescent="0.3">
      <c r="A14" t="s">
        <v>8</v>
      </c>
      <c r="B14">
        <v>212.91</v>
      </c>
      <c r="C14">
        <v>55.73</v>
      </c>
      <c r="D14" t="s">
        <v>4</v>
      </c>
      <c r="E14">
        <v>2000.03</v>
      </c>
      <c r="F14">
        <v>104.7</v>
      </c>
      <c r="G14" t="s">
        <v>3</v>
      </c>
      <c r="H14">
        <v>2000</v>
      </c>
      <c r="I14">
        <v>44.79</v>
      </c>
      <c r="J14">
        <v>3.24</v>
      </c>
      <c r="K14" t="s">
        <v>7</v>
      </c>
      <c r="L14">
        <v>44.92</v>
      </c>
      <c r="M14">
        <v>2.89</v>
      </c>
      <c r="N14" t="s">
        <v>7</v>
      </c>
      <c r="O14">
        <v>8499.8700000000008</v>
      </c>
      <c r="P14">
        <v>174.52</v>
      </c>
      <c r="Q14" t="s">
        <v>3</v>
      </c>
      <c r="R14">
        <v>8500</v>
      </c>
      <c r="S14">
        <v>-145.65</v>
      </c>
      <c r="T14">
        <v>58.69</v>
      </c>
      <c r="U14" t="s">
        <v>4</v>
      </c>
      <c r="V14">
        <v>-271.32</v>
      </c>
      <c r="W14">
        <v>38.85</v>
      </c>
      <c r="X14" t="s">
        <v>4</v>
      </c>
      <c r="Y14">
        <v>-609.13</v>
      </c>
      <c r="Z14">
        <v>34.590000000000003</v>
      </c>
      <c r="AA14" t="s">
        <v>5</v>
      </c>
      <c r="AB14">
        <v>-739.02</v>
      </c>
      <c r="AC14">
        <v>38.85</v>
      </c>
      <c r="AD14" t="s">
        <v>4</v>
      </c>
      <c r="AE14">
        <v>8.85</v>
      </c>
      <c r="AF14">
        <v>0.2</v>
      </c>
      <c r="AG14" t="s">
        <v>6</v>
      </c>
      <c r="AH14">
        <v>2000</v>
      </c>
      <c r="AI14">
        <v>1679.07</v>
      </c>
      <c r="AJ14">
        <v>383.3</v>
      </c>
      <c r="AK14" t="s">
        <v>6</v>
      </c>
      <c r="AL14" s="1">
        <v>45369</v>
      </c>
      <c r="AM14" t="s">
        <v>9</v>
      </c>
      <c r="AN14">
        <f>Table1[[#This Row],[S51 mean]]+Table1[[#This Row],[S52 mean]]</f>
        <v>1687.9199999999998</v>
      </c>
      <c r="AO14">
        <f>AE14+AI14-AH14</f>
        <v>-312.08000000000015</v>
      </c>
      <c r="AP14">
        <f>Table1[[#This Row],[P53 mean]]-Table1[[#This Row],[P54 mean]]</f>
        <v>129.88999999999999</v>
      </c>
      <c r="AQ14">
        <f>Table1[[#This Row],[P54 tol]]+Table1[[#This Row],[P53 tol]]</f>
        <v>73.44</v>
      </c>
      <c r="AR14">
        <f>Table1[[#This Row],[P51 mean]]-Table1[[#This Row],[P52 mean]]</f>
        <v>125.66999999999999</v>
      </c>
      <c r="AS14">
        <f>Table1[[#This Row],[P51 tol]]+Table1[[#This Row],[P52 tol]]</f>
        <v>97.539999999999992</v>
      </c>
      <c r="AT14">
        <f>Table1[[#This Row],[P53 mean]]-Table1[[#This Row],[P54 mean]]</f>
        <v>129.88999999999999</v>
      </c>
      <c r="AU14">
        <f>Table1[[#This Row],[P54 tol]]+Table1[[#This Row],[P53 tol]]</f>
        <v>73.44</v>
      </c>
      <c r="AV14" s="5">
        <f>Table1[[#This Row],[P54 mean]]-Table1[[#This Row],[P51 mean]]</f>
        <v>-593.37</v>
      </c>
      <c r="AW14" s="5">
        <f>Table1[[#This Row],[P51 tol]]+Table1[[#This Row],[P54 tol]]</f>
        <v>97.539999999999992</v>
      </c>
    </row>
    <row r="15" spans="1:49" x14ac:dyDescent="0.3">
      <c r="A15" t="s">
        <v>8</v>
      </c>
      <c r="B15">
        <v>205.95</v>
      </c>
      <c r="C15">
        <v>34.619999999999997</v>
      </c>
      <c r="D15" t="s">
        <v>4</v>
      </c>
      <c r="E15">
        <v>2001.07</v>
      </c>
      <c r="F15">
        <v>175.04</v>
      </c>
      <c r="G15" t="s">
        <v>3</v>
      </c>
      <c r="H15">
        <v>2000</v>
      </c>
      <c r="I15">
        <v>45.13</v>
      </c>
      <c r="J15">
        <v>2.52</v>
      </c>
      <c r="K15" t="s">
        <v>7</v>
      </c>
      <c r="L15">
        <v>51.13</v>
      </c>
      <c r="M15">
        <v>4.62</v>
      </c>
      <c r="N15" t="s">
        <v>7</v>
      </c>
      <c r="O15">
        <v>8499.5300000000007</v>
      </c>
      <c r="P15">
        <v>154.11000000000001</v>
      </c>
      <c r="Q15" t="s">
        <v>3</v>
      </c>
      <c r="R15">
        <v>8500</v>
      </c>
      <c r="S15">
        <v>-68.73</v>
      </c>
      <c r="T15">
        <v>47.36</v>
      </c>
      <c r="U15" t="s">
        <v>4</v>
      </c>
      <c r="V15">
        <v>-301.67</v>
      </c>
      <c r="W15">
        <v>31.23</v>
      </c>
      <c r="X15" t="s">
        <v>4</v>
      </c>
      <c r="Y15">
        <v>-656.08</v>
      </c>
      <c r="Z15">
        <v>42.09</v>
      </c>
      <c r="AA15" t="s">
        <v>5</v>
      </c>
      <c r="AB15">
        <v>-787.74</v>
      </c>
      <c r="AC15">
        <v>45.17</v>
      </c>
      <c r="AD15" t="s">
        <v>4</v>
      </c>
      <c r="AE15">
        <v>1777.04</v>
      </c>
      <c r="AF15">
        <v>231.03</v>
      </c>
      <c r="AG15" t="s">
        <v>6</v>
      </c>
      <c r="AH15">
        <v>2000</v>
      </c>
      <c r="AI15">
        <v>6.74</v>
      </c>
      <c r="AJ15">
        <v>0.11</v>
      </c>
      <c r="AK15" t="s">
        <v>6</v>
      </c>
      <c r="AL15" s="1">
        <v>45368</v>
      </c>
      <c r="AM15" t="s">
        <v>9</v>
      </c>
      <c r="AN15">
        <f>Table1[[#This Row],[S51 mean]]+Table1[[#This Row],[S52 mean]]</f>
        <v>1783.78</v>
      </c>
      <c r="AO15">
        <f>AE15+AI15-AH15</f>
        <v>-216.22000000000003</v>
      </c>
      <c r="AP15">
        <f>Table1[[#This Row],[P53 mean]]-Table1[[#This Row],[P54 mean]]</f>
        <v>131.65999999999997</v>
      </c>
      <c r="AQ15">
        <f>Table1[[#This Row],[P54 tol]]+Table1[[#This Row],[P53 tol]]</f>
        <v>87.26</v>
      </c>
      <c r="AR15">
        <f>Table1[[#This Row],[P51 mean]]-Table1[[#This Row],[P52 mean]]</f>
        <v>232.94</v>
      </c>
      <c r="AS15">
        <f>Table1[[#This Row],[P51 tol]]+Table1[[#This Row],[P52 tol]]</f>
        <v>78.59</v>
      </c>
      <c r="AT15">
        <f>Table1[[#This Row],[P53 mean]]-Table1[[#This Row],[P54 mean]]</f>
        <v>131.65999999999997</v>
      </c>
      <c r="AU15">
        <f>Table1[[#This Row],[P54 tol]]+Table1[[#This Row],[P53 tol]]</f>
        <v>87.26</v>
      </c>
      <c r="AV15" s="5">
        <f>Table1[[#This Row],[P54 mean]]-Table1[[#This Row],[P51 mean]]</f>
        <v>-719.01</v>
      </c>
      <c r="AW15" s="5">
        <f>Table1[[#This Row],[P51 tol]]+Table1[[#This Row],[P54 tol]]</f>
        <v>92.53</v>
      </c>
    </row>
    <row r="16" spans="1:49" x14ac:dyDescent="0.3">
      <c r="A16" t="s">
        <v>8</v>
      </c>
      <c r="B16">
        <v>194.47</v>
      </c>
      <c r="C16">
        <v>28.24</v>
      </c>
      <c r="D16" t="s">
        <v>4</v>
      </c>
      <c r="E16">
        <v>1999.4</v>
      </c>
      <c r="F16">
        <v>150.69</v>
      </c>
      <c r="G16" t="s">
        <v>3</v>
      </c>
      <c r="H16">
        <v>2000</v>
      </c>
      <c r="I16">
        <v>45.23</v>
      </c>
      <c r="J16">
        <v>2.13</v>
      </c>
      <c r="K16" t="s">
        <v>7</v>
      </c>
      <c r="L16">
        <v>49.92</v>
      </c>
      <c r="M16">
        <v>5.45</v>
      </c>
      <c r="N16" t="s">
        <v>7</v>
      </c>
      <c r="O16">
        <v>8499.4699999999993</v>
      </c>
      <c r="P16">
        <v>146.46</v>
      </c>
      <c r="Q16" t="s">
        <v>3</v>
      </c>
      <c r="R16">
        <v>8500</v>
      </c>
      <c r="S16">
        <v>-87.16</v>
      </c>
      <c r="T16">
        <v>61.15</v>
      </c>
      <c r="U16" t="s">
        <v>4</v>
      </c>
      <c r="V16">
        <v>-316.8</v>
      </c>
      <c r="W16">
        <v>36.979999999999997</v>
      </c>
      <c r="X16" t="s">
        <v>4</v>
      </c>
      <c r="Y16">
        <v>-675.71</v>
      </c>
      <c r="Z16">
        <v>48.25</v>
      </c>
      <c r="AA16" t="s">
        <v>5</v>
      </c>
      <c r="AB16">
        <v>-808.89</v>
      </c>
      <c r="AC16">
        <v>50.23</v>
      </c>
      <c r="AD16" t="s">
        <v>4</v>
      </c>
      <c r="AE16">
        <v>1926.68</v>
      </c>
      <c r="AF16">
        <v>134.74</v>
      </c>
      <c r="AG16" t="s">
        <v>6</v>
      </c>
      <c r="AH16">
        <v>2000</v>
      </c>
      <c r="AI16">
        <v>6.59</v>
      </c>
      <c r="AJ16">
        <v>0.12</v>
      </c>
      <c r="AK16" t="s">
        <v>6</v>
      </c>
      <c r="AL16" s="1">
        <v>45367</v>
      </c>
      <c r="AM16" t="s">
        <v>9</v>
      </c>
      <c r="AN16">
        <f>Table1[[#This Row],[S51 mean]]+Table1[[#This Row],[S52 mean]]</f>
        <v>1933.27</v>
      </c>
      <c r="AO16">
        <f>AE16+AI16-AH16</f>
        <v>-66.730000000000018</v>
      </c>
      <c r="AP16">
        <f>Table1[[#This Row],[P53 mean]]-Table1[[#This Row],[P54 mean]]</f>
        <v>133.17999999999995</v>
      </c>
      <c r="AQ16">
        <f>Table1[[#This Row],[P54 tol]]+Table1[[#This Row],[P53 tol]]</f>
        <v>98.47999999999999</v>
      </c>
      <c r="AR16">
        <f>Table1[[#This Row],[P51 mean]]-Table1[[#This Row],[P52 mean]]</f>
        <v>229.64000000000001</v>
      </c>
      <c r="AS16">
        <f>Table1[[#This Row],[P51 tol]]+Table1[[#This Row],[P52 tol]]</f>
        <v>98.13</v>
      </c>
      <c r="AT16">
        <f>Table1[[#This Row],[P53 mean]]-Table1[[#This Row],[P54 mean]]</f>
        <v>133.17999999999995</v>
      </c>
      <c r="AU16">
        <f>Table1[[#This Row],[P54 tol]]+Table1[[#This Row],[P53 tol]]</f>
        <v>98.47999999999999</v>
      </c>
      <c r="AV16" s="5">
        <f>Table1[[#This Row],[P54 mean]]-Table1[[#This Row],[P51 mean]]</f>
        <v>-721.73</v>
      </c>
      <c r="AW16" s="5">
        <f>Table1[[#This Row],[P51 tol]]+Table1[[#This Row],[P54 tol]]</f>
        <v>111.38</v>
      </c>
    </row>
    <row r="17" spans="1:49" x14ac:dyDescent="0.3">
      <c r="A17" t="s">
        <v>10</v>
      </c>
      <c r="B17">
        <v>154.43</v>
      </c>
      <c r="C17">
        <v>18.78</v>
      </c>
      <c r="D17" t="s">
        <v>4</v>
      </c>
      <c r="E17">
        <v>1999.1</v>
      </c>
      <c r="F17">
        <v>129.52000000000001</v>
      </c>
      <c r="G17" t="s">
        <v>3</v>
      </c>
      <c r="H17">
        <v>2000</v>
      </c>
      <c r="I17">
        <v>45.09</v>
      </c>
      <c r="J17">
        <v>3.12</v>
      </c>
      <c r="K17" t="s">
        <v>7</v>
      </c>
      <c r="L17">
        <v>56.47</v>
      </c>
      <c r="M17">
        <v>2.25</v>
      </c>
      <c r="N17" t="s">
        <v>7</v>
      </c>
      <c r="O17">
        <v>10800.22</v>
      </c>
      <c r="P17">
        <v>148.81</v>
      </c>
      <c r="Q17" t="s">
        <v>3</v>
      </c>
      <c r="R17">
        <v>10800</v>
      </c>
      <c r="S17">
        <v>-113.94</v>
      </c>
      <c r="T17">
        <v>54.68</v>
      </c>
      <c r="U17" t="s">
        <v>4</v>
      </c>
      <c r="V17">
        <v>-240.83</v>
      </c>
      <c r="W17">
        <v>47.16</v>
      </c>
      <c r="X17" t="s">
        <v>4</v>
      </c>
      <c r="Y17">
        <v>-607.29</v>
      </c>
      <c r="Z17">
        <v>42.42</v>
      </c>
      <c r="AA17" t="s">
        <v>5</v>
      </c>
      <c r="AB17">
        <v>-820.24</v>
      </c>
      <c r="AC17">
        <v>45.33</v>
      </c>
      <c r="AD17" t="s">
        <v>4</v>
      </c>
      <c r="AE17">
        <v>8.52</v>
      </c>
      <c r="AF17">
        <v>0.15</v>
      </c>
      <c r="AG17" t="s">
        <v>6</v>
      </c>
      <c r="AH17">
        <v>2100</v>
      </c>
      <c r="AI17">
        <v>1079.8699999999999</v>
      </c>
      <c r="AJ17">
        <v>53.62</v>
      </c>
      <c r="AK17" t="s">
        <v>6</v>
      </c>
      <c r="AL17" s="1">
        <v>45366</v>
      </c>
      <c r="AM17" t="s">
        <v>11</v>
      </c>
      <c r="AN17">
        <f>Table1[[#This Row],[S51 mean]]+Table1[[#This Row],[S52 mean]]</f>
        <v>1088.3899999999999</v>
      </c>
      <c r="AO17">
        <f>AE17+AI17-AH17</f>
        <v>-1011.6100000000001</v>
      </c>
      <c r="AP17">
        <f>Table1[[#This Row],[P53 mean]]-Table1[[#This Row],[P54 mean]]</f>
        <v>212.95000000000005</v>
      </c>
      <c r="AQ17">
        <f>Table1[[#This Row],[P54 tol]]+Table1[[#This Row],[P53 tol]]</f>
        <v>87.75</v>
      </c>
      <c r="AR17">
        <f>Table1[[#This Row],[P51 mean]]-Table1[[#This Row],[P52 mean]]</f>
        <v>126.89000000000001</v>
      </c>
      <c r="AS17">
        <f>Table1[[#This Row],[P51 tol]]+Table1[[#This Row],[P52 tol]]</f>
        <v>101.84</v>
      </c>
      <c r="AT17">
        <f>Table1[[#This Row],[P53 mean]]-Table1[[#This Row],[P54 mean]]</f>
        <v>212.95000000000005</v>
      </c>
      <c r="AU17">
        <f>Table1[[#This Row],[P54 tol]]+Table1[[#This Row],[P53 tol]]</f>
        <v>87.75</v>
      </c>
      <c r="AV17" s="5">
        <f>Table1[[#This Row],[P54 mean]]-Table1[[#This Row],[P51 mean]]</f>
        <v>-706.3</v>
      </c>
      <c r="AW17" s="5">
        <f>Table1[[#This Row],[P51 tol]]+Table1[[#This Row],[P54 tol]]</f>
        <v>100.00999999999999</v>
      </c>
    </row>
    <row r="18" spans="1:49" x14ac:dyDescent="0.3">
      <c r="A18" t="s">
        <v>8</v>
      </c>
      <c r="B18">
        <v>204.62</v>
      </c>
      <c r="C18">
        <v>18.239999999999998</v>
      </c>
      <c r="D18" t="s">
        <v>4</v>
      </c>
      <c r="E18">
        <v>1999.16</v>
      </c>
      <c r="F18">
        <v>158.91</v>
      </c>
      <c r="G18" t="s">
        <v>3</v>
      </c>
      <c r="H18">
        <v>2000</v>
      </c>
      <c r="I18">
        <v>45.76</v>
      </c>
      <c r="J18">
        <v>1.96</v>
      </c>
      <c r="K18" t="s">
        <v>7</v>
      </c>
      <c r="L18">
        <v>46.5</v>
      </c>
      <c r="M18">
        <v>3.18</v>
      </c>
      <c r="N18" t="s">
        <v>7</v>
      </c>
      <c r="O18">
        <v>8499.6</v>
      </c>
      <c r="P18">
        <v>171.63</v>
      </c>
      <c r="Q18" t="s">
        <v>3</v>
      </c>
      <c r="R18">
        <v>8500</v>
      </c>
      <c r="S18">
        <v>-122.8</v>
      </c>
      <c r="T18">
        <v>58.38</v>
      </c>
      <c r="U18" t="s">
        <v>4</v>
      </c>
      <c r="V18">
        <v>-277.64</v>
      </c>
      <c r="W18">
        <v>24.04</v>
      </c>
      <c r="X18" t="s">
        <v>4</v>
      </c>
      <c r="Y18">
        <v>-629.54999999999995</v>
      </c>
      <c r="Z18">
        <v>25.1</v>
      </c>
      <c r="AA18" t="s">
        <v>5</v>
      </c>
      <c r="AB18">
        <v>-765.45</v>
      </c>
      <c r="AC18">
        <v>29.75</v>
      </c>
      <c r="AD18" t="s">
        <v>4</v>
      </c>
      <c r="AE18">
        <v>8.52</v>
      </c>
      <c r="AF18">
        <v>0.13</v>
      </c>
      <c r="AG18" t="s">
        <v>6</v>
      </c>
      <c r="AH18">
        <v>2000</v>
      </c>
      <c r="AI18">
        <v>2000.05</v>
      </c>
      <c r="AJ18">
        <v>57.4</v>
      </c>
      <c r="AK18" t="s">
        <v>6</v>
      </c>
      <c r="AL18" s="1">
        <v>45365</v>
      </c>
      <c r="AM18" t="s">
        <v>9</v>
      </c>
      <c r="AN18">
        <f>Table1[[#This Row],[S51 mean]]+Table1[[#This Row],[S52 mean]]</f>
        <v>2008.57</v>
      </c>
      <c r="AO18">
        <f>AE18+AI18-AH18</f>
        <v>8.5699999999999363</v>
      </c>
      <c r="AP18">
        <f>Table1[[#This Row],[P53 mean]]-Table1[[#This Row],[P54 mean]]</f>
        <v>135.90000000000009</v>
      </c>
      <c r="AQ18">
        <f>Table1[[#This Row],[P54 tol]]+Table1[[#This Row],[P53 tol]]</f>
        <v>54.85</v>
      </c>
      <c r="AR18">
        <f>Table1[[#This Row],[P51 mean]]-Table1[[#This Row],[P52 mean]]</f>
        <v>154.83999999999997</v>
      </c>
      <c r="AS18">
        <f>Table1[[#This Row],[P51 tol]]+Table1[[#This Row],[P52 tol]]</f>
        <v>82.42</v>
      </c>
      <c r="AT18">
        <f>Table1[[#This Row],[P53 mean]]-Table1[[#This Row],[P54 mean]]</f>
        <v>135.90000000000009</v>
      </c>
      <c r="AU18">
        <f>Table1[[#This Row],[P54 tol]]+Table1[[#This Row],[P53 tol]]</f>
        <v>54.85</v>
      </c>
      <c r="AV18" s="5">
        <f>Table1[[#This Row],[P54 mean]]-Table1[[#This Row],[P51 mean]]</f>
        <v>-642.65000000000009</v>
      </c>
      <c r="AW18" s="5">
        <f>Table1[[#This Row],[P51 tol]]+Table1[[#This Row],[P54 tol]]</f>
        <v>88.13</v>
      </c>
    </row>
    <row r="19" spans="1:49" x14ac:dyDescent="0.3">
      <c r="A19" t="s">
        <v>10</v>
      </c>
      <c r="B19">
        <v>137.6</v>
      </c>
      <c r="C19">
        <v>15.66</v>
      </c>
      <c r="D19" t="s">
        <v>4</v>
      </c>
      <c r="E19">
        <v>2001.07</v>
      </c>
      <c r="F19">
        <v>111.91</v>
      </c>
      <c r="G19" t="s">
        <v>3</v>
      </c>
      <c r="H19">
        <v>2000</v>
      </c>
      <c r="I19">
        <v>45.76</v>
      </c>
      <c r="J19">
        <v>2.17</v>
      </c>
      <c r="K19" t="s">
        <v>7</v>
      </c>
      <c r="L19">
        <v>55.77</v>
      </c>
      <c r="M19">
        <v>2.62</v>
      </c>
      <c r="N19" t="s">
        <v>7</v>
      </c>
      <c r="O19">
        <v>10800.43</v>
      </c>
      <c r="P19">
        <v>151.74</v>
      </c>
      <c r="Q19" t="s">
        <v>3</v>
      </c>
      <c r="R19">
        <v>10800</v>
      </c>
      <c r="S19">
        <v>-136.07</v>
      </c>
      <c r="T19">
        <v>37.15</v>
      </c>
      <c r="U19" t="s">
        <v>4</v>
      </c>
      <c r="V19">
        <v>-172.15</v>
      </c>
      <c r="W19">
        <v>49.85</v>
      </c>
      <c r="X19" t="s">
        <v>4</v>
      </c>
      <c r="Y19">
        <v>-600.27</v>
      </c>
      <c r="Z19">
        <v>34.72</v>
      </c>
      <c r="AA19" t="s">
        <v>5</v>
      </c>
      <c r="AB19">
        <v>-802.79</v>
      </c>
      <c r="AC19">
        <v>39.67</v>
      </c>
      <c r="AD19" t="s">
        <v>4</v>
      </c>
      <c r="AE19">
        <v>8.51</v>
      </c>
      <c r="AF19">
        <v>0.13</v>
      </c>
      <c r="AG19" t="s">
        <v>6</v>
      </c>
      <c r="AH19">
        <v>2100</v>
      </c>
      <c r="AI19">
        <v>599.94000000000005</v>
      </c>
      <c r="AJ19">
        <v>53.19</v>
      </c>
      <c r="AK19" t="s">
        <v>6</v>
      </c>
      <c r="AL19" s="1">
        <v>45365</v>
      </c>
      <c r="AM19" t="s">
        <v>11</v>
      </c>
      <c r="AN19">
        <f>Table1[[#This Row],[S51 mean]]+Table1[[#This Row],[S52 mean]]</f>
        <v>608.45000000000005</v>
      </c>
      <c r="AO19">
        <f>AE19+AI19-AH19</f>
        <v>-1491.55</v>
      </c>
      <c r="AP19">
        <f>Table1[[#This Row],[P53 mean]]-Table1[[#This Row],[P54 mean]]</f>
        <v>202.51999999999998</v>
      </c>
      <c r="AQ19">
        <f>Table1[[#This Row],[P54 tol]]+Table1[[#This Row],[P53 tol]]</f>
        <v>74.39</v>
      </c>
      <c r="AR19">
        <f>Table1[[#This Row],[P51 mean]]-Table1[[#This Row],[P52 mean]]</f>
        <v>36.080000000000013</v>
      </c>
      <c r="AS19">
        <f>Table1[[#This Row],[P51 tol]]+Table1[[#This Row],[P52 tol]]</f>
        <v>87</v>
      </c>
      <c r="AT19">
        <f>Table1[[#This Row],[P53 mean]]-Table1[[#This Row],[P54 mean]]</f>
        <v>202.51999999999998</v>
      </c>
      <c r="AU19">
        <f>Table1[[#This Row],[P54 tol]]+Table1[[#This Row],[P53 tol]]</f>
        <v>74.39</v>
      </c>
      <c r="AV19" s="5">
        <f>Table1[[#This Row],[P54 mean]]-Table1[[#This Row],[P51 mean]]</f>
        <v>-666.72</v>
      </c>
      <c r="AW19" s="5">
        <f>Table1[[#This Row],[P51 tol]]+Table1[[#This Row],[P54 tol]]</f>
        <v>76.819999999999993</v>
      </c>
    </row>
    <row r="20" spans="1:49" x14ac:dyDescent="0.3">
      <c r="A20" t="s">
        <v>8</v>
      </c>
      <c r="B20">
        <v>133.19999999999999</v>
      </c>
      <c r="C20">
        <v>16.95</v>
      </c>
      <c r="D20" t="s">
        <v>4</v>
      </c>
      <c r="E20">
        <v>2001.3</v>
      </c>
      <c r="F20">
        <v>198.71</v>
      </c>
      <c r="G20" t="s">
        <v>3</v>
      </c>
      <c r="H20">
        <v>2000</v>
      </c>
      <c r="I20">
        <v>46.7</v>
      </c>
      <c r="J20">
        <v>2.0499999999999998</v>
      </c>
      <c r="K20" t="s">
        <v>7</v>
      </c>
      <c r="L20">
        <v>55.85</v>
      </c>
      <c r="M20">
        <v>3.3</v>
      </c>
      <c r="N20" t="s">
        <v>7</v>
      </c>
      <c r="O20">
        <v>8498.81</v>
      </c>
      <c r="P20">
        <v>171.25</v>
      </c>
      <c r="Q20" t="s">
        <v>3</v>
      </c>
      <c r="R20">
        <v>8500</v>
      </c>
      <c r="S20">
        <v>-80.239999999999995</v>
      </c>
      <c r="T20">
        <v>20.54</v>
      </c>
      <c r="U20" t="s">
        <v>4</v>
      </c>
      <c r="V20">
        <v>-355.8</v>
      </c>
      <c r="W20">
        <v>27.11</v>
      </c>
      <c r="X20" t="s">
        <v>4</v>
      </c>
      <c r="Y20">
        <v>-731.23</v>
      </c>
      <c r="Z20">
        <v>26.22</v>
      </c>
      <c r="AA20" t="s">
        <v>5</v>
      </c>
      <c r="AB20">
        <v>-863.5</v>
      </c>
      <c r="AC20">
        <v>29.91</v>
      </c>
      <c r="AD20" t="s">
        <v>4</v>
      </c>
      <c r="AE20">
        <v>8.52</v>
      </c>
      <c r="AF20">
        <v>0.17</v>
      </c>
      <c r="AG20" t="s">
        <v>6</v>
      </c>
      <c r="AH20">
        <v>2000</v>
      </c>
      <c r="AI20">
        <v>1799.85</v>
      </c>
      <c r="AJ20">
        <v>53.14</v>
      </c>
      <c r="AK20" t="s">
        <v>6</v>
      </c>
      <c r="AL20" s="1">
        <v>45364</v>
      </c>
      <c r="AM20" t="s">
        <v>9</v>
      </c>
      <c r="AN20">
        <f>Table1[[#This Row],[S51 mean]]+Table1[[#This Row],[S52 mean]]</f>
        <v>1808.37</v>
      </c>
      <c r="AO20">
        <f>AE20+AI20-AH20</f>
        <v>-191.63000000000011</v>
      </c>
      <c r="AP20">
        <f>Table1[[#This Row],[P53 mean]]-Table1[[#This Row],[P54 mean]]</f>
        <v>132.26999999999998</v>
      </c>
      <c r="AQ20">
        <f>Table1[[#This Row],[P54 tol]]+Table1[[#This Row],[P53 tol]]</f>
        <v>56.129999999999995</v>
      </c>
      <c r="AR20">
        <f>Table1[[#This Row],[P51 mean]]-Table1[[#This Row],[P52 mean]]</f>
        <v>275.56</v>
      </c>
      <c r="AS20">
        <f>Table1[[#This Row],[P51 tol]]+Table1[[#This Row],[P52 tol]]</f>
        <v>47.65</v>
      </c>
      <c r="AT20">
        <f>Table1[[#This Row],[P53 mean]]-Table1[[#This Row],[P54 mean]]</f>
        <v>132.26999999999998</v>
      </c>
      <c r="AU20">
        <f>Table1[[#This Row],[P54 tol]]+Table1[[#This Row],[P53 tol]]</f>
        <v>56.129999999999995</v>
      </c>
      <c r="AV20" s="5">
        <f>Table1[[#This Row],[P54 mean]]-Table1[[#This Row],[P51 mean]]</f>
        <v>-783.26</v>
      </c>
      <c r="AW20" s="5">
        <f>Table1[[#This Row],[P51 tol]]+Table1[[#This Row],[P54 tol]]</f>
        <v>50.45</v>
      </c>
    </row>
    <row r="21" spans="1:49" x14ac:dyDescent="0.3">
      <c r="A21" t="s">
        <v>16</v>
      </c>
      <c r="B21">
        <v>109.69</v>
      </c>
      <c r="C21">
        <v>37.770000000000003</v>
      </c>
      <c r="D21" t="s">
        <v>4</v>
      </c>
      <c r="E21">
        <v>2000.01</v>
      </c>
      <c r="F21">
        <v>263.68</v>
      </c>
      <c r="G21" t="s">
        <v>3</v>
      </c>
      <c r="H21">
        <v>2000</v>
      </c>
      <c r="I21">
        <v>47.68</v>
      </c>
      <c r="J21">
        <v>2.17</v>
      </c>
      <c r="K21" t="s">
        <v>7</v>
      </c>
      <c r="L21">
        <v>39.369999999999997</v>
      </c>
      <c r="M21">
        <v>4.71</v>
      </c>
      <c r="N21" t="s">
        <v>7</v>
      </c>
      <c r="O21">
        <v>6000.27</v>
      </c>
      <c r="P21">
        <v>139.22999999999999</v>
      </c>
      <c r="Q21" t="s">
        <v>3</v>
      </c>
      <c r="R21">
        <v>6000</v>
      </c>
      <c r="S21">
        <v>-229.05</v>
      </c>
      <c r="T21">
        <v>52.16</v>
      </c>
      <c r="U21" t="s">
        <v>4</v>
      </c>
      <c r="V21">
        <v>-436.43</v>
      </c>
      <c r="W21">
        <v>28.22</v>
      </c>
      <c r="X21" t="s">
        <v>4</v>
      </c>
      <c r="Y21">
        <v>-870.35</v>
      </c>
      <c r="Z21">
        <v>33.78</v>
      </c>
      <c r="AA21" t="s">
        <v>5</v>
      </c>
      <c r="AB21">
        <v>-931.44</v>
      </c>
      <c r="AC21">
        <v>39.89</v>
      </c>
      <c r="AD21" t="s">
        <v>4</v>
      </c>
      <c r="AE21">
        <v>1124.06</v>
      </c>
      <c r="AF21">
        <v>132.63</v>
      </c>
      <c r="AG21" t="s">
        <v>6</v>
      </c>
      <c r="AH21">
        <v>1050</v>
      </c>
      <c r="AI21">
        <v>6.78</v>
      </c>
      <c r="AJ21">
        <v>0.14000000000000001</v>
      </c>
      <c r="AK21" t="s">
        <v>6</v>
      </c>
      <c r="AL21" s="1">
        <v>45363</v>
      </c>
      <c r="AM21" t="s">
        <v>17</v>
      </c>
      <c r="AN21">
        <f>Table1[[#This Row],[S51 mean]]+Table1[[#This Row],[S52 mean]]</f>
        <v>1130.8399999999999</v>
      </c>
      <c r="AO21">
        <f>AE21+AI21-AH21</f>
        <v>80.839999999999918</v>
      </c>
      <c r="AP21">
        <f>Table1[[#This Row],[P53 mean]]-Table1[[#This Row],[P54 mean]]</f>
        <v>61.090000000000032</v>
      </c>
      <c r="AQ21">
        <f>Table1[[#This Row],[P54 tol]]+Table1[[#This Row],[P53 tol]]</f>
        <v>73.67</v>
      </c>
      <c r="AR21">
        <f>Table1[[#This Row],[P51 mean]]-Table1[[#This Row],[P52 mean]]</f>
        <v>207.38</v>
      </c>
      <c r="AS21">
        <f>Table1[[#This Row],[P51 tol]]+Table1[[#This Row],[P52 tol]]</f>
        <v>80.38</v>
      </c>
      <c r="AT21">
        <f>Table1[[#This Row],[P53 mean]]-Table1[[#This Row],[P54 mean]]</f>
        <v>61.090000000000032</v>
      </c>
      <c r="AU21">
        <f>Table1[[#This Row],[P54 tol]]+Table1[[#This Row],[P53 tol]]</f>
        <v>73.67</v>
      </c>
      <c r="AV21" s="5">
        <f>Table1[[#This Row],[P54 mean]]-Table1[[#This Row],[P51 mean]]</f>
        <v>-702.3900000000001</v>
      </c>
      <c r="AW21" s="5">
        <f>Table1[[#This Row],[P51 tol]]+Table1[[#This Row],[P54 tol]]</f>
        <v>92.05</v>
      </c>
    </row>
    <row r="22" spans="1:49" x14ac:dyDescent="0.3">
      <c r="A22" t="s">
        <v>18</v>
      </c>
      <c r="B22">
        <v>232.93</v>
      </c>
      <c r="C22">
        <v>15.57</v>
      </c>
      <c r="D22" t="s">
        <v>4</v>
      </c>
      <c r="E22">
        <v>2000.34</v>
      </c>
      <c r="F22">
        <v>157.84</v>
      </c>
      <c r="G22" t="s">
        <v>3</v>
      </c>
      <c r="H22">
        <v>2000</v>
      </c>
      <c r="I22">
        <v>46.48</v>
      </c>
      <c r="J22">
        <v>2.14</v>
      </c>
      <c r="K22" t="s">
        <v>7</v>
      </c>
      <c r="L22">
        <v>35.159999999999997</v>
      </c>
      <c r="M22">
        <v>1.18</v>
      </c>
      <c r="N22" t="s">
        <v>7</v>
      </c>
      <c r="O22">
        <v>5999.87</v>
      </c>
      <c r="P22">
        <v>149.32</v>
      </c>
      <c r="Q22" t="s">
        <v>3</v>
      </c>
      <c r="R22">
        <v>6000</v>
      </c>
      <c r="S22">
        <v>-240.25</v>
      </c>
      <c r="T22">
        <v>24.55</v>
      </c>
      <c r="U22" t="s">
        <v>4</v>
      </c>
      <c r="V22">
        <v>-349.38</v>
      </c>
      <c r="W22">
        <v>30.09</v>
      </c>
      <c r="X22" t="s">
        <v>4</v>
      </c>
      <c r="Y22">
        <v>-766.08</v>
      </c>
      <c r="Z22">
        <v>31.2</v>
      </c>
      <c r="AA22" t="s">
        <v>5</v>
      </c>
      <c r="AB22">
        <v>-827.6</v>
      </c>
      <c r="AC22">
        <v>34.880000000000003</v>
      </c>
      <c r="AD22" t="s">
        <v>4</v>
      </c>
      <c r="AE22">
        <v>1049.97</v>
      </c>
      <c r="AF22">
        <v>23.75</v>
      </c>
      <c r="AG22" t="s">
        <v>6</v>
      </c>
      <c r="AH22">
        <v>1050</v>
      </c>
      <c r="AI22">
        <v>6.64</v>
      </c>
      <c r="AJ22">
        <v>0.13</v>
      </c>
      <c r="AK22" t="s">
        <v>6</v>
      </c>
      <c r="AL22" s="1">
        <v>45362</v>
      </c>
      <c r="AM22" t="s">
        <v>19</v>
      </c>
      <c r="AN22">
        <f>Table1[[#This Row],[S51 mean]]+Table1[[#This Row],[S52 mean]]</f>
        <v>1056.6100000000001</v>
      </c>
      <c r="AO22">
        <f>AE22+AI22-AH22</f>
        <v>6.6100000000001273</v>
      </c>
      <c r="AP22">
        <f>Table1[[#This Row],[P53 mean]]-Table1[[#This Row],[P54 mean]]</f>
        <v>61.519999999999982</v>
      </c>
      <c r="AQ22">
        <f>Table1[[#This Row],[P54 tol]]+Table1[[#This Row],[P53 tol]]</f>
        <v>66.08</v>
      </c>
      <c r="AR22">
        <f>Table1[[#This Row],[P51 mean]]-Table1[[#This Row],[P52 mean]]</f>
        <v>109.13</v>
      </c>
      <c r="AS22">
        <f>Table1[[#This Row],[P51 tol]]+Table1[[#This Row],[P52 tol]]</f>
        <v>54.64</v>
      </c>
      <c r="AT22">
        <f>Table1[[#This Row],[P53 mean]]-Table1[[#This Row],[P54 mean]]</f>
        <v>61.519999999999982</v>
      </c>
      <c r="AU22">
        <f>Table1[[#This Row],[P54 tol]]+Table1[[#This Row],[P53 tol]]</f>
        <v>66.08</v>
      </c>
      <c r="AV22" s="5">
        <f>Table1[[#This Row],[P54 mean]]-Table1[[#This Row],[P51 mean]]</f>
        <v>-587.35</v>
      </c>
      <c r="AW22" s="5">
        <f>Table1[[#This Row],[P51 tol]]+Table1[[#This Row],[P54 tol]]</f>
        <v>59.430000000000007</v>
      </c>
    </row>
    <row r="23" spans="1:49" x14ac:dyDescent="0.3">
      <c r="A23" t="s">
        <v>20</v>
      </c>
      <c r="B23">
        <v>255.71</v>
      </c>
      <c r="C23">
        <v>38.9</v>
      </c>
      <c r="D23" t="s">
        <v>4</v>
      </c>
      <c r="E23">
        <v>2000.3</v>
      </c>
      <c r="F23">
        <v>240.4</v>
      </c>
      <c r="G23" t="s">
        <v>3</v>
      </c>
      <c r="H23">
        <v>2000</v>
      </c>
      <c r="I23">
        <v>46.97</v>
      </c>
      <c r="J23">
        <v>2.31</v>
      </c>
      <c r="K23" t="s">
        <v>7</v>
      </c>
      <c r="L23">
        <v>28.9</v>
      </c>
      <c r="M23">
        <v>1.98</v>
      </c>
      <c r="N23" t="s">
        <v>7</v>
      </c>
      <c r="O23">
        <v>4999.6099999999997</v>
      </c>
      <c r="P23">
        <v>146.74</v>
      </c>
      <c r="Q23" t="s">
        <v>3</v>
      </c>
      <c r="R23">
        <v>5000</v>
      </c>
      <c r="S23">
        <v>-258.24</v>
      </c>
      <c r="T23">
        <v>48.92</v>
      </c>
      <c r="U23" t="s">
        <v>4</v>
      </c>
      <c r="V23">
        <v>-371.18</v>
      </c>
      <c r="W23">
        <v>44.19</v>
      </c>
      <c r="X23" t="s">
        <v>4</v>
      </c>
      <c r="Y23">
        <v>-761.6</v>
      </c>
      <c r="Z23">
        <v>50.24</v>
      </c>
      <c r="AA23" t="s">
        <v>5</v>
      </c>
      <c r="AB23">
        <v>-801.1</v>
      </c>
      <c r="AC23">
        <v>54.54</v>
      </c>
      <c r="AD23" t="s">
        <v>4</v>
      </c>
      <c r="AE23">
        <v>8.8000000000000007</v>
      </c>
      <c r="AF23">
        <v>0.14000000000000001</v>
      </c>
      <c r="AG23" t="s">
        <v>6</v>
      </c>
      <c r="AH23">
        <v>800</v>
      </c>
      <c r="AI23">
        <v>799.91</v>
      </c>
      <c r="AJ23">
        <v>88.69</v>
      </c>
      <c r="AK23" t="s">
        <v>6</v>
      </c>
      <c r="AL23" s="1">
        <v>45362</v>
      </c>
      <c r="AM23" t="s">
        <v>21</v>
      </c>
      <c r="AN23">
        <f>Table1[[#This Row],[S51 mean]]+Table1[[#This Row],[S52 mean]]</f>
        <v>808.70999999999992</v>
      </c>
      <c r="AO23">
        <f>AE23+AI23-AH23</f>
        <v>8.7099999999999227</v>
      </c>
      <c r="AP23">
        <f>Table1[[#This Row],[P53 mean]]-Table1[[#This Row],[P54 mean]]</f>
        <v>39.5</v>
      </c>
      <c r="AQ23">
        <f>Table1[[#This Row],[P54 tol]]+Table1[[#This Row],[P53 tol]]</f>
        <v>104.78</v>
      </c>
      <c r="AR23">
        <f>Table1[[#This Row],[P51 mean]]-Table1[[#This Row],[P52 mean]]</f>
        <v>112.94</v>
      </c>
      <c r="AS23">
        <f>Table1[[#This Row],[P51 tol]]+Table1[[#This Row],[P52 tol]]</f>
        <v>93.11</v>
      </c>
      <c r="AT23">
        <f>Table1[[#This Row],[P53 mean]]-Table1[[#This Row],[P54 mean]]</f>
        <v>39.5</v>
      </c>
      <c r="AU23">
        <f>Table1[[#This Row],[P54 tol]]+Table1[[#This Row],[P53 tol]]</f>
        <v>104.78</v>
      </c>
      <c r="AV23" s="5">
        <f>Table1[[#This Row],[P54 mean]]-Table1[[#This Row],[P51 mean]]</f>
        <v>-542.86</v>
      </c>
      <c r="AW23" s="5">
        <f>Table1[[#This Row],[P51 tol]]+Table1[[#This Row],[P54 tol]]</f>
        <v>103.46000000000001</v>
      </c>
    </row>
    <row r="24" spans="1:49" x14ac:dyDescent="0.3">
      <c r="A24" t="s">
        <v>20</v>
      </c>
      <c r="B24">
        <v>246.92</v>
      </c>
      <c r="C24">
        <v>34.17</v>
      </c>
      <c r="D24" t="s">
        <v>4</v>
      </c>
      <c r="E24">
        <v>2000.86</v>
      </c>
      <c r="F24">
        <v>211.72</v>
      </c>
      <c r="G24" t="s">
        <v>3</v>
      </c>
      <c r="H24">
        <v>2000</v>
      </c>
      <c r="I24">
        <v>46.81</v>
      </c>
      <c r="J24">
        <v>2.15</v>
      </c>
      <c r="K24" t="s">
        <v>7</v>
      </c>
      <c r="L24">
        <v>28.28</v>
      </c>
      <c r="M24">
        <v>1.36</v>
      </c>
      <c r="N24" t="s">
        <v>7</v>
      </c>
      <c r="O24">
        <v>4999.7299999999996</v>
      </c>
      <c r="P24">
        <v>149.63999999999999</v>
      </c>
      <c r="Q24" t="s">
        <v>3</v>
      </c>
      <c r="R24">
        <v>5000</v>
      </c>
      <c r="S24">
        <v>-280.02999999999997</v>
      </c>
      <c r="T24">
        <v>35.83</v>
      </c>
      <c r="U24" t="s">
        <v>4</v>
      </c>
      <c r="V24">
        <v>-378.33</v>
      </c>
      <c r="W24">
        <v>44.41</v>
      </c>
      <c r="X24" t="s">
        <v>4</v>
      </c>
      <c r="Y24">
        <v>-751.14</v>
      </c>
      <c r="Z24">
        <v>45.22</v>
      </c>
      <c r="AA24" t="s">
        <v>5</v>
      </c>
      <c r="AB24">
        <v>-790.42</v>
      </c>
      <c r="AC24">
        <v>48.51</v>
      </c>
      <c r="AD24" t="s">
        <v>4</v>
      </c>
      <c r="AE24">
        <v>799.99</v>
      </c>
      <c r="AF24">
        <v>22.77</v>
      </c>
      <c r="AG24" t="s">
        <v>6</v>
      </c>
      <c r="AH24">
        <v>800</v>
      </c>
      <c r="AI24">
        <v>6.63</v>
      </c>
      <c r="AJ24">
        <v>0.1</v>
      </c>
      <c r="AK24" t="s">
        <v>6</v>
      </c>
      <c r="AL24" s="1">
        <v>45361</v>
      </c>
      <c r="AM24" t="s">
        <v>21</v>
      </c>
      <c r="AN24">
        <f>Table1[[#This Row],[S51 mean]]+Table1[[#This Row],[S52 mean]]</f>
        <v>806.62</v>
      </c>
      <c r="AO24">
        <f>AE24+AI24-AH24</f>
        <v>6.6200000000000045</v>
      </c>
      <c r="AP24">
        <f>Table1[[#This Row],[P53 mean]]-Table1[[#This Row],[P54 mean]]</f>
        <v>39.279999999999973</v>
      </c>
      <c r="AQ24">
        <f>Table1[[#This Row],[P54 tol]]+Table1[[#This Row],[P53 tol]]</f>
        <v>93.72999999999999</v>
      </c>
      <c r="AR24">
        <f>Table1[[#This Row],[P51 mean]]-Table1[[#This Row],[P52 mean]]</f>
        <v>98.300000000000011</v>
      </c>
      <c r="AS24">
        <f>Table1[[#This Row],[P51 tol]]+Table1[[#This Row],[P52 tol]]</f>
        <v>80.239999999999995</v>
      </c>
      <c r="AT24">
        <f>Table1[[#This Row],[P53 mean]]-Table1[[#This Row],[P54 mean]]</f>
        <v>39.279999999999973</v>
      </c>
      <c r="AU24">
        <f>Table1[[#This Row],[P54 tol]]+Table1[[#This Row],[P53 tol]]</f>
        <v>93.72999999999999</v>
      </c>
      <c r="AV24" s="5">
        <f>Table1[[#This Row],[P54 mean]]-Table1[[#This Row],[P51 mean]]</f>
        <v>-510.39</v>
      </c>
      <c r="AW24" s="5">
        <f>Table1[[#This Row],[P51 tol]]+Table1[[#This Row],[P54 tol]]</f>
        <v>84.34</v>
      </c>
    </row>
    <row r="25" spans="1:49" x14ac:dyDescent="0.3">
      <c r="A25" t="s">
        <v>20</v>
      </c>
      <c r="B25">
        <v>241.04</v>
      </c>
      <c r="C25">
        <v>24.47</v>
      </c>
      <c r="D25" t="s">
        <v>4</v>
      </c>
      <c r="E25">
        <v>1998.38</v>
      </c>
      <c r="F25">
        <v>214.38</v>
      </c>
      <c r="G25" t="s">
        <v>3</v>
      </c>
      <c r="H25">
        <v>2000</v>
      </c>
      <c r="I25">
        <v>46.85</v>
      </c>
      <c r="J25">
        <v>2.14</v>
      </c>
      <c r="K25" t="s">
        <v>7</v>
      </c>
      <c r="L25">
        <v>28.19</v>
      </c>
      <c r="M25">
        <v>1.28</v>
      </c>
      <c r="N25" t="s">
        <v>7</v>
      </c>
      <c r="O25">
        <v>5000.05</v>
      </c>
      <c r="P25">
        <v>153.69</v>
      </c>
      <c r="Q25" t="s">
        <v>3</v>
      </c>
      <c r="R25">
        <v>5000</v>
      </c>
      <c r="S25">
        <v>-283.83999999999997</v>
      </c>
      <c r="T25">
        <v>33.68</v>
      </c>
      <c r="U25" t="s">
        <v>4</v>
      </c>
      <c r="V25">
        <v>-380.6</v>
      </c>
      <c r="W25">
        <v>38.86</v>
      </c>
      <c r="X25" t="s">
        <v>4</v>
      </c>
      <c r="Y25">
        <v>-750.98</v>
      </c>
      <c r="Z25">
        <v>36.92</v>
      </c>
      <c r="AA25" t="s">
        <v>5</v>
      </c>
      <c r="AB25">
        <v>-790.52</v>
      </c>
      <c r="AC25">
        <v>41.55</v>
      </c>
      <c r="AD25" t="s">
        <v>4</v>
      </c>
      <c r="AE25">
        <v>799.97</v>
      </c>
      <c r="AF25">
        <v>22.41</v>
      </c>
      <c r="AG25" t="s">
        <v>6</v>
      </c>
      <c r="AH25">
        <v>800</v>
      </c>
      <c r="AI25">
        <v>6.63</v>
      </c>
      <c r="AJ25">
        <v>0.11</v>
      </c>
      <c r="AK25" t="s">
        <v>6</v>
      </c>
      <c r="AL25" s="1">
        <v>45360</v>
      </c>
      <c r="AM25" t="s">
        <v>21</v>
      </c>
      <c r="AN25">
        <f>Table1[[#This Row],[S51 mean]]+Table1[[#This Row],[S52 mean]]</f>
        <v>806.6</v>
      </c>
      <c r="AO25">
        <f>AE25+AI25-AH25</f>
        <v>6.6000000000000227</v>
      </c>
      <c r="AP25">
        <f>Table1[[#This Row],[P53 mean]]-Table1[[#This Row],[P54 mean]]</f>
        <v>39.539999999999964</v>
      </c>
      <c r="AQ25">
        <f>Table1[[#This Row],[P54 tol]]+Table1[[#This Row],[P53 tol]]</f>
        <v>78.47</v>
      </c>
      <c r="AR25">
        <f>Table1[[#This Row],[P51 mean]]-Table1[[#This Row],[P52 mean]]</f>
        <v>96.760000000000048</v>
      </c>
      <c r="AS25">
        <f>Table1[[#This Row],[P51 tol]]+Table1[[#This Row],[P52 tol]]</f>
        <v>72.539999999999992</v>
      </c>
      <c r="AT25">
        <f>Table1[[#This Row],[P53 mean]]-Table1[[#This Row],[P54 mean]]</f>
        <v>39.539999999999964</v>
      </c>
      <c r="AU25">
        <f>Table1[[#This Row],[P54 tol]]+Table1[[#This Row],[P53 tol]]</f>
        <v>78.47</v>
      </c>
      <c r="AV25" s="5">
        <f>Table1[[#This Row],[P54 mean]]-Table1[[#This Row],[P51 mean]]</f>
        <v>-506.68</v>
      </c>
      <c r="AW25" s="5">
        <f>Table1[[#This Row],[P51 tol]]+Table1[[#This Row],[P54 tol]]</f>
        <v>75.22999999999999</v>
      </c>
    </row>
    <row r="26" spans="1:49" x14ac:dyDescent="0.3">
      <c r="A26" t="s">
        <v>20</v>
      </c>
      <c r="B26">
        <v>222.21</v>
      </c>
      <c r="C26">
        <v>31.09</v>
      </c>
      <c r="D26" t="s">
        <v>4</v>
      </c>
      <c r="E26">
        <v>2003.1</v>
      </c>
      <c r="F26">
        <v>383.56</v>
      </c>
      <c r="G26" t="s">
        <v>3</v>
      </c>
      <c r="H26">
        <v>2000</v>
      </c>
      <c r="I26">
        <v>50.9</v>
      </c>
      <c r="J26">
        <v>10.15</v>
      </c>
      <c r="K26" t="s">
        <v>7</v>
      </c>
      <c r="L26">
        <v>27.85</v>
      </c>
      <c r="M26">
        <v>1.46</v>
      </c>
      <c r="N26" t="s">
        <v>7</v>
      </c>
      <c r="O26">
        <v>5001.12</v>
      </c>
      <c r="P26">
        <v>213</v>
      </c>
      <c r="Q26" t="s">
        <v>3</v>
      </c>
      <c r="R26">
        <v>5000</v>
      </c>
      <c r="S26">
        <v>-281.02</v>
      </c>
      <c r="T26">
        <v>41.09</v>
      </c>
      <c r="U26" t="s">
        <v>4</v>
      </c>
      <c r="V26">
        <v>-394.4</v>
      </c>
      <c r="W26">
        <v>59.32</v>
      </c>
      <c r="X26" t="s">
        <v>4</v>
      </c>
      <c r="Y26">
        <v>-768.31</v>
      </c>
      <c r="Z26">
        <v>62.96</v>
      </c>
      <c r="AA26" t="s">
        <v>5</v>
      </c>
      <c r="AB26">
        <v>-808.41</v>
      </c>
      <c r="AC26">
        <v>78.349999999999994</v>
      </c>
      <c r="AD26" t="s">
        <v>4</v>
      </c>
      <c r="AE26">
        <v>8.4600000000000009</v>
      </c>
      <c r="AF26">
        <v>0.14000000000000001</v>
      </c>
      <c r="AG26" t="s">
        <v>6</v>
      </c>
      <c r="AH26">
        <v>800</v>
      </c>
      <c r="AI26">
        <v>800.67</v>
      </c>
      <c r="AJ26">
        <v>91.88</v>
      </c>
      <c r="AK26" t="s">
        <v>6</v>
      </c>
      <c r="AL26" s="1">
        <v>45359</v>
      </c>
      <c r="AM26" t="s">
        <v>21</v>
      </c>
      <c r="AN26">
        <f>Table1[[#This Row],[S51 mean]]+Table1[[#This Row],[S52 mean]]</f>
        <v>809.13</v>
      </c>
      <c r="AO26">
        <f>AE26+AI26-AH26</f>
        <v>9.1299999999999955</v>
      </c>
      <c r="AP26">
        <f>Table1[[#This Row],[P53 mean]]-Table1[[#This Row],[P54 mean]]</f>
        <v>40.100000000000023</v>
      </c>
      <c r="AQ26">
        <f>Table1[[#This Row],[P54 tol]]+Table1[[#This Row],[P53 tol]]</f>
        <v>141.31</v>
      </c>
      <c r="AR26">
        <f>Table1[[#This Row],[P51 mean]]-Table1[[#This Row],[P52 mean]]</f>
        <v>113.38</v>
      </c>
      <c r="AS26">
        <f>Table1[[#This Row],[P51 tol]]+Table1[[#This Row],[P52 tol]]</f>
        <v>100.41</v>
      </c>
      <c r="AT26">
        <f>Table1[[#This Row],[P53 mean]]-Table1[[#This Row],[P54 mean]]</f>
        <v>40.100000000000023</v>
      </c>
      <c r="AU26">
        <f>Table1[[#This Row],[P54 tol]]+Table1[[#This Row],[P53 tol]]</f>
        <v>141.31</v>
      </c>
      <c r="AV26" s="5">
        <f>Table1[[#This Row],[P54 mean]]-Table1[[#This Row],[P51 mean]]</f>
        <v>-527.39</v>
      </c>
      <c r="AW26" s="5">
        <f>Table1[[#This Row],[P51 tol]]+Table1[[#This Row],[P54 tol]]</f>
        <v>119.44</v>
      </c>
    </row>
    <row r="27" spans="1:49" x14ac:dyDescent="0.3">
      <c r="A27" t="s">
        <v>12</v>
      </c>
      <c r="B27">
        <v>170.14</v>
      </c>
      <c r="C27">
        <v>11.28</v>
      </c>
      <c r="D27" t="s">
        <v>4</v>
      </c>
      <c r="E27">
        <v>2001.65</v>
      </c>
      <c r="F27">
        <v>122.35</v>
      </c>
      <c r="G27" t="s">
        <v>3</v>
      </c>
      <c r="H27">
        <v>2000</v>
      </c>
      <c r="I27">
        <v>45.51</v>
      </c>
      <c r="J27">
        <v>2.13</v>
      </c>
      <c r="K27" t="s">
        <v>7</v>
      </c>
      <c r="L27">
        <v>65.25</v>
      </c>
      <c r="M27">
        <v>10.53</v>
      </c>
      <c r="N27" t="s">
        <v>7</v>
      </c>
      <c r="O27">
        <v>10799.96</v>
      </c>
      <c r="P27">
        <v>247.86</v>
      </c>
      <c r="Q27" t="s">
        <v>3</v>
      </c>
      <c r="R27">
        <v>10800</v>
      </c>
      <c r="S27">
        <v>-61.4</v>
      </c>
      <c r="T27">
        <v>54.78</v>
      </c>
      <c r="U27" t="s">
        <v>4</v>
      </c>
      <c r="V27">
        <v>-288.45</v>
      </c>
      <c r="W27">
        <v>34.86</v>
      </c>
      <c r="X27" t="s">
        <v>4</v>
      </c>
      <c r="Y27">
        <v>-663.56</v>
      </c>
      <c r="Z27">
        <v>34.07</v>
      </c>
      <c r="AA27" t="s">
        <v>5</v>
      </c>
      <c r="AB27">
        <v>-877.31</v>
      </c>
      <c r="AC27">
        <v>39.18</v>
      </c>
      <c r="AD27" t="s">
        <v>4</v>
      </c>
      <c r="AE27">
        <v>1760.1</v>
      </c>
      <c r="AF27">
        <v>22.51</v>
      </c>
      <c r="AG27" t="s">
        <v>6</v>
      </c>
      <c r="AH27">
        <v>2200</v>
      </c>
      <c r="AI27">
        <v>7.06</v>
      </c>
      <c r="AJ27">
        <v>0.1</v>
      </c>
      <c r="AK27" t="s">
        <v>6</v>
      </c>
      <c r="AL27" s="1">
        <v>45359</v>
      </c>
      <c r="AM27" t="s">
        <v>13</v>
      </c>
      <c r="AN27">
        <f>Table1[[#This Row],[S51 mean]]+Table1[[#This Row],[S52 mean]]</f>
        <v>1767.1599999999999</v>
      </c>
      <c r="AO27">
        <f>AE27+AI27-AH27</f>
        <v>-432.84000000000015</v>
      </c>
      <c r="AP27">
        <f>Table1[[#This Row],[P53 mean]]-Table1[[#This Row],[P54 mean]]</f>
        <v>213.75</v>
      </c>
      <c r="AQ27">
        <f>Table1[[#This Row],[P54 tol]]+Table1[[#This Row],[P53 tol]]</f>
        <v>73.25</v>
      </c>
      <c r="AR27">
        <f>Table1[[#This Row],[P51 mean]]-Table1[[#This Row],[P52 mean]]</f>
        <v>227.04999999999998</v>
      </c>
      <c r="AS27">
        <f>Table1[[#This Row],[P51 tol]]+Table1[[#This Row],[P52 tol]]</f>
        <v>89.64</v>
      </c>
      <c r="AT27">
        <f>Table1[[#This Row],[P53 mean]]-Table1[[#This Row],[P54 mean]]</f>
        <v>213.75</v>
      </c>
      <c r="AU27">
        <f>Table1[[#This Row],[P54 tol]]+Table1[[#This Row],[P53 tol]]</f>
        <v>73.25</v>
      </c>
      <c r="AV27" s="5">
        <f>Table1[[#This Row],[P54 mean]]-Table1[[#This Row],[P51 mean]]</f>
        <v>-815.91</v>
      </c>
      <c r="AW27" s="5">
        <f>Table1[[#This Row],[P51 tol]]+Table1[[#This Row],[P54 tol]]</f>
        <v>93.960000000000008</v>
      </c>
    </row>
    <row r="28" spans="1:49" x14ac:dyDescent="0.3">
      <c r="A28" t="s">
        <v>23</v>
      </c>
      <c r="B28">
        <v>141.82</v>
      </c>
      <c r="C28">
        <v>28.97</v>
      </c>
      <c r="D28" t="s">
        <v>4</v>
      </c>
      <c r="E28">
        <v>1999.2</v>
      </c>
      <c r="F28">
        <v>108.13</v>
      </c>
      <c r="G28" t="s">
        <v>3</v>
      </c>
      <c r="H28">
        <v>2000</v>
      </c>
      <c r="I28">
        <v>41.91</v>
      </c>
      <c r="J28">
        <v>4.33</v>
      </c>
      <c r="K28" t="s">
        <v>7</v>
      </c>
      <c r="L28">
        <v>45.24</v>
      </c>
      <c r="M28">
        <v>9.5</v>
      </c>
      <c r="N28" t="s">
        <v>7</v>
      </c>
      <c r="O28">
        <v>8499.83</v>
      </c>
      <c r="P28">
        <v>164.49</v>
      </c>
      <c r="Q28" t="s">
        <v>3</v>
      </c>
      <c r="R28">
        <v>8500</v>
      </c>
      <c r="S28">
        <v>-132.5</v>
      </c>
      <c r="T28">
        <v>140.54</v>
      </c>
      <c r="U28" t="s">
        <v>4</v>
      </c>
      <c r="V28">
        <v>-297.89999999999998</v>
      </c>
      <c r="W28">
        <v>151.26</v>
      </c>
      <c r="X28" t="s">
        <v>4</v>
      </c>
      <c r="Y28">
        <v>-607.67999999999995</v>
      </c>
      <c r="Z28">
        <v>140.54</v>
      </c>
      <c r="AA28" t="s">
        <v>5</v>
      </c>
      <c r="AB28">
        <v>-726.35</v>
      </c>
      <c r="AC28">
        <v>137.06</v>
      </c>
      <c r="AD28" t="s">
        <v>4</v>
      </c>
      <c r="AE28">
        <v>8.4600000000000009</v>
      </c>
      <c r="AF28">
        <v>0.13</v>
      </c>
      <c r="AG28" t="s">
        <v>6</v>
      </c>
      <c r="AH28">
        <v>1000</v>
      </c>
      <c r="AI28">
        <v>467.82</v>
      </c>
      <c r="AJ28">
        <v>322.27</v>
      </c>
      <c r="AK28" t="s">
        <v>6</v>
      </c>
      <c r="AL28" s="1">
        <v>45358</v>
      </c>
      <c r="AM28" t="s">
        <v>24</v>
      </c>
      <c r="AN28">
        <f>Table1[[#This Row],[S51 mean]]+Table1[[#This Row],[S52 mean]]</f>
        <v>476.28</v>
      </c>
      <c r="AO28">
        <f>AE28+AI28-AH28</f>
        <v>-523.72</v>
      </c>
      <c r="AP28">
        <f>Table1[[#This Row],[P53 mean]]-Table1[[#This Row],[P54 mean]]</f>
        <v>118.67000000000007</v>
      </c>
      <c r="AQ28">
        <f>Table1[[#This Row],[P54 tol]]+Table1[[#This Row],[P53 tol]]</f>
        <v>277.60000000000002</v>
      </c>
      <c r="AR28">
        <f>Table1[[#This Row],[P51 mean]]-Table1[[#This Row],[P52 mean]]</f>
        <v>165.39999999999998</v>
      </c>
      <c r="AS28">
        <f>Table1[[#This Row],[P51 tol]]+Table1[[#This Row],[P52 tol]]</f>
        <v>291.79999999999995</v>
      </c>
      <c r="AT28">
        <f>Table1[[#This Row],[P53 mean]]-Table1[[#This Row],[P54 mean]]</f>
        <v>118.67000000000007</v>
      </c>
      <c r="AU28">
        <f>Table1[[#This Row],[P54 tol]]+Table1[[#This Row],[P53 tol]]</f>
        <v>277.60000000000002</v>
      </c>
      <c r="AV28" s="5">
        <f>Table1[[#This Row],[P54 mean]]-Table1[[#This Row],[P51 mean]]</f>
        <v>-593.85</v>
      </c>
      <c r="AW28" s="5">
        <f>Table1[[#This Row],[P51 tol]]+Table1[[#This Row],[P54 tol]]</f>
        <v>277.60000000000002</v>
      </c>
    </row>
    <row r="29" spans="1:49" x14ac:dyDescent="0.3">
      <c r="A29" t="s">
        <v>60</v>
      </c>
      <c r="B29">
        <v>121.93</v>
      </c>
      <c r="C29">
        <v>10.96</v>
      </c>
      <c r="D29" t="s">
        <v>4</v>
      </c>
      <c r="E29">
        <v>1998.96</v>
      </c>
      <c r="F29">
        <v>301.92</v>
      </c>
      <c r="G29" t="s">
        <v>3</v>
      </c>
      <c r="H29">
        <v>2000</v>
      </c>
      <c r="I29">
        <v>44.06</v>
      </c>
      <c r="J29">
        <v>3.49</v>
      </c>
      <c r="K29" t="s">
        <v>7</v>
      </c>
      <c r="L29">
        <v>50.67</v>
      </c>
      <c r="M29">
        <v>1.73</v>
      </c>
      <c r="N29" t="s">
        <v>7</v>
      </c>
      <c r="O29">
        <v>10799.92</v>
      </c>
      <c r="P29">
        <v>216.59</v>
      </c>
      <c r="Q29" t="s">
        <v>3</v>
      </c>
      <c r="R29">
        <v>8500</v>
      </c>
      <c r="S29">
        <v>-181.69</v>
      </c>
      <c r="T29">
        <v>61.49</v>
      </c>
      <c r="U29" t="s">
        <v>4</v>
      </c>
      <c r="V29">
        <v>-288.82</v>
      </c>
      <c r="W29">
        <v>74.72</v>
      </c>
      <c r="X29" t="s">
        <v>4</v>
      </c>
      <c r="Y29">
        <v>-535.48</v>
      </c>
      <c r="Z29">
        <v>68.89</v>
      </c>
      <c r="AA29" t="s">
        <v>5</v>
      </c>
      <c r="AB29">
        <v>-729.05</v>
      </c>
      <c r="AC29">
        <v>87.01</v>
      </c>
      <c r="AD29" t="s">
        <v>4</v>
      </c>
      <c r="AE29">
        <v>8.4600000000000009</v>
      </c>
      <c r="AF29">
        <v>0.14000000000000001</v>
      </c>
      <c r="AG29" t="s">
        <v>6</v>
      </c>
      <c r="AH29">
        <v>1400</v>
      </c>
      <c r="AI29">
        <v>7.05</v>
      </c>
      <c r="AJ29">
        <v>0.15</v>
      </c>
      <c r="AK29" t="s">
        <v>6</v>
      </c>
      <c r="AL29" s="1">
        <v>45356</v>
      </c>
      <c r="AM29" t="s">
        <v>61</v>
      </c>
      <c r="AN29">
        <f>Table1[[#This Row],[S51 mean]]+Table1[[#This Row],[S52 mean]]</f>
        <v>15.510000000000002</v>
      </c>
      <c r="AO29">
        <f>AE29+AI29-AH29</f>
        <v>-1384.49</v>
      </c>
      <c r="AP29">
        <f>Table1[[#This Row],[P53 mean]]-Table1[[#This Row],[P54 mean]]</f>
        <v>193.56999999999994</v>
      </c>
      <c r="AQ29">
        <f>Table1[[#This Row],[P54 tol]]+Table1[[#This Row],[P53 tol]]</f>
        <v>155.9</v>
      </c>
      <c r="AR29">
        <f>Table1[[#This Row],[P51 mean]]-Table1[[#This Row],[P52 mean]]</f>
        <v>107.13</v>
      </c>
      <c r="AS29">
        <f>Table1[[#This Row],[P51 tol]]+Table1[[#This Row],[P52 tol]]</f>
        <v>136.21</v>
      </c>
      <c r="AT29">
        <f>Table1[[#This Row],[P53 mean]]-Table1[[#This Row],[P54 mean]]</f>
        <v>193.56999999999994</v>
      </c>
      <c r="AU29">
        <f>Table1[[#This Row],[P54 tol]]+Table1[[#This Row],[P53 tol]]</f>
        <v>155.9</v>
      </c>
      <c r="AV29" s="5">
        <f>Table1[[#This Row],[P54 mean]]-Table1[[#This Row],[P51 mean]]</f>
        <v>-547.3599999999999</v>
      </c>
      <c r="AW29" s="5">
        <f>Table1[[#This Row],[P51 tol]]+Table1[[#This Row],[P54 tol]]</f>
        <v>148.5</v>
      </c>
    </row>
    <row r="30" spans="1:49" x14ac:dyDescent="0.3">
      <c r="A30" t="s">
        <v>60</v>
      </c>
      <c r="B30">
        <v>122.02</v>
      </c>
      <c r="C30">
        <v>10.96</v>
      </c>
      <c r="D30" t="s">
        <v>4</v>
      </c>
      <c r="E30">
        <v>1998.55</v>
      </c>
      <c r="F30">
        <v>306.04000000000002</v>
      </c>
      <c r="G30" t="s">
        <v>3</v>
      </c>
      <c r="H30">
        <v>2000</v>
      </c>
      <c r="I30">
        <v>44.07</v>
      </c>
      <c r="J30">
        <v>3.45</v>
      </c>
      <c r="K30" t="s">
        <v>7</v>
      </c>
      <c r="L30">
        <v>50.67</v>
      </c>
      <c r="M30">
        <v>1.73</v>
      </c>
      <c r="N30" t="s">
        <v>7</v>
      </c>
      <c r="O30">
        <v>10799.84</v>
      </c>
      <c r="P30">
        <v>217.56</v>
      </c>
      <c r="Q30" t="s">
        <v>3</v>
      </c>
      <c r="R30">
        <v>8500</v>
      </c>
      <c r="S30">
        <v>-181.59</v>
      </c>
      <c r="T30">
        <v>61.54</v>
      </c>
      <c r="U30" t="s">
        <v>4</v>
      </c>
      <c r="V30">
        <v>-288.79000000000002</v>
      </c>
      <c r="W30">
        <v>74.790000000000006</v>
      </c>
      <c r="X30" t="s">
        <v>4</v>
      </c>
      <c r="Y30">
        <v>-535.71</v>
      </c>
      <c r="Z30">
        <v>68.040000000000006</v>
      </c>
      <c r="AA30" t="s">
        <v>5</v>
      </c>
      <c r="AB30">
        <v>-729.34</v>
      </c>
      <c r="AC30">
        <v>86.39</v>
      </c>
      <c r="AD30" t="s">
        <v>4</v>
      </c>
      <c r="AE30">
        <v>8.4600000000000009</v>
      </c>
      <c r="AF30">
        <v>0.14000000000000001</v>
      </c>
      <c r="AG30" t="s">
        <v>6</v>
      </c>
      <c r="AH30">
        <v>1400</v>
      </c>
      <c r="AI30">
        <v>7.05</v>
      </c>
      <c r="AJ30">
        <v>0.15</v>
      </c>
      <c r="AK30" t="s">
        <v>6</v>
      </c>
      <c r="AL30" s="1">
        <v>45355</v>
      </c>
      <c r="AM30" t="s">
        <v>61</v>
      </c>
      <c r="AN30">
        <f>Table1[[#This Row],[S51 mean]]+Table1[[#This Row],[S52 mean]]</f>
        <v>15.510000000000002</v>
      </c>
      <c r="AO30">
        <f>AE30+AI30-AH30</f>
        <v>-1384.49</v>
      </c>
      <c r="AP30">
        <f>Table1[[#This Row],[P53 mean]]-Table1[[#This Row],[P54 mean]]</f>
        <v>193.63</v>
      </c>
      <c r="AQ30">
        <f>Table1[[#This Row],[P54 tol]]+Table1[[#This Row],[P53 tol]]</f>
        <v>154.43</v>
      </c>
      <c r="AR30">
        <f>Table1[[#This Row],[P51 mean]]-Table1[[#This Row],[P52 mean]]</f>
        <v>107.20000000000002</v>
      </c>
      <c r="AS30">
        <f>Table1[[#This Row],[P51 tol]]+Table1[[#This Row],[P52 tol]]</f>
        <v>136.33000000000001</v>
      </c>
      <c r="AT30">
        <f>Table1[[#This Row],[P53 mean]]-Table1[[#This Row],[P54 mean]]</f>
        <v>193.63</v>
      </c>
      <c r="AU30">
        <f>Table1[[#This Row],[P54 tol]]+Table1[[#This Row],[P53 tol]]</f>
        <v>154.43</v>
      </c>
      <c r="AV30" s="5">
        <f>Table1[[#This Row],[P54 mean]]-Table1[[#This Row],[P51 mean]]</f>
        <v>-547.75</v>
      </c>
      <c r="AW30" s="5">
        <f>Table1[[#This Row],[P51 tol]]+Table1[[#This Row],[P54 tol]]</f>
        <v>147.93</v>
      </c>
    </row>
    <row r="31" spans="1:49" x14ac:dyDescent="0.3">
      <c r="A31" t="s">
        <v>23</v>
      </c>
      <c r="B31">
        <v>192.85</v>
      </c>
      <c r="C31">
        <v>35.26</v>
      </c>
      <c r="D31" t="s">
        <v>4</v>
      </c>
      <c r="E31">
        <v>2001.16</v>
      </c>
      <c r="F31">
        <v>177.63</v>
      </c>
      <c r="G31" t="s">
        <v>3</v>
      </c>
      <c r="H31">
        <v>2000</v>
      </c>
      <c r="I31">
        <v>44.11</v>
      </c>
      <c r="J31">
        <v>4.62</v>
      </c>
      <c r="K31" t="s">
        <v>7</v>
      </c>
      <c r="L31">
        <v>45.28</v>
      </c>
      <c r="M31">
        <v>7.2</v>
      </c>
      <c r="N31" t="s">
        <v>7</v>
      </c>
      <c r="O31">
        <v>8499.01</v>
      </c>
      <c r="P31">
        <v>180.03</v>
      </c>
      <c r="Q31" t="s">
        <v>3</v>
      </c>
      <c r="R31">
        <v>8500</v>
      </c>
      <c r="S31">
        <v>-181.79</v>
      </c>
      <c r="T31">
        <v>169.03</v>
      </c>
      <c r="U31" t="s">
        <v>4</v>
      </c>
      <c r="V31">
        <v>-311.36</v>
      </c>
      <c r="W31">
        <v>104.89</v>
      </c>
      <c r="X31" t="s">
        <v>4</v>
      </c>
      <c r="Y31">
        <v>-655.22</v>
      </c>
      <c r="Z31">
        <v>92.14</v>
      </c>
      <c r="AA31" t="s">
        <v>5</v>
      </c>
      <c r="AB31">
        <v>-789.27</v>
      </c>
      <c r="AC31">
        <v>93.09</v>
      </c>
      <c r="AD31" t="s">
        <v>4</v>
      </c>
      <c r="AE31">
        <v>8.41</v>
      </c>
      <c r="AF31">
        <v>0.13</v>
      </c>
      <c r="AG31" t="s">
        <v>6</v>
      </c>
      <c r="AH31">
        <v>1000</v>
      </c>
      <c r="AI31">
        <v>999.98</v>
      </c>
      <c r="AJ31">
        <v>54.21</v>
      </c>
      <c r="AK31" t="s">
        <v>6</v>
      </c>
      <c r="AL31" s="1">
        <v>45353</v>
      </c>
      <c r="AM31" t="s">
        <v>24</v>
      </c>
      <c r="AN31">
        <f>Table1[[#This Row],[S51 mean]]+Table1[[#This Row],[S52 mean]]</f>
        <v>1008.39</v>
      </c>
      <c r="AO31">
        <f>AE31+AI31-AH31</f>
        <v>8.3899999999999864</v>
      </c>
      <c r="AP31">
        <f>Table1[[#This Row],[P53 mean]]-Table1[[#This Row],[P54 mean]]</f>
        <v>134.04999999999995</v>
      </c>
      <c r="AQ31">
        <f>Table1[[#This Row],[P54 tol]]+Table1[[#This Row],[P53 tol]]</f>
        <v>185.23000000000002</v>
      </c>
      <c r="AR31">
        <f>Table1[[#This Row],[P51 mean]]-Table1[[#This Row],[P52 mean]]</f>
        <v>129.57000000000002</v>
      </c>
      <c r="AS31">
        <f>Table1[[#This Row],[P51 tol]]+Table1[[#This Row],[P52 tol]]</f>
        <v>273.92</v>
      </c>
      <c r="AT31">
        <f>Table1[[#This Row],[P53 mean]]-Table1[[#This Row],[P54 mean]]</f>
        <v>134.04999999999995</v>
      </c>
      <c r="AU31">
        <f>Table1[[#This Row],[P54 tol]]+Table1[[#This Row],[P53 tol]]</f>
        <v>185.23000000000002</v>
      </c>
      <c r="AV31" s="5">
        <f>Table1[[#This Row],[P54 mean]]-Table1[[#This Row],[P51 mean]]</f>
        <v>-607.48</v>
      </c>
      <c r="AW31" s="5">
        <f>Table1[[#This Row],[P51 tol]]+Table1[[#This Row],[P54 tol]]</f>
        <v>262.12</v>
      </c>
    </row>
    <row r="32" spans="1:49" x14ac:dyDescent="0.3">
      <c r="A32" t="s">
        <v>23</v>
      </c>
      <c r="B32">
        <v>194.66</v>
      </c>
      <c r="C32">
        <v>27.94</v>
      </c>
      <c r="D32" t="s">
        <v>4</v>
      </c>
      <c r="E32">
        <v>2000.91</v>
      </c>
      <c r="F32">
        <v>174.64</v>
      </c>
      <c r="G32" t="s">
        <v>3</v>
      </c>
      <c r="H32">
        <v>2000</v>
      </c>
      <c r="I32">
        <v>43.8</v>
      </c>
      <c r="J32">
        <v>3.94</v>
      </c>
      <c r="K32" t="s">
        <v>7</v>
      </c>
      <c r="L32">
        <v>45.43</v>
      </c>
      <c r="M32">
        <v>6.41</v>
      </c>
      <c r="N32" t="s">
        <v>7</v>
      </c>
      <c r="O32">
        <v>8498.94</v>
      </c>
      <c r="P32">
        <v>178.85</v>
      </c>
      <c r="Q32" t="s">
        <v>3</v>
      </c>
      <c r="R32">
        <v>8500</v>
      </c>
      <c r="S32">
        <v>-173.54</v>
      </c>
      <c r="T32">
        <v>147.43</v>
      </c>
      <c r="U32" t="s">
        <v>4</v>
      </c>
      <c r="V32">
        <v>-302.52999999999997</v>
      </c>
      <c r="W32">
        <v>79.150000000000006</v>
      </c>
      <c r="X32" t="s">
        <v>4</v>
      </c>
      <c r="Y32">
        <v>-647.32000000000005</v>
      </c>
      <c r="Z32">
        <v>68.290000000000006</v>
      </c>
      <c r="AA32" t="s">
        <v>5</v>
      </c>
      <c r="AB32">
        <v>-781.55</v>
      </c>
      <c r="AC32">
        <v>70.31</v>
      </c>
      <c r="AD32" t="s">
        <v>4</v>
      </c>
      <c r="AE32">
        <v>8.41</v>
      </c>
      <c r="AF32">
        <v>0.13</v>
      </c>
      <c r="AG32" t="s">
        <v>6</v>
      </c>
      <c r="AH32">
        <v>1000</v>
      </c>
      <c r="AI32">
        <v>999.78</v>
      </c>
      <c r="AJ32">
        <v>55.17</v>
      </c>
      <c r="AK32" t="s">
        <v>6</v>
      </c>
      <c r="AL32" s="1">
        <v>45353</v>
      </c>
      <c r="AM32" t="s">
        <v>24</v>
      </c>
      <c r="AN32">
        <f>Table1[[#This Row],[S51 mean]]+Table1[[#This Row],[S52 mean]]</f>
        <v>1008.1899999999999</v>
      </c>
      <c r="AO32">
        <f>AE32+AI32-AH32</f>
        <v>8.1899999999999409</v>
      </c>
      <c r="AP32">
        <f>Table1[[#This Row],[P53 mean]]-Table1[[#This Row],[P54 mean]]</f>
        <v>134.2299999999999</v>
      </c>
      <c r="AQ32">
        <f>Table1[[#This Row],[P54 tol]]+Table1[[#This Row],[P53 tol]]</f>
        <v>138.60000000000002</v>
      </c>
      <c r="AR32">
        <f>Table1[[#This Row],[P51 mean]]-Table1[[#This Row],[P52 mean]]</f>
        <v>128.98999999999998</v>
      </c>
      <c r="AS32">
        <f>Table1[[#This Row],[P51 tol]]+Table1[[#This Row],[P52 tol]]</f>
        <v>226.58</v>
      </c>
      <c r="AT32">
        <f>Table1[[#This Row],[P53 mean]]-Table1[[#This Row],[P54 mean]]</f>
        <v>134.2299999999999</v>
      </c>
      <c r="AU32">
        <f>Table1[[#This Row],[P54 tol]]+Table1[[#This Row],[P53 tol]]</f>
        <v>138.60000000000002</v>
      </c>
      <c r="AV32" s="5">
        <f>Table1[[#This Row],[P54 mean]]-Table1[[#This Row],[P51 mean]]</f>
        <v>-608.01</v>
      </c>
      <c r="AW32" s="5">
        <f>Table1[[#This Row],[P51 tol]]+Table1[[#This Row],[P54 tol]]</f>
        <v>217.74</v>
      </c>
    </row>
    <row r="33" spans="1:49" x14ac:dyDescent="0.3">
      <c r="A33" t="s">
        <v>23</v>
      </c>
      <c r="B33">
        <v>178.63</v>
      </c>
      <c r="C33">
        <v>13</v>
      </c>
      <c r="D33" t="s">
        <v>4</v>
      </c>
      <c r="E33">
        <v>1999.94</v>
      </c>
      <c r="F33">
        <v>125.82</v>
      </c>
      <c r="G33" t="s">
        <v>3</v>
      </c>
      <c r="H33">
        <v>2000</v>
      </c>
      <c r="I33">
        <v>45.74</v>
      </c>
      <c r="J33">
        <v>2.2200000000000002</v>
      </c>
      <c r="K33" t="s">
        <v>7</v>
      </c>
      <c r="L33">
        <v>46.44</v>
      </c>
      <c r="M33">
        <v>4.63</v>
      </c>
      <c r="N33" t="s">
        <v>7</v>
      </c>
      <c r="O33">
        <v>8499.4500000000007</v>
      </c>
      <c r="P33">
        <v>161.4</v>
      </c>
      <c r="Q33" t="s">
        <v>3</v>
      </c>
      <c r="R33">
        <v>8500</v>
      </c>
      <c r="S33">
        <v>-181.09</v>
      </c>
      <c r="T33">
        <v>103.75</v>
      </c>
      <c r="U33" t="s">
        <v>4</v>
      </c>
      <c r="V33">
        <v>-341.39</v>
      </c>
      <c r="W33">
        <v>55.01</v>
      </c>
      <c r="X33" t="s">
        <v>4</v>
      </c>
      <c r="Y33">
        <v>-693.89</v>
      </c>
      <c r="Z33">
        <v>57.28</v>
      </c>
      <c r="AA33" t="s">
        <v>5</v>
      </c>
      <c r="AB33">
        <v>-829.4</v>
      </c>
      <c r="AC33">
        <v>63.9</v>
      </c>
      <c r="AD33" t="s">
        <v>4</v>
      </c>
      <c r="AE33">
        <v>8.3800000000000008</v>
      </c>
      <c r="AF33">
        <v>0.13</v>
      </c>
      <c r="AG33" t="s">
        <v>6</v>
      </c>
      <c r="AH33">
        <v>1000</v>
      </c>
      <c r="AI33">
        <v>1000.1</v>
      </c>
      <c r="AJ33">
        <v>51.66</v>
      </c>
      <c r="AK33" t="s">
        <v>6</v>
      </c>
      <c r="AL33" s="1">
        <v>45352</v>
      </c>
      <c r="AM33" t="s">
        <v>24</v>
      </c>
      <c r="AN33">
        <f>Table1[[#This Row],[S51 mean]]+Table1[[#This Row],[S52 mean]]</f>
        <v>1008.48</v>
      </c>
      <c r="AO33">
        <f>AE33+AI33-AH33</f>
        <v>8.4800000000000182</v>
      </c>
      <c r="AP33">
        <f>Table1[[#This Row],[P53 mean]]-Table1[[#This Row],[P54 mean]]</f>
        <v>135.51</v>
      </c>
      <c r="AQ33">
        <f>Table1[[#This Row],[P54 tol]]+Table1[[#This Row],[P53 tol]]</f>
        <v>121.18</v>
      </c>
      <c r="AR33">
        <f>Table1[[#This Row],[P51 mean]]-Table1[[#This Row],[P52 mean]]</f>
        <v>160.29999999999998</v>
      </c>
      <c r="AS33">
        <f>Table1[[#This Row],[P51 tol]]+Table1[[#This Row],[P52 tol]]</f>
        <v>158.76</v>
      </c>
      <c r="AT33">
        <f>Table1[[#This Row],[P53 mean]]-Table1[[#This Row],[P54 mean]]</f>
        <v>135.51</v>
      </c>
      <c r="AU33">
        <f>Table1[[#This Row],[P54 tol]]+Table1[[#This Row],[P53 tol]]</f>
        <v>121.18</v>
      </c>
      <c r="AV33" s="5">
        <f>Table1[[#This Row],[P54 mean]]-Table1[[#This Row],[P51 mean]]</f>
        <v>-648.30999999999995</v>
      </c>
      <c r="AW33" s="5">
        <f>Table1[[#This Row],[P51 tol]]+Table1[[#This Row],[P54 tol]]</f>
        <v>167.65</v>
      </c>
    </row>
    <row r="34" spans="1:49" x14ac:dyDescent="0.3">
      <c r="A34" t="s">
        <v>23</v>
      </c>
      <c r="B34">
        <v>158.53</v>
      </c>
      <c r="C34">
        <v>35.15</v>
      </c>
      <c r="D34" t="s">
        <v>4</v>
      </c>
      <c r="E34">
        <v>1997.59</v>
      </c>
      <c r="F34">
        <v>143.76</v>
      </c>
      <c r="G34" t="s">
        <v>3</v>
      </c>
      <c r="H34">
        <v>2000</v>
      </c>
      <c r="I34">
        <v>45.88</v>
      </c>
      <c r="J34">
        <v>5.05</v>
      </c>
      <c r="K34" t="s">
        <v>7</v>
      </c>
      <c r="L34">
        <v>49.91</v>
      </c>
      <c r="M34">
        <v>23.18</v>
      </c>
      <c r="N34" t="s">
        <v>7</v>
      </c>
      <c r="O34">
        <v>8475.69</v>
      </c>
      <c r="P34">
        <v>166.19</v>
      </c>
      <c r="Q34" t="s">
        <v>3</v>
      </c>
      <c r="R34">
        <v>8500</v>
      </c>
      <c r="S34">
        <v>-143.68</v>
      </c>
      <c r="T34">
        <v>230.9</v>
      </c>
      <c r="U34" t="s">
        <v>4</v>
      </c>
      <c r="V34">
        <v>-401.25</v>
      </c>
      <c r="W34">
        <v>110.14</v>
      </c>
      <c r="X34" t="s">
        <v>4</v>
      </c>
      <c r="Y34">
        <v>-733.58</v>
      </c>
      <c r="Z34">
        <v>126.41</v>
      </c>
      <c r="AA34" t="s">
        <v>5</v>
      </c>
      <c r="AB34">
        <v>-859.88</v>
      </c>
      <c r="AC34">
        <v>131.11000000000001</v>
      </c>
      <c r="AD34" t="s">
        <v>4</v>
      </c>
      <c r="AE34">
        <v>8.42</v>
      </c>
      <c r="AF34">
        <v>0.14000000000000001</v>
      </c>
      <c r="AG34" t="s">
        <v>6</v>
      </c>
      <c r="AH34">
        <v>1000</v>
      </c>
      <c r="AI34">
        <v>989.58</v>
      </c>
      <c r="AJ34">
        <v>139.9</v>
      </c>
      <c r="AK34" t="s">
        <v>6</v>
      </c>
      <c r="AL34" s="1">
        <v>45346</v>
      </c>
      <c r="AM34" t="s">
        <v>24</v>
      </c>
      <c r="AN34">
        <f>Table1[[#This Row],[S51 mean]]+Table1[[#This Row],[S52 mean]]</f>
        <v>998</v>
      </c>
      <c r="AO34">
        <f>AE34+AI34-AH34</f>
        <v>-2</v>
      </c>
      <c r="AP34">
        <f>Table1[[#This Row],[P53 mean]]-Table1[[#This Row],[P54 mean]]</f>
        <v>126.29999999999995</v>
      </c>
      <c r="AQ34">
        <f>Table1[[#This Row],[P54 tol]]+Table1[[#This Row],[P53 tol]]</f>
        <v>257.52</v>
      </c>
      <c r="AR34">
        <f>Table1[[#This Row],[P51 mean]]-Table1[[#This Row],[P52 mean]]</f>
        <v>257.57</v>
      </c>
      <c r="AS34">
        <f>Table1[[#This Row],[P51 tol]]+Table1[[#This Row],[P52 tol]]</f>
        <v>341.04</v>
      </c>
      <c r="AT34">
        <f>Table1[[#This Row],[P53 mean]]-Table1[[#This Row],[P54 mean]]</f>
        <v>126.29999999999995</v>
      </c>
      <c r="AU34">
        <f>Table1[[#This Row],[P54 tol]]+Table1[[#This Row],[P53 tol]]</f>
        <v>257.52</v>
      </c>
      <c r="AV34" s="5">
        <f>Table1[[#This Row],[P54 mean]]-Table1[[#This Row],[P51 mean]]</f>
        <v>-716.2</v>
      </c>
      <c r="AW34" s="5">
        <f>Table1[[#This Row],[P51 tol]]+Table1[[#This Row],[P54 tol]]</f>
        <v>362.01</v>
      </c>
    </row>
    <row r="35" spans="1:49" x14ac:dyDescent="0.3">
      <c r="A35" t="s">
        <v>23</v>
      </c>
      <c r="B35">
        <v>191.32</v>
      </c>
      <c r="C35">
        <v>33.33</v>
      </c>
      <c r="D35" t="s">
        <v>4</v>
      </c>
      <c r="E35">
        <v>2002.43</v>
      </c>
      <c r="F35">
        <v>173.94</v>
      </c>
      <c r="G35" t="s">
        <v>3</v>
      </c>
      <c r="H35">
        <v>2000</v>
      </c>
      <c r="I35">
        <v>44.57</v>
      </c>
      <c r="J35">
        <v>4.8499999999999996</v>
      </c>
      <c r="K35" t="s">
        <v>7</v>
      </c>
      <c r="L35">
        <v>46.34</v>
      </c>
      <c r="M35">
        <v>6.32</v>
      </c>
      <c r="N35" t="s">
        <v>7</v>
      </c>
      <c r="O35">
        <v>8502.19</v>
      </c>
      <c r="P35">
        <v>163.27000000000001</v>
      </c>
      <c r="Q35" t="s">
        <v>3</v>
      </c>
      <c r="R35">
        <v>8500</v>
      </c>
      <c r="S35">
        <v>-160</v>
      </c>
      <c r="T35">
        <v>102.78</v>
      </c>
      <c r="U35" t="s">
        <v>4</v>
      </c>
      <c r="V35">
        <v>-300.52999999999997</v>
      </c>
      <c r="W35">
        <v>75.569999999999993</v>
      </c>
      <c r="X35" t="s">
        <v>4</v>
      </c>
      <c r="Y35">
        <v>-633.53</v>
      </c>
      <c r="Z35">
        <v>139.18</v>
      </c>
      <c r="AA35" t="s">
        <v>5</v>
      </c>
      <c r="AB35">
        <v>-765.89</v>
      </c>
      <c r="AC35">
        <v>161.78</v>
      </c>
      <c r="AD35" t="s">
        <v>4</v>
      </c>
      <c r="AE35">
        <v>8.3800000000000008</v>
      </c>
      <c r="AF35">
        <v>0.13</v>
      </c>
      <c r="AG35" t="s">
        <v>6</v>
      </c>
      <c r="AH35">
        <v>1000</v>
      </c>
      <c r="AI35">
        <v>999.43</v>
      </c>
      <c r="AJ35">
        <v>51.29</v>
      </c>
      <c r="AK35" t="s">
        <v>6</v>
      </c>
      <c r="AL35" s="1">
        <v>45345</v>
      </c>
      <c r="AM35" t="s">
        <v>24</v>
      </c>
      <c r="AN35">
        <f>Table1[[#This Row],[S51 mean]]+Table1[[#This Row],[S52 mean]]</f>
        <v>1007.81</v>
      </c>
      <c r="AO35">
        <f>AE35+AI35-AH35</f>
        <v>7.8099999999999454</v>
      </c>
      <c r="AP35">
        <f>Table1[[#This Row],[P53 mean]]-Table1[[#This Row],[P54 mean]]</f>
        <v>132.36000000000001</v>
      </c>
      <c r="AQ35">
        <f>Table1[[#This Row],[P54 tol]]+Table1[[#This Row],[P53 tol]]</f>
        <v>300.96000000000004</v>
      </c>
      <c r="AR35">
        <f>Table1[[#This Row],[P51 mean]]-Table1[[#This Row],[P52 mean]]</f>
        <v>140.52999999999997</v>
      </c>
      <c r="AS35">
        <f>Table1[[#This Row],[P51 tol]]+Table1[[#This Row],[P52 tol]]</f>
        <v>178.35</v>
      </c>
      <c r="AT35">
        <f>Table1[[#This Row],[P53 mean]]-Table1[[#This Row],[P54 mean]]</f>
        <v>132.36000000000001</v>
      </c>
      <c r="AU35">
        <f>Table1[[#This Row],[P54 tol]]+Table1[[#This Row],[P53 tol]]</f>
        <v>300.96000000000004</v>
      </c>
      <c r="AV35" s="5">
        <f>Table1[[#This Row],[P54 mean]]-Table1[[#This Row],[P51 mean]]</f>
        <v>-605.89</v>
      </c>
      <c r="AW35" s="5">
        <f>Table1[[#This Row],[P51 tol]]+Table1[[#This Row],[P54 tol]]</f>
        <v>264.56</v>
      </c>
    </row>
    <row r="36" spans="1:49" x14ac:dyDescent="0.3">
      <c r="A36" t="s">
        <v>23</v>
      </c>
      <c r="B36">
        <v>177.34</v>
      </c>
      <c r="C36">
        <v>16.03</v>
      </c>
      <c r="D36" t="s">
        <v>4</v>
      </c>
      <c r="E36">
        <v>2001.72</v>
      </c>
      <c r="F36">
        <v>121.72</v>
      </c>
      <c r="G36" t="s">
        <v>3</v>
      </c>
      <c r="H36">
        <v>2000</v>
      </c>
      <c r="I36">
        <v>45.9</v>
      </c>
      <c r="J36">
        <v>1.95</v>
      </c>
      <c r="K36" t="s">
        <v>7</v>
      </c>
      <c r="L36">
        <v>48.6</v>
      </c>
      <c r="M36">
        <v>7.84</v>
      </c>
      <c r="N36" t="s">
        <v>7</v>
      </c>
      <c r="O36">
        <v>8499.17</v>
      </c>
      <c r="P36">
        <v>148.88</v>
      </c>
      <c r="Q36" t="s">
        <v>3</v>
      </c>
      <c r="R36">
        <v>8500</v>
      </c>
      <c r="S36">
        <v>-135.34</v>
      </c>
      <c r="T36">
        <v>125.23</v>
      </c>
      <c r="U36" t="s">
        <v>4</v>
      </c>
      <c r="V36">
        <v>-345.72</v>
      </c>
      <c r="W36">
        <v>41.08</v>
      </c>
      <c r="X36" t="s">
        <v>4</v>
      </c>
      <c r="Y36">
        <v>-682.06</v>
      </c>
      <c r="Z36">
        <v>41.03</v>
      </c>
      <c r="AA36" t="s">
        <v>5</v>
      </c>
      <c r="AB36">
        <v>-812.96</v>
      </c>
      <c r="AC36">
        <v>46.49</v>
      </c>
      <c r="AD36" t="s">
        <v>4</v>
      </c>
      <c r="AE36">
        <v>8.4499999999999993</v>
      </c>
      <c r="AF36">
        <v>0.13</v>
      </c>
      <c r="AG36" t="s">
        <v>6</v>
      </c>
      <c r="AH36">
        <v>1000</v>
      </c>
      <c r="AI36">
        <v>1000.08</v>
      </c>
      <c r="AJ36">
        <v>47.09</v>
      </c>
      <c r="AK36" t="s">
        <v>6</v>
      </c>
      <c r="AL36" s="1">
        <v>45344</v>
      </c>
      <c r="AM36" t="s">
        <v>24</v>
      </c>
      <c r="AN36">
        <f>Table1[[#This Row],[S51 mean]]+Table1[[#This Row],[S52 mean]]</f>
        <v>1008.5300000000001</v>
      </c>
      <c r="AO36">
        <f>AE36+AI36-AH36</f>
        <v>8.5300000000000864</v>
      </c>
      <c r="AP36">
        <f>Table1[[#This Row],[P53 mean]]-Table1[[#This Row],[P54 mean]]</f>
        <v>130.90000000000009</v>
      </c>
      <c r="AQ36">
        <f>Table1[[#This Row],[P54 tol]]+Table1[[#This Row],[P53 tol]]</f>
        <v>87.52000000000001</v>
      </c>
      <c r="AR36">
        <f>Table1[[#This Row],[P51 mean]]-Table1[[#This Row],[P52 mean]]</f>
        <v>210.38000000000002</v>
      </c>
      <c r="AS36">
        <f>Table1[[#This Row],[P51 tol]]+Table1[[#This Row],[P52 tol]]</f>
        <v>166.31</v>
      </c>
      <c r="AT36">
        <f>Table1[[#This Row],[P53 mean]]-Table1[[#This Row],[P54 mean]]</f>
        <v>130.90000000000009</v>
      </c>
      <c r="AU36">
        <f>Table1[[#This Row],[P54 tol]]+Table1[[#This Row],[P53 tol]]</f>
        <v>87.52000000000001</v>
      </c>
      <c r="AV36" s="5">
        <f>Table1[[#This Row],[P54 mean]]-Table1[[#This Row],[P51 mean]]</f>
        <v>-677.62</v>
      </c>
      <c r="AW36" s="5">
        <f>Table1[[#This Row],[P51 tol]]+Table1[[#This Row],[P54 tol]]</f>
        <v>171.72</v>
      </c>
    </row>
    <row r="37" spans="1:49" x14ac:dyDescent="0.3">
      <c r="A37" t="s">
        <v>23</v>
      </c>
      <c r="B37">
        <v>173.12</v>
      </c>
      <c r="C37">
        <v>20.38</v>
      </c>
      <c r="D37" t="s">
        <v>4</v>
      </c>
      <c r="E37">
        <v>2000.17</v>
      </c>
      <c r="F37">
        <v>167.25</v>
      </c>
      <c r="G37" t="s">
        <v>3</v>
      </c>
      <c r="H37">
        <v>2000</v>
      </c>
      <c r="I37">
        <v>45.65</v>
      </c>
      <c r="J37">
        <v>2.42</v>
      </c>
      <c r="K37" t="s">
        <v>7</v>
      </c>
      <c r="L37">
        <v>52.34</v>
      </c>
      <c r="M37">
        <v>11.3</v>
      </c>
      <c r="N37" t="s">
        <v>7</v>
      </c>
      <c r="O37">
        <v>8500.9500000000007</v>
      </c>
      <c r="P37">
        <v>146.43</v>
      </c>
      <c r="Q37" t="s">
        <v>3</v>
      </c>
      <c r="R37">
        <v>8500</v>
      </c>
      <c r="S37">
        <v>-92.92</v>
      </c>
      <c r="T37">
        <v>151.61000000000001</v>
      </c>
      <c r="U37" t="s">
        <v>4</v>
      </c>
      <c r="V37">
        <v>-358.59</v>
      </c>
      <c r="W37">
        <v>62.32</v>
      </c>
      <c r="X37" t="s">
        <v>4</v>
      </c>
      <c r="Y37">
        <v>-714</v>
      </c>
      <c r="Z37">
        <v>54.88</v>
      </c>
      <c r="AA37" t="s">
        <v>5</v>
      </c>
      <c r="AB37">
        <v>-848.25</v>
      </c>
      <c r="AC37">
        <v>55.75</v>
      </c>
      <c r="AD37" t="s">
        <v>4</v>
      </c>
      <c r="AE37">
        <v>8.48</v>
      </c>
      <c r="AF37">
        <v>0.13</v>
      </c>
      <c r="AG37" t="s">
        <v>6</v>
      </c>
      <c r="AH37">
        <v>1000</v>
      </c>
      <c r="AI37">
        <v>1000.08</v>
      </c>
      <c r="AJ37">
        <v>48.12</v>
      </c>
      <c r="AK37" t="s">
        <v>6</v>
      </c>
      <c r="AL37" s="1">
        <v>45343</v>
      </c>
      <c r="AM37" t="s">
        <v>24</v>
      </c>
      <c r="AN37">
        <f>Table1[[#This Row],[S51 mean]]+Table1[[#This Row],[S52 mean]]</f>
        <v>1008.5600000000001</v>
      </c>
      <c r="AO37">
        <f>AE37+AI37-AH37</f>
        <v>8.5600000000000591</v>
      </c>
      <c r="AP37">
        <f>Table1[[#This Row],[P53 mean]]-Table1[[#This Row],[P54 mean]]</f>
        <v>134.25</v>
      </c>
      <c r="AQ37">
        <f>Table1[[#This Row],[P54 tol]]+Table1[[#This Row],[P53 tol]]</f>
        <v>110.63</v>
      </c>
      <c r="AR37">
        <f>Table1[[#This Row],[P51 mean]]-Table1[[#This Row],[P52 mean]]</f>
        <v>265.66999999999996</v>
      </c>
      <c r="AS37">
        <f>Table1[[#This Row],[P51 tol]]+Table1[[#This Row],[P52 tol]]</f>
        <v>213.93</v>
      </c>
      <c r="AT37">
        <f>Table1[[#This Row],[P53 mean]]-Table1[[#This Row],[P54 mean]]</f>
        <v>134.25</v>
      </c>
      <c r="AU37">
        <f>Table1[[#This Row],[P54 tol]]+Table1[[#This Row],[P53 tol]]</f>
        <v>110.63</v>
      </c>
      <c r="AV37" s="5">
        <f>Table1[[#This Row],[P54 mean]]-Table1[[#This Row],[P51 mean]]</f>
        <v>-755.33</v>
      </c>
      <c r="AW37" s="5">
        <f>Table1[[#This Row],[P51 tol]]+Table1[[#This Row],[P54 tol]]</f>
        <v>207.36</v>
      </c>
    </row>
    <row r="38" spans="1:49" x14ac:dyDescent="0.3">
      <c r="A38" t="s">
        <v>67</v>
      </c>
      <c r="B38">
        <v>154.79</v>
      </c>
      <c r="C38">
        <v>13.52</v>
      </c>
      <c r="D38" t="s">
        <v>4</v>
      </c>
      <c r="E38">
        <v>2005.4</v>
      </c>
      <c r="F38">
        <v>156.96</v>
      </c>
      <c r="G38" t="s">
        <v>3</v>
      </c>
      <c r="H38">
        <v>2000</v>
      </c>
      <c r="I38">
        <v>45.74</v>
      </c>
      <c r="J38">
        <v>2.83</v>
      </c>
      <c r="K38" t="s">
        <v>7</v>
      </c>
      <c r="L38">
        <v>52.41</v>
      </c>
      <c r="M38">
        <v>12.13</v>
      </c>
      <c r="N38" t="s">
        <v>7</v>
      </c>
      <c r="O38">
        <v>8499.31</v>
      </c>
      <c r="P38">
        <v>228.23</v>
      </c>
      <c r="Q38" t="s">
        <v>3</v>
      </c>
      <c r="R38">
        <v>8500</v>
      </c>
      <c r="S38">
        <v>-140.19</v>
      </c>
      <c r="T38">
        <v>164.3</v>
      </c>
      <c r="U38" t="s">
        <v>4</v>
      </c>
      <c r="V38">
        <v>-333.43</v>
      </c>
      <c r="W38">
        <v>76.64</v>
      </c>
      <c r="X38" t="s">
        <v>4</v>
      </c>
      <c r="Y38">
        <v>-772.48</v>
      </c>
      <c r="Z38">
        <v>51.13</v>
      </c>
      <c r="AA38" t="s">
        <v>5</v>
      </c>
      <c r="AB38">
        <v>-915.73</v>
      </c>
      <c r="AC38">
        <v>52.34</v>
      </c>
      <c r="AD38" t="s">
        <v>4</v>
      </c>
      <c r="AE38">
        <v>8.52</v>
      </c>
      <c r="AF38">
        <v>0.13</v>
      </c>
      <c r="AG38" t="s">
        <v>6</v>
      </c>
      <c r="AH38">
        <v>2000</v>
      </c>
      <c r="AI38">
        <v>1999.13</v>
      </c>
      <c r="AJ38">
        <v>57.66</v>
      </c>
      <c r="AK38" t="s">
        <v>6</v>
      </c>
      <c r="AL38" s="1">
        <v>45338</v>
      </c>
      <c r="AM38" t="s">
        <v>68</v>
      </c>
      <c r="AN38">
        <f>Table1[[#This Row],[S51 mean]]+Table1[[#This Row],[S52 mean]]</f>
        <v>2007.65</v>
      </c>
      <c r="AO38">
        <f>AE38+AI38-AH38</f>
        <v>7.6500000000000909</v>
      </c>
      <c r="AP38">
        <f>Table1[[#This Row],[P53 mean]]-Table1[[#This Row],[P54 mean]]</f>
        <v>143.25</v>
      </c>
      <c r="AQ38">
        <f>Table1[[#This Row],[P54 tol]]+Table1[[#This Row],[P53 tol]]</f>
        <v>103.47</v>
      </c>
      <c r="AR38">
        <f>Table1[[#This Row],[P51 mean]]-Table1[[#This Row],[P52 mean]]</f>
        <v>193.24</v>
      </c>
      <c r="AS38">
        <f>Table1[[#This Row],[P51 tol]]+Table1[[#This Row],[P52 tol]]</f>
        <v>240.94</v>
      </c>
      <c r="AT38">
        <f>Table1[[#This Row],[P53 mean]]-Table1[[#This Row],[P54 mean]]</f>
        <v>143.25</v>
      </c>
      <c r="AU38">
        <f>Table1[[#This Row],[P54 tol]]+Table1[[#This Row],[P53 tol]]</f>
        <v>103.47</v>
      </c>
      <c r="AV38" s="5">
        <f>Table1[[#This Row],[P54 mean]]-Table1[[#This Row],[P51 mean]]</f>
        <v>-775.54</v>
      </c>
      <c r="AW38" s="5">
        <f>Table1[[#This Row],[P51 tol]]+Table1[[#This Row],[P54 tol]]</f>
        <v>216.64000000000001</v>
      </c>
    </row>
    <row r="39" spans="1:49" x14ac:dyDescent="0.3">
      <c r="A39" t="s">
        <v>23</v>
      </c>
      <c r="B39">
        <v>178.97</v>
      </c>
      <c r="C39">
        <v>13.64</v>
      </c>
      <c r="D39" t="s">
        <v>4</v>
      </c>
      <c r="E39">
        <v>2000.97</v>
      </c>
      <c r="F39">
        <v>131.36000000000001</v>
      </c>
      <c r="G39" t="s">
        <v>3</v>
      </c>
      <c r="H39">
        <v>2000</v>
      </c>
      <c r="I39">
        <v>46.32</v>
      </c>
      <c r="J39">
        <v>1.7</v>
      </c>
      <c r="K39" t="s">
        <v>7</v>
      </c>
      <c r="L39">
        <v>47.14</v>
      </c>
      <c r="M39">
        <v>2.2400000000000002</v>
      </c>
      <c r="N39" t="s">
        <v>7</v>
      </c>
      <c r="O39">
        <v>8498.65</v>
      </c>
      <c r="P39">
        <v>136.35</v>
      </c>
      <c r="Q39" t="s">
        <v>3</v>
      </c>
      <c r="R39">
        <v>8500</v>
      </c>
      <c r="S39">
        <v>-156.56</v>
      </c>
      <c r="T39">
        <v>31.44</v>
      </c>
      <c r="U39" t="s">
        <v>4</v>
      </c>
      <c r="V39">
        <v>-359.06</v>
      </c>
      <c r="W39">
        <v>25.38</v>
      </c>
      <c r="X39" t="s">
        <v>4</v>
      </c>
      <c r="Y39">
        <v>-690.26</v>
      </c>
      <c r="Z39">
        <v>29.23</v>
      </c>
      <c r="AA39" t="s">
        <v>5</v>
      </c>
      <c r="AB39">
        <v>-819.65</v>
      </c>
      <c r="AC39">
        <v>37.82</v>
      </c>
      <c r="AD39" t="s">
        <v>4</v>
      </c>
      <c r="AE39">
        <v>8.42</v>
      </c>
      <c r="AF39">
        <v>0.13</v>
      </c>
      <c r="AG39" t="s">
        <v>6</v>
      </c>
      <c r="AH39">
        <v>1000</v>
      </c>
      <c r="AI39">
        <v>1000.2</v>
      </c>
      <c r="AJ39">
        <v>46.8</v>
      </c>
      <c r="AK39" t="s">
        <v>6</v>
      </c>
      <c r="AL39" s="1">
        <v>45329</v>
      </c>
      <c r="AM39" t="s">
        <v>24</v>
      </c>
      <c r="AN39">
        <f>Table1[[#This Row],[S51 mean]]+Table1[[#This Row],[S52 mean]]</f>
        <v>1008.62</v>
      </c>
      <c r="AO39">
        <f>AE39+AI39-AH39</f>
        <v>8.6200000000000045</v>
      </c>
      <c r="AP39">
        <f>Table1[[#This Row],[P53 mean]]-Table1[[#This Row],[P54 mean]]</f>
        <v>129.38999999999999</v>
      </c>
      <c r="AQ39">
        <f>Table1[[#This Row],[P54 tol]]+Table1[[#This Row],[P53 tol]]</f>
        <v>67.05</v>
      </c>
      <c r="AR39">
        <f>Table1[[#This Row],[P51 mean]]-Table1[[#This Row],[P52 mean]]</f>
        <v>202.5</v>
      </c>
      <c r="AS39">
        <f>Table1[[#This Row],[P51 tol]]+Table1[[#This Row],[P52 tol]]</f>
        <v>56.82</v>
      </c>
      <c r="AT39">
        <f>Table1[[#This Row],[P53 mean]]-Table1[[#This Row],[P54 mean]]</f>
        <v>129.38999999999999</v>
      </c>
      <c r="AU39">
        <f>Table1[[#This Row],[P54 tol]]+Table1[[#This Row],[P53 tol]]</f>
        <v>67.05</v>
      </c>
      <c r="AV39" s="5">
        <f>Table1[[#This Row],[P54 mean]]-Table1[[#This Row],[P51 mean]]</f>
        <v>-663.08999999999992</v>
      </c>
      <c r="AW39" s="5">
        <f>Table1[[#This Row],[P51 tol]]+Table1[[#This Row],[P54 tol]]</f>
        <v>69.260000000000005</v>
      </c>
    </row>
    <row r="40" spans="1:49" x14ac:dyDescent="0.3">
      <c r="A40" t="s">
        <v>60</v>
      </c>
      <c r="B40">
        <v>117.8</v>
      </c>
      <c r="C40">
        <v>16.53</v>
      </c>
      <c r="D40" t="s">
        <v>4</v>
      </c>
      <c r="E40">
        <v>2000.27</v>
      </c>
      <c r="F40">
        <v>144.51</v>
      </c>
      <c r="G40" t="s">
        <v>3</v>
      </c>
      <c r="H40">
        <v>2000</v>
      </c>
      <c r="I40">
        <v>43.48</v>
      </c>
      <c r="J40">
        <v>3.8</v>
      </c>
      <c r="K40" t="s">
        <v>7</v>
      </c>
      <c r="L40">
        <v>51.28</v>
      </c>
      <c r="M40">
        <v>2.31</v>
      </c>
      <c r="N40" t="s">
        <v>7</v>
      </c>
      <c r="O40">
        <v>10799.11</v>
      </c>
      <c r="P40">
        <v>183.91</v>
      </c>
      <c r="Q40" t="s">
        <v>3</v>
      </c>
      <c r="R40">
        <v>8500</v>
      </c>
      <c r="S40">
        <v>-174.8</v>
      </c>
      <c r="T40">
        <v>59.63</v>
      </c>
      <c r="U40" t="s">
        <v>4</v>
      </c>
      <c r="V40">
        <v>-288.12</v>
      </c>
      <c r="W40">
        <v>68.06</v>
      </c>
      <c r="X40" t="s">
        <v>4</v>
      </c>
      <c r="Y40">
        <v>-535.77</v>
      </c>
      <c r="Z40">
        <v>72.569999999999993</v>
      </c>
      <c r="AA40" t="s">
        <v>5</v>
      </c>
      <c r="AB40">
        <v>-734.09</v>
      </c>
      <c r="AC40">
        <v>84.33</v>
      </c>
      <c r="AD40" t="s">
        <v>4</v>
      </c>
      <c r="AE40">
        <v>8.4499999999999993</v>
      </c>
      <c r="AF40">
        <v>0.18</v>
      </c>
      <c r="AG40" t="s">
        <v>6</v>
      </c>
      <c r="AH40">
        <v>1400</v>
      </c>
      <c r="AI40">
        <v>6.62</v>
      </c>
      <c r="AJ40">
        <v>0.36</v>
      </c>
      <c r="AK40" t="s">
        <v>6</v>
      </c>
      <c r="AL40" s="1">
        <v>45328</v>
      </c>
      <c r="AM40" t="s">
        <v>61</v>
      </c>
      <c r="AN40">
        <f>Table1[[#This Row],[S51 mean]]+Table1[[#This Row],[S52 mean]]</f>
        <v>15.07</v>
      </c>
      <c r="AO40">
        <f>AE40+AI40-AH40</f>
        <v>-1384.93</v>
      </c>
      <c r="AP40">
        <f>Table1[[#This Row],[P53 mean]]-Table1[[#This Row],[P54 mean]]</f>
        <v>198.32000000000005</v>
      </c>
      <c r="AQ40">
        <f>Table1[[#This Row],[P54 tol]]+Table1[[#This Row],[P53 tol]]</f>
        <v>156.89999999999998</v>
      </c>
      <c r="AR40">
        <f>Table1[[#This Row],[P51 mean]]-Table1[[#This Row],[P52 mean]]</f>
        <v>113.32</v>
      </c>
      <c r="AS40">
        <f>Table1[[#This Row],[P51 tol]]+Table1[[#This Row],[P52 tol]]</f>
        <v>127.69</v>
      </c>
      <c r="AT40">
        <f>Table1[[#This Row],[P53 mean]]-Table1[[#This Row],[P54 mean]]</f>
        <v>198.32000000000005</v>
      </c>
      <c r="AU40">
        <f>Table1[[#This Row],[P54 tol]]+Table1[[#This Row],[P53 tol]]</f>
        <v>156.89999999999998</v>
      </c>
      <c r="AV40" s="5">
        <f>Table1[[#This Row],[P54 mean]]-Table1[[#This Row],[P51 mean]]</f>
        <v>-559.29</v>
      </c>
      <c r="AW40" s="5">
        <f>Table1[[#This Row],[P51 tol]]+Table1[[#This Row],[P54 tol]]</f>
        <v>143.96</v>
      </c>
    </row>
    <row r="41" spans="1:49" x14ac:dyDescent="0.3">
      <c r="A41" t="s">
        <v>60</v>
      </c>
      <c r="B41">
        <v>120.26</v>
      </c>
      <c r="C41">
        <v>18.52</v>
      </c>
      <c r="D41" t="s">
        <v>4</v>
      </c>
      <c r="E41">
        <v>2005.2</v>
      </c>
      <c r="F41">
        <v>297.8</v>
      </c>
      <c r="G41" t="s">
        <v>3</v>
      </c>
      <c r="H41">
        <v>2000</v>
      </c>
      <c r="I41">
        <v>43.21</v>
      </c>
      <c r="J41">
        <v>5.7</v>
      </c>
      <c r="K41" t="s">
        <v>7</v>
      </c>
      <c r="L41">
        <v>51.23</v>
      </c>
      <c r="M41">
        <v>3.08</v>
      </c>
      <c r="N41" t="s">
        <v>7</v>
      </c>
      <c r="O41">
        <v>10801.19</v>
      </c>
      <c r="P41">
        <v>197.55</v>
      </c>
      <c r="Q41" t="s">
        <v>3</v>
      </c>
      <c r="R41">
        <v>8500</v>
      </c>
      <c r="S41">
        <v>-142.04</v>
      </c>
      <c r="T41">
        <v>89.41</v>
      </c>
      <c r="U41" t="s">
        <v>4</v>
      </c>
      <c r="V41">
        <v>-263.62</v>
      </c>
      <c r="W41">
        <v>115.78</v>
      </c>
      <c r="X41" t="s">
        <v>4</v>
      </c>
      <c r="Y41">
        <v>-515.55999999999995</v>
      </c>
      <c r="Z41">
        <v>89.19</v>
      </c>
      <c r="AA41" t="s">
        <v>5</v>
      </c>
      <c r="AB41">
        <v>-711.05</v>
      </c>
      <c r="AC41">
        <v>114.35</v>
      </c>
      <c r="AD41" t="s">
        <v>4</v>
      </c>
      <c r="AE41">
        <v>8.4499999999999993</v>
      </c>
      <c r="AF41">
        <v>0.14000000000000001</v>
      </c>
      <c r="AG41" t="s">
        <v>6</v>
      </c>
      <c r="AH41">
        <v>1400</v>
      </c>
      <c r="AI41">
        <v>6.84</v>
      </c>
      <c r="AJ41">
        <v>0.1</v>
      </c>
      <c r="AK41" t="s">
        <v>6</v>
      </c>
      <c r="AL41" s="1">
        <v>45327</v>
      </c>
      <c r="AM41" t="s">
        <v>61</v>
      </c>
      <c r="AN41">
        <f>Table1[[#This Row],[S51 mean]]+Table1[[#This Row],[S52 mean]]</f>
        <v>15.29</v>
      </c>
      <c r="AO41">
        <f>AE41+AI41-AH41</f>
        <v>-1384.71</v>
      </c>
      <c r="AP41">
        <f>Table1[[#This Row],[P53 mean]]-Table1[[#This Row],[P54 mean]]</f>
        <v>195.49</v>
      </c>
      <c r="AQ41">
        <f>Table1[[#This Row],[P54 tol]]+Table1[[#This Row],[P53 tol]]</f>
        <v>203.54</v>
      </c>
      <c r="AR41">
        <f>Table1[[#This Row],[P51 mean]]-Table1[[#This Row],[P52 mean]]</f>
        <v>121.58000000000001</v>
      </c>
      <c r="AS41">
        <f>Table1[[#This Row],[P51 tol]]+Table1[[#This Row],[P52 tol]]</f>
        <v>205.19</v>
      </c>
      <c r="AT41">
        <f>Table1[[#This Row],[P53 mean]]-Table1[[#This Row],[P54 mean]]</f>
        <v>195.49</v>
      </c>
      <c r="AU41">
        <f>Table1[[#This Row],[P54 tol]]+Table1[[#This Row],[P53 tol]]</f>
        <v>203.54</v>
      </c>
      <c r="AV41" s="5">
        <f>Table1[[#This Row],[P54 mean]]-Table1[[#This Row],[P51 mean]]</f>
        <v>-569.01</v>
      </c>
      <c r="AW41" s="5">
        <f>Table1[[#This Row],[P51 tol]]+Table1[[#This Row],[P54 tol]]</f>
        <v>203.76</v>
      </c>
    </row>
    <row r="42" spans="1:49" x14ac:dyDescent="0.3">
      <c r="A42" t="s">
        <v>20</v>
      </c>
      <c r="B42">
        <v>178.07</v>
      </c>
      <c r="C42">
        <v>28.06</v>
      </c>
      <c r="D42" t="s">
        <v>4</v>
      </c>
      <c r="E42">
        <v>1994.72</v>
      </c>
      <c r="F42">
        <v>425.98</v>
      </c>
      <c r="G42" t="s">
        <v>3</v>
      </c>
      <c r="H42">
        <v>2000</v>
      </c>
      <c r="I42">
        <v>48.37</v>
      </c>
      <c r="J42">
        <v>8.85</v>
      </c>
      <c r="K42" t="s">
        <v>7</v>
      </c>
      <c r="L42">
        <v>29.58</v>
      </c>
      <c r="M42">
        <v>2.65</v>
      </c>
      <c r="N42" t="s">
        <v>7</v>
      </c>
      <c r="O42">
        <v>4998.95</v>
      </c>
      <c r="P42">
        <v>177.39</v>
      </c>
      <c r="Q42" t="s">
        <v>3</v>
      </c>
      <c r="R42">
        <v>5000</v>
      </c>
      <c r="S42">
        <v>-272.11</v>
      </c>
      <c r="T42">
        <v>145.28</v>
      </c>
      <c r="U42" t="s">
        <v>4</v>
      </c>
      <c r="V42">
        <v>-451.65</v>
      </c>
      <c r="W42">
        <v>129.65</v>
      </c>
      <c r="X42" t="s">
        <v>4</v>
      </c>
      <c r="Y42">
        <v>-842.01</v>
      </c>
      <c r="Z42">
        <v>108.36</v>
      </c>
      <c r="AA42" t="s">
        <v>5</v>
      </c>
      <c r="AB42">
        <v>-880.04</v>
      </c>
      <c r="AC42">
        <v>118.93</v>
      </c>
      <c r="AD42" t="s">
        <v>4</v>
      </c>
      <c r="AE42">
        <v>8.4499999999999993</v>
      </c>
      <c r="AF42">
        <v>0.13</v>
      </c>
      <c r="AG42" t="s">
        <v>6</v>
      </c>
      <c r="AH42">
        <v>800</v>
      </c>
      <c r="AI42">
        <v>700.51</v>
      </c>
      <c r="AJ42">
        <v>62.22</v>
      </c>
      <c r="AK42" t="s">
        <v>6</v>
      </c>
      <c r="AL42" s="1">
        <v>45327</v>
      </c>
      <c r="AM42" t="s">
        <v>21</v>
      </c>
      <c r="AN42">
        <f>Table1[[#This Row],[S51 mean]]+Table1[[#This Row],[S52 mean]]</f>
        <v>708.96</v>
      </c>
      <c r="AO42">
        <f>AE42+AI42-AH42</f>
        <v>-91.039999999999964</v>
      </c>
      <c r="AP42">
        <f>Table1[[#This Row],[P53 mean]]-Table1[[#This Row],[P54 mean]]</f>
        <v>38.029999999999973</v>
      </c>
      <c r="AQ42">
        <f>Table1[[#This Row],[P54 tol]]+Table1[[#This Row],[P53 tol]]</f>
        <v>227.29000000000002</v>
      </c>
      <c r="AR42">
        <f>Table1[[#This Row],[P51 mean]]-Table1[[#This Row],[P52 mean]]</f>
        <v>179.53999999999996</v>
      </c>
      <c r="AS42">
        <f>Table1[[#This Row],[P51 tol]]+Table1[[#This Row],[P52 tol]]</f>
        <v>274.93</v>
      </c>
      <c r="AT42">
        <f>Table1[[#This Row],[P53 mean]]-Table1[[#This Row],[P54 mean]]</f>
        <v>38.029999999999973</v>
      </c>
      <c r="AU42">
        <f>Table1[[#This Row],[P54 tol]]+Table1[[#This Row],[P53 tol]]</f>
        <v>227.29000000000002</v>
      </c>
      <c r="AV42" s="5">
        <f>Table1[[#This Row],[P54 mean]]-Table1[[#This Row],[P51 mean]]</f>
        <v>-607.92999999999995</v>
      </c>
      <c r="AW42" s="5">
        <f>Table1[[#This Row],[P51 tol]]+Table1[[#This Row],[P54 tol]]</f>
        <v>264.21000000000004</v>
      </c>
    </row>
    <row r="43" spans="1:49" x14ac:dyDescent="0.3">
      <c r="A43" t="s">
        <v>20</v>
      </c>
      <c r="B43">
        <v>189.29</v>
      </c>
      <c r="C43">
        <v>14.72</v>
      </c>
      <c r="D43" t="s">
        <v>4</v>
      </c>
      <c r="E43">
        <v>2000.36</v>
      </c>
      <c r="F43">
        <v>331.91</v>
      </c>
      <c r="G43" t="s">
        <v>3</v>
      </c>
      <c r="H43">
        <v>2000</v>
      </c>
      <c r="I43">
        <v>48.12</v>
      </c>
      <c r="J43">
        <v>2.86</v>
      </c>
      <c r="K43" t="s">
        <v>7</v>
      </c>
      <c r="L43">
        <v>29.62</v>
      </c>
      <c r="M43">
        <v>1.1499999999999999</v>
      </c>
      <c r="N43" t="s">
        <v>7</v>
      </c>
      <c r="O43">
        <v>4998.7</v>
      </c>
      <c r="P43">
        <v>157.91</v>
      </c>
      <c r="Q43" t="s">
        <v>3</v>
      </c>
      <c r="R43">
        <v>5000</v>
      </c>
      <c r="S43">
        <v>-289.54000000000002</v>
      </c>
      <c r="T43">
        <v>28.99</v>
      </c>
      <c r="U43" t="s">
        <v>4</v>
      </c>
      <c r="V43">
        <v>-456.64</v>
      </c>
      <c r="W43">
        <v>44.7</v>
      </c>
      <c r="X43" t="s">
        <v>4</v>
      </c>
      <c r="Y43">
        <v>-844.89</v>
      </c>
      <c r="Z43">
        <v>39.97</v>
      </c>
      <c r="AA43" t="s">
        <v>5</v>
      </c>
      <c r="AB43">
        <v>-884.35</v>
      </c>
      <c r="AC43">
        <v>49.98</v>
      </c>
      <c r="AD43" t="s">
        <v>4</v>
      </c>
      <c r="AE43">
        <v>8.4700000000000006</v>
      </c>
      <c r="AF43">
        <v>0.14000000000000001</v>
      </c>
      <c r="AG43" t="s">
        <v>6</v>
      </c>
      <c r="AH43">
        <v>800</v>
      </c>
      <c r="AI43">
        <v>793.67</v>
      </c>
      <c r="AJ43">
        <v>101.88</v>
      </c>
      <c r="AK43" t="s">
        <v>6</v>
      </c>
      <c r="AL43" s="1">
        <v>45327</v>
      </c>
      <c r="AM43" t="s">
        <v>21</v>
      </c>
      <c r="AN43">
        <f>Table1[[#This Row],[S51 mean]]+Table1[[#This Row],[S52 mean]]</f>
        <v>802.14</v>
      </c>
      <c r="AO43">
        <f>AE43+AI43-AH43</f>
        <v>2.1399999999999864</v>
      </c>
      <c r="AP43">
        <f>Table1[[#This Row],[P53 mean]]-Table1[[#This Row],[P54 mean]]</f>
        <v>39.460000000000036</v>
      </c>
      <c r="AQ43">
        <f>Table1[[#This Row],[P54 tol]]+Table1[[#This Row],[P53 tol]]</f>
        <v>89.949999999999989</v>
      </c>
      <c r="AR43">
        <f>Table1[[#This Row],[P51 mean]]-Table1[[#This Row],[P52 mean]]</f>
        <v>167.09999999999997</v>
      </c>
      <c r="AS43">
        <f>Table1[[#This Row],[P51 tol]]+Table1[[#This Row],[P52 tol]]</f>
        <v>73.69</v>
      </c>
      <c r="AT43">
        <f>Table1[[#This Row],[P53 mean]]-Table1[[#This Row],[P54 mean]]</f>
        <v>39.460000000000036</v>
      </c>
      <c r="AU43">
        <f>Table1[[#This Row],[P54 tol]]+Table1[[#This Row],[P53 tol]]</f>
        <v>89.949999999999989</v>
      </c>
      <c r="AV43" s="5">
        <f>Table1[[#This Row],[P54 mean]]-Table1[[#This Row],[P51 mean]]</f>
        <v>-594.80999999999995</v>
      </c>
      <c r="AW43" s="5">
        <f>Table1[[#This Row],[P51 tol]]+Table1[[#This Row],[P54 tol]]</f>
        <v>78.97</v>
      </c>
    </row>
    <row r="44" spans="1:49" x14ac:dyDescent="0.3">
      <c r="A44" t="s">
        <v>16</v>
      </c>
      <c r="B44">
        <v>176.27</v>
      </c>
      <c r="C44">
        <v>27.49</v>
      </c>
      <c r="D44" t="s">
        <v>4</v>
      </c>
      <c r="E44">
        <v>1999.96</v>
      </c>
      <c r="F44">
        <v>104.98</v>
      </c>
      <c r="G44" t="s">
        <v>3</v>
      </c>
      <c r="H44">
        <v>2000</v>
      </c>
      <c r="I44">
        <v>60.58</v>
      </c>
      <c r="J44">
        <v>24.35</v>
      </c>
      <c r="K44" t="s">
        <v>7</v>
      </c>
      <c r="L44">
        <v>39.04</v>
      </c>
      <c r="M44">
        <v>4</v>
      </c>
      <c r="N44" t="s">
        <v>7</v>
      </c>
      <c r="O44">
        <v>6000.06</v>
      </c>
      <c r="P44">
        <v>143.6</v>
      </c>
      <c r="Q44" t="s">
        <v>3</v>
      </c>
      <c r="R44">
        <v>6000</v>
      </c>
      <c r="S44">
        <v>-295.57</v>
      </c>
      <c r="T44">
        <v>51.37</v>
      </c>
      <c r="U44" t="s">
        <v>4</v>
      </c>
      <c r="V44">
        <v>-549.5</v>
      </c>
      <c r="W44">
        <v>98.01</v>
      </c>
      <c r="X44" t="s">
        <v>4</v>
      </c>
      <c r="Y44">
        <v>-980.26</v>
      </c>
      <c r="Z44">
        <v>115.02</v>
      </c>
      <c r="AA44" t="s">
        <v>5</v>
      </c>
      <c r="AB44">
        <v>-1048.99</v>
      </c>
      <c r="AC44">
        <v>136.01</v>
      </c>
      <c r="AD44" t="s">
        <v>4</v>
      </c>
      <c r="AE44">
        <v>1050.24</v>
      </c>
      <c r="AF44">
        <v>24.7</v>
      </c>
      <c r="AG44" t="s">
        <v>6</v>
      </c>
      <c r="AH44">
        <v>1050</v>
      </c>
      <c r="AI44">
        <v>6.86</v>
      </c>
      <c r="AJ44">
        <v>0.1</v>
      </c>
      <c r="AK44" t="s">
        <v>6</v>
      </c>
      <c r="AL44" s="1">
        <v>45325</v>
      </c>
      <c r="AM44" t="s">
        <v>17</v>
      </c>
      <c r="AN44">
        <f>Table1[[#This Row],[S51 mean]]+Table1[[#This Row],[S52 mean]]</f>
        <v>1057.0999999999999</v>
      </c>
      <c r="AO44">
        <f>AE44+AI44-AH44</f>
        <v>7.0999999999999091</v>
      </c>
      <c r="AP44">
        <f>Table1[[#This Row],[P53 mean]]-Table1[[#This Row],[P54 mean]]</f>
        <v>68.730000000000018</v>
      </c>
      <c r="AQ44">
        <f>Table1[[#This Row],[P54 tol]]+Table1[[#This Row],[P53 tol]]</f>
        <v>251.02999999999997</v>
      </c>
      <c r="AR44">
        <f>Table1[[#This Row],[P51 mean]]-Table1[[#This Row],[P52 mean]]</f>
        <v>253.93</v>
      </c>
      <c r="AS44">
        <f>Table1[[#This Row],[P51 tol]]+Table1[[#This Row],[P52 tol]]</f>
        <v>149.38</v>
      </c>
      <c r="AT44">
        <f>Table1[[#This Row],[P53 mean]]-Table1[[#This Row],[P54 mean]]</f>
        <v>68.730000000000018</v>
      </c>
      <c r="AU44">
        <f>Table1[[#This Row],[P54 tol]]+Table1[[#This Row],[P53 tol]]</f>
        <v>251.02999999999997</v>
      </c>
      <c r="AV44" s="5">
        <f>Table1[[#This Row],[P54 mean]]-Table1[[#This Row],[P51 mean]]</f>
        <v>-753.42000000000007</v>
      </c>
      <c r="AW44" s="5">
        <f>Table1[[#This Row],[P51 tol]]+Table1[[#This Row],[P54 tol]]</f>
        <v>187.38</v>
      </c>
    </row>
    <row r="45" spans="1:49" x14ac:dyDescent="0.3">
      <c r="A45" t="s">
        <v>8</v>
      </c>
      <c r="B45">
        <v>195.75</v>
      </c>
      <c r="C45">
        <v>18.14</v>
      </c>
      <c r="D45" t="s">
        <v>4</v>
      </c>
      <c r="E45">
        <v>1999.52</v>
      </c>
      <c r="F45">
        <v>201.14</v>
      </c>
      <c r="G45" t="s">
        <v>3</v>
      </c>
      <c r="H45">
        <v>2000</v>
      </c>
      <c r="I45">
        <v>45.64</v>
      </c>
      <c r="J45">
        <v>2.11</v>
      </c>
      <c r="K45" t="s">
        <v>7</v>
      </c>
      <c r="L45">
        <v>46.05</v>
      </c>
      <c r="M45">
        <v>2.2000000000000002</v>
      </c>
      <c r="N45" t="s">
        <v>7</v>
      </c>
      <c r="O45">
        <v>8500.6299999999992</v>
      </c>
      <c r="P45">
        <v>172.55</v>
      </c>
      <c r="Q45" t="s">
        <v>3</v>
      </c>
      <c r="R45">
        <v>8500</v>
      </c>
      <c r="S45">
        <v>-160.13999999999999</v>
      </c>
      <c r="T45">
        <v>40.47</v>
      </c>
      <c r="U45" t="s">
        <v>4</v>
      </c>
      <c r="V45">
        <v>-345</v>
      </c>
      <c r="W45">
        <v>27.94</v>
      </c>
      <c r="X45" t="s">
        <v>4</v>
      </c>
      <c r="Y45">
        <v>-686.8</v>
      </c>
      <c r="Z45">
        <v>24.45</v>
      </c>
      <c r="AA45" t="s">
        <v>5</v>
      </c>
      <c r="AB45">
        <v>-820.45</v>
      </c>
      <c r="AC45">
        <v>29.24</v>
      </c>
      <c r="AD45" t="s">
        <v>4</v>
      </c>
      <c r="AE45">
        <v>8.49</v>
      </c>
      <c r="AF45">
        <v>0.14000000000000001</v>
      </c>
      <c r="AG45" t="s">
        <v>6</v>
      </c>
      <c r="AH45">
        <v>2000</v>
      </c>
      <c r="AI45">
        <v>1663.08</v>
      </c>
      <c r="AJ45">
        <v>154.65</v>
      </c>
      <c r="AK45" t="s">
        <v>6</v>
      </c>
      <c r="AL45" s="1">
        <v>45325</v>
      </c>
      <c r="AM45" t="s">
        <v>9</v>
      </c>
      <c r="AN45">
        <f>Table1[[#This Row],[S51 mean]]+Table1[[#This Row],[S52 mean]]</f>
        <v>1671.57</v>
      </c>
      <c r="AO45">
        <f>AE45+AI45-AH45</f>
        <v>-328.43000000000006</v>
      </c>
      <c r="AP45">
        <f>Table1[[#This Row],[P53 mean]]-Table1[[#This Row],[P54 mean]]</f>
        <v>133.65000000000009</v>
      </c>
      <c r="AQ45">
        <f>Table1[[#This Row],[P54 tol]]+Table1[[#This Row],[P53 tol]]</f>
        <v>53.69</v>
      </c>
      <c r="AR45">
        <f>Table1[[#This Row],[P51 mean]]-Table1[[#This Row],[P52 mean]]</f>
        <v>184.86</v>
      </c>
      <c r="AS45">
        <f>Table1[[#This Row],[P51 tol]]+Table1[[#This Row],[P52 tol]]</f>
        <v>68.41</v>
      </c>
      <c r="AT45">
        <f>Table1[[#This Row],[P53 mean]]-Table1[[#This Row],[P54 mean]]</f>
        <v>133.65000000000009</v>
      </c>
      <c r="AU45">
        <f>Table1[[#This Row],[P54 tol]]+Table1[[#This Row],[P53 tol]]</f>
        <v>53.69</v>
      </c>
      <c r="AV45" s="5">
        <f>Table1[[#This Row],[P54 mean]]-Table1[[#This Row],[P51 mean]]</f>
        <v>-660.31000000000006</v>
      </c>
      <c r="AW45" s="5">
        <f>Table1[[#This Row],[P51 tol]]+Table1[[#This Row],[P54 tol]]</f>
        <v>69.709999999999994</v>
      </c>
    </row>
    <row r="46" spans="1:49" x14ac:dyDescent="0.3">
      <c r="A46" t="s">
        <v>18</v>
      </c>
      <c r="B46">
        <v>161.85</v>
      </c>
      <c r="C46">
        <v>38.58</v>
      </c>
      <c r="D46" t="s">
        <v>4</v>
      </c>
      <c r="E46">
        <v>1999.36</v>
      </c>
      <c r="F46">
        <v>155.86000000000001</v>
      </c>
      <c r="G46" t="s">
        <v>3</v>
      </c>
      <c r="H46">
        <v>2000</v>
      </c>
      <c r="I46">
        <v>49.8</v>
      </c>
      <c r="J46">
        <v>12.9</v>
      </c>
      <c r="K46" t="s">
        <v>7</v>
      </c>
      <c r="L46">
        <v>35.54</v>
      </c>
      <c r="M46">
        <v>1.97</v>
      </c>
      <c r="N46" t="s">
        <v>7</v>
      </c>
      <c r="O46">
        <v>5999.56</v>
      </c>
      <c r="P46">
        <v>146.22999999999999</v>
      </c>
      <c r="Q46" t="s">
        <v>3</v>
      </c>
      <c r="R46">
        <v>6000</v>
      </c>
      <c r="S46">
        <v>-324.56</v>
      </c>
      <c r="T46">
        <v>118.18</v>
      </c>
      <c r="U46" t="s">
        <v>4</v>
      </c>
      <c r="V46">
        <v>-488.79</v>
      </c>
      <c r="W46">
        <v>131.91</v>
      </c>
      <c r="X46" t="s">
        <v>4</v>
      </c>
      <c r="Y46">
        <v>-911.93</v>
      </c>
      <c r="Z46">
        <v>121.42</v>
      </c>
      <c r="AA46" t="s">
        <v>5</v>
      </c>
      <c r="AB46">
        <v>-973.95</v>
      </c>
      <c r="AC46">
        <v>122.29</v>
      </c>
      <c r="AD46" t="s">
        <v>4</v>
      </c>
      <c r="AE46">
        <v>1049.8800000000001</v>
      </c>
      <c r="AF46">
        <v>24.65</v>
      </c>
      <c r="AG46" t="s">
        <v>6</v>
      </c>
      <c r="AH46">
        <v>1050</v>
      </c>
      <c r="AI46">
        <v>6.86</v>
      </c>
      <c r="AJ46">
        <v>0.1</v>
      </c>
      <c r="AK46" t="s">
        <v>6</v>
      </c>
      <c r="AL46" s="1">
        <v>45325</v>
      </c>
      <c r="AM46" t="s">
        <v>19</v>
      </c>
      <c r="AN46">
        <f>Table1[[#This Row],[S51 mean]]+Table1[[#This Row],[S52 mean]]</f>
        <v>1056.74</v>
      </c>
      <c r="AO46">
        <f>AE46+AI46-AH46</f>
        <v>6.7400000000000091</v>
      </c>
      <c r="AP46">
        <f>Table1[[#This Row],[P53 mean]]-Table1[[#This Row],[P54 mean]]</f>
        <v>62.020000000000095</v>
      </c>
      <c r="AQ46">
        <f>Table1[[#This Row],[P54 tol]]+Table1[[#This Row],[P53 tol]]</f>
        <v>243.71</v>
      </c>
      <c r="AR46">
        <f>Table1[[#This Row],[P51 mean]]-Table1[[#This Row],[P52 mean]]</f>
        <v>164.23000000000002</v>
      </c>
      <c r="AS46">
        <f>Table1[[#This Row],[P51 tol]]+Table1[[#This Row],[P52 tol]]</f>
        <v>250.09</v>
      </c>
      <c r="AT46">
        <f>Table1[[#This Row],[P53 mean]]-Table1[[#This Row],[P54 mean]]</f>
        <v>62.020000000000095</v>
      </c>
      <c r="AU46">
        <f>Table1[[#This Row],[P54 tol]]+Table1[[#This Row],[P53 tol]]</f>
        <v>243.71</v>
      </c>
      <c r="AV46" s="5">
        <f>Table1[[#This Row],[P54 mean]]-Table1[[#This Row],[P51 mean]]</f>
        <v>-649.3900000000001</v>
      </c>
      <c r="AW46" s="5">
        <f>Table1[[#This Row],[P51 tol]]+Table1[[#This Row],[P54 tol]]</f>
        <v>240.47000000000003</v>
      </c>
    </row>
    <row r="47" spans="1:49" x14ac:dyDescent="0.3">
      <c r="A47" t="s">
        <v>8</v>
      </c>
      <c r="B47">
        <v>184.66</v>
      </c>
      <c r="C47">
        <v>24.99</v>
      </c>
      <c r="D47" t="s">
        <v>4</v>
      </c>
      <c r="E47">
        <v>2001.72</v>
      </c>
      <c r="F47">
        <v>202.43</v>
      </c>
      <c r="G47" t="s">
        <v>3</v>
      </c>
      <c r="H47">
        <v>2000</v>
      </c>
      <c r="I47">
        <v>45.79</v>
      </c>
      <c r="J47">
        <v>2.85</v>
      </c>
      <c r="K47" t="s">
        <v>7</v>
      </c>
      <c r="L47">
        <v>52.01</v>
      </c>
      <c r="M47">
        <v>10.37</v>
      </c>
      <c r="N47" t="s">
        <v>7</v>
      </c>
      <c r="O47">
        <v>8502.39</v>
      </c>
      <c r="P47">
        <v>167.34</v>
      </c>
      <c r="Q47" t="s">
        <v>3</v>
      </c>
      <c r="R47">
        <v>8500</v>
      </c>
      <c r="S47">
        <v>-94.05</v>
      </c>
      <c r="T47">
        <v>52.57</v>
      </c>
      <c r="U47" t="s">
        <v>4</v>
      </c>
      <c r="V47">
        <v>-356.68</v>
      </c>
      <c r="W47">
        <v>39.22</v>
      </c>
      <c r="X47" t="s">
        <v>4</v>
      </c>
      <c r="Y47">
        <v>-711.69</v>
      </c>
      <c r="Z47">
        <v>88.56</v>
      </c>
      <c r="AA47" t="s">
        <v>5</v>
      </c>
      <c r="AB47">
        <v>-842.67</v>
      </c>
      <c r="AC47">
        <v>92.3</v>
      </c>
      <c r="AD47" t="s">
        <v>4</v>
      </c>
      <c r="AE47">
        <v>8.6199999999999992</v>
      </c>
      <c r="AF47">
        <v>0.13</v>
      </c>
      <c r="AG47" t="s">
        <v>6</v>
      </c>
      <c r="AH47">
        <v>2000</v>
      </c>
      <c r="AI47">
        <v>1605.94</v>
      </c>
      <c r="AJ47">
        <v>420.05</v>
      </c>
      <c r="AK47" t="s">
        <v>6</v>
      </c>
      <c r="AL47" s="1">
        <v>45324</v>
      </c>
      <c r="AM47" t="s">
        <v>9</v>
      </c>
      <c r="AN47">
        <f>Table1[[#This Row],[S51 mean]]+Table1[[#This Row],[S52 mean]]</f>
        <v>1614.56</v>
      </c>
      <c r="AO47">
        <f>AE47+AI47-AH47</f>
        <v>-385.44000000000005</v>
      </c>
      <c r="AP47">
        <f>Table1[[#This Row],[P53 mean]]-Table1[[#This Row],[P54 mean]]</f>
        <v>130.9799999999999</v>
      </c>
      <c r="AQ47">
        <f>Table1[[#This Row],[P54 tol]]+Table1[[#This Row],[P53 tol]]</f>
        <v>180.86</v>
      </c>
      <c r="AR47">
        <f>Table1[[#This Row],[P51 mean]]-Table1[[#This Row],[P52 mean]]</f>
        <v>262.63</v>
      </c>
      <c r="AS47">
        <f>Table1[[#This Row],[P51 tol]]+Table1[[#This Row],[P52 tol]]</f>
        <v>91.789999999999992</v>
      </c>
      <c r="AT47">
        <f>Table1[[#This Row],[P53 mean]]-Table1[[#This Row],[P54 mean]]</f>
        <v>130.9799999999999</v>
      </c>
      <c r="AU47">
        <f>Table1[[#This Row],[P54 tol]]+Table1[[#This Row],[P53 tol]]</f>
        <v>180.86</v>
      </c>
      <c r="AV47" s="5">
        <f>Table1[[#This Row],[P54 mean]]-Table1[[#This Row],[P51 mean]]</f>
        <v>-748.62</v>
      </c>
      <c r="AW47" s="5">
        <f>Table1[[#This Row],[P51 tol]]+Table1[[#This Row],[P54 tol]]</f>
        <v>144.87</v>
      </c>
    </row>
    <row r="48" spans="1:49" x14ac:dyDescent="0.3">
      <c r="A48" t="s">
        <v>15</v>
      </c>
      <c r="B48">
        <v>175.2</v>
      </c>
      <c r="C48">
        <v>14.04</v>
      </c>
      <c r="D48" t="s">
        <v>4</v>
      </c>
      <c r="E48">
        <v>1999.99</v>
      </c>
      <c r="F48">
        <v>118.49</v>
      </c>
      <c r="G48" t="s">
        <v>3</v>
      </c>
      <c r="H48">
        <v>2000</v>
      </c>
      <c r="I48">
        <v>46.08</v>
      </c>
      <c r="J48">
        <v>1.85</v>
      </c>
      <c r="K48" t="s">
        <v>7</v>
      </c>
      <c r="L48">
        <v>49.13</v>
      </c>
      <c r="M48">
        <v>1.81</v>
      </c>
      <c r="N48" t="s">
        <v>7</v>
      </c>
      <c r="O48">
        <v>10000.200000000001</v>
      </c>
      <c r="P48">
        <v>156.22999999999999</v>
      </c>
      <c r="Q48" t="s">
        <v>3</v>
      </c>
      <c r="R48">
        <v>10800</v>
      </c>
      <c r="S48">
        <v>-204.17</v>
      </c>
      <c r="T48">
        <v>30.35</v>
      </c>
      <c r="U48" t="s">
        <v>4</v>
      </c>
      <c r="V48">
        <v>-342.53</v>
      </c>
      <c r="W48">
        <v>35.5</v>
      </c>
      <c r="X48" t="s">
        <v>4</v>
      </c>
      <c r="Y48">
        <v>-675.05</v>
      </c>
      <c r="Z48">
        <v>30.92</v>
      </c>
      <c r="AA48" t="s">
        <v>5</v>
      </c>
      <c r="AB48">
        <v>-850.49</v>
      </c>
      <c r="AC48">
        <v>33.630000000000003</v>
      </c>
      <c r="AD48" t="s">
        <v>4</v>
      </c>
      <c r="AE48">
        <v>1199.95</v>
      </c>
      <c r="AF48">
        <v>22.06</v>
      </c>
      <c r="AG48" t="s">
        <v>6</v>
      </c>
      <c r="AH48">
        <v>2200</v>
      </c>
      <c r="AI48">
        <v>6.76</v>
      </c>
      <c r="AJ48">
        <v>0.11</v>
      </c>
      <c r="AK48" t="s">
        <v>6</v>
      </c>
      <c r="AL48" s="1">
        <v>45324</v>
      </c>
      <c r="AM48" t="s">
        <v>13</v>
      </c>
      <c r="AN48">
        <f>Table1[[#This Row],[S51 mean]]+Table1[[#This Row],[S52 mean]]</f>
        <v>1206.71</v>
      </c>
      <c r="AO48">
        <f>AE48+AI48-AH48</f>
        <v>-993.29</v>
      </c>
      <c r="AP48">
        <f>Table1[[#This Row],[P53 mean]]-Table1[[#This Row],[P54 mean]]</f>
        <v>175.44000000000005</v>
      </c>
      <c r="AQ48">
        <f>Table1[[#This Row],[P54 tol]]+Table1[[#This Row],[P53 tol]]</f>
        <v>64.550000000000011</v>
      </c>
      <c r="AR48">
        <f>Table1[[#This Row],[P51 mean]]-Table1[[#This Row],[P52 mean]]</f>
        <v>138.35999999999999</v>
      </c>
      <c r="AS48">
        <f>Table1[[#This Row],[P51 tol]]+Table1[[#This Row],[P52 tol]]</f>
        <v>65.849999999999994</v>
      </c>
      <c r="AT48">
        <f>Table1[[#This Row],[P53 mean]]-Table1[[#This Row],[P54 mean]]</f>
        <v>175.44000000000005</v>
      </c>
      <c r="AU48">
        <f>Table1[[#This Row],[P54 tol]]+Table1[[#This Row],[P53 tol]]</f>
        <v>64.550000000000011</v>
      </c>
      <c r="AV48" s="5">
        <f>Table1[[#This Row],[P54 mean]]-Table1[[#This Row],[P51 mean]]</f>
        <v>-646.32000000000005</v>
      </c>
      <c r="AW48" s="5">
        <f>Table1[[#This Row],[P51 tol]]+Table1[[#This Row],[P54 tol]]</f>
        <v>63.980000000000004</v>
      </c>
    </row>
    <row r="49" spans="1:49" x14ac:dyDescent="0.3">
      <c r="A49" t="s">
        <v>8</v>
      </c>
      <c r="B49">
        <v>186.49</v>
      </c>
      <c r="C49">
        <v>20.98</v>
      </c>
      <c r="D49" t="s">
        <v>4</v>
      </c>
      <c r="E49">
        <v>1999.65</v>
      </c>
      <c r="F49">
        <v>136.44999999999999</v>
      </c>
      <c r="G49" t="s">
        <v>3</v>
      </c>
      <c r="H49">
        <v>2000</v>
      </c>
      <c r="I49">
        <v>44.91</v>
      </c>
      <c r="J49">
        <v>2.79</v>
      </c>
      <c r="K49" t="s">
        <v>7</v>
      </c>
      <c r="L49">
        <v>46.41</v>
      </c>
      <c r="M49">
        <v>1.97</v>
      </c>
      <c r="N49" t="s">
        <v>7</v>
      </c>
      <c r="O49">
        <v>8500.93</v>
      </c>
      <c r="P49">
        <v>172.67</v>
      </c>
      <c r="Q49" t="s">
        <v>3</v>
      </c>
      <c r="R49">
        <v>8500</v>
      </c>
      <c r="S49">
        <v>-145.84</v>
      </c>
      <c r="T49">
        <v>43.88</v>
      </c>
      <c r="U49" t="s">
        <v>4</v>
      </c>
      <c r="V49">
        <v>-338.87</v>
      </c>
      <c r="W49">
        <v>47.59</v>
      </c>
      <c r="X49" t="s">
        <v>4</v>
      </c>
      <c r="Y49">
        <v>-685.92</v>
      </c>
      <c r="Z49">
        <v>45.42</v>
      </c>
      <c r="AA49" t="s">
        <v>5</v>
      </c>
      <c r="AB49">
        <v>-821.08</v>
      </c>
      <c r="AC49">
        <v>48.01</v>
      </c>
      <c r="AD49" t="s">
        <v>4</v>
      </c>
      <c r="AE49">
        <v>8.5399999999999991</v>
      </c>
      <c r="AF49">
        <v>0.14000000000000001</v>
      </c>
      <c r="AG49" t="s">
        <v>6</v>
      </c>
      <c r="AH49">
        <v>2000</v>
      </c>
      <c r="AI49">
        <v>1799.65</v>
      </c>
      <c r="AJ49">
        <v>53.07</v>
      </c>
      <c r="AK49" t="s">
        <v>6</v>
      </c>
      <c r="AL49" s="1">
        <v>45323</v>
      </c>
      <c r="AM49" t="s">
        <v>9</v>
      </c>
      <c r="AN49">
        <f>Table1[[#This Row],[S51 mean]]+Table1[[#This Row],[S52 mean]]</f>
        <v>1808.19</v>
      </c>
      <c r="AO49">
        <f>AE49+AI49-AH49</f>
        <v>-191.80999999999995</v>
      </c>
      <c r="AP49">
        <f>Table1[[#This Row],[P53 mean]]-Table1[[#This Row],[P54 mean]]</f>
        <v>135.16000000000008</v>
      </c>
      <c r="AQ49">
        <f>Table1[[#This Row],[P54 tol]]+Table1[[#This Row],[P53 tol]]</f>
        <v>93.43</v>
      </c>
      <c r="AR49">
        <f>Table1[[#This Row],[P51 mean]]-Table1[[#This Row],[P52 mean]]</f>
        <v>193.03</v>
      </c>
      <c r="AS49">
        <f>Table1[[#This Row],[P51 tol]]+Table1[[#This Row],[P52 tol]]</f>
        <v>91.47</v>
      </c>
      <c r="AT49">
        <f>Table1[[#This Row],[P53 mean]]-Table1[[#This Row],[P54 mean]]</f>
        <v>135.16000000000008</v>
      </c>
      <c r="AU49">
        <f>Table1[[#This Row],[P54 tol]]+Table1[[#This Row],[P53 tol]]</f>
        <v>93.43</v>
      </c>
      <c r="AV49" s="5">
        <f>Table1[[#This Row],[P54 mean]]-Table1[[#This Row],[P51 mean]]</f>
        <v>-675.24</v>
      </c>
      <c r="AW49" s="5">
        <f>Table1[[#This Row],[P51 tol]]+Table1[[#This Row],[P54 tol]]</f>
        <v>91.89</v>
      </c>
    </row>
    <row r="50" spans="1:49" x14ac:dyDescent="0.3">
      <c r="A50" t="s">
        <v>8</v>
      </c>
      <c r="B50">
        <v>184.22</v>
      </c>
      <c r="C50">
        <v>16.07</v>
      </c>
      <c r="D50" t="s">
        <v>4</v>
      </c>
      <c r="E50">
        <v>2000.64</v>
      </c>
      <c r="F50">
        <v>142.44999999999999</v>
      </c>
      <c r="G50" t="s">
        <v>3</v>
      </c>
      <c r="H50">
        <v>2000</v>
      </c>
      <c r="I50">
        <v>45.96</v>
      </c>
      <c r="J50">
        <v>2.06</v>
      </c>
      <c r="K50" t="s">
        <v>7</v>
      </c>
      <c r="L50">
        <v>46.25</v>
      </c>
      <c r="M50">
        <v>5.22</v>
      </c>
      <c r="N50" t="s">
        <v>7</v>
      </c>
      <c r="O50">
        <v>8499.7099999999991</v>
      </c>
      <c r="P50">
        <v>160.69</v>
      </c>
      <c r="Q50" t="s">
        <v>3</v>
      </c>
      <c r="R50">
        <v>8500</v>
      </c>
      <c r="S50">
        <v>-158.25</v>
      </c>
      <c r="T50">
        <v>56.58</v>
      </c>
      <c r="U50" t="s">
        <v>4</v>
      </c>
      <c r="V50">
        <v>-363.21</v>
      </c>
      <c r="W50">
        <v>37.46</v>
      </c>
      <c r="X50" t="s">
        <v>4</v>
      </c>
      <c r="Y50">
        <v>-705.36</v>
      </c>
      <c r="Z50">
        <v>50.13</v>
      </c>
      <c r="AA50" t="s">
        <v>5</v>
      </c>
      <c r="AB50">
        <v>-837.94</v>
      </c>
      <c r="AC50">
        <v>51.88</v>
      </c>
      <c r="AD50" t="s">
        <v>4</v>
      </c>
      <c r="AE50">
        <v>8.82</v>
      </c>
      <c r="AF50">
        <v>0.13</v>
      </c>
      <c r="AG50" t="s">
        <v>6</v>
      </c>
      <c r="AH50">
        <v>2000</v>
      </c>
      <c r="AI50">
        <v>1700.16</v>
      </c>
      <c r="AJ50">
        <v>57.23</v>
      </c>
      <c r="AK50" t="s">
        <v>6</v>
      </c>
      <c r="AL50" s="1">
        <v>45322</v>
      </c>
      <c r="AM50" t="s">
        <v>9</v>
      </c>
      <c r="AN50">
        <f>Table1[[#This Row],[S51 mean]]+Table1[[#This Row],[S52 mean]]</f>
        <v>1708.98</v>
      </c>
      <c r="AO50">
        <f>AE50+AI50-AH50</f>
        <v>-291.02</v>
      </c>
      <c r="AP50">
        <f>Table1[[#This Row],[P53 mean]]-Table1[[#This Row],[P54 mean]]</f>
        <v>132.58000000000004</v>
      </c>
      <c r="AQ50">
        <f>Table1[[#This Row],[P54 tol]]+Table1[[#This Row],[P53 tol]]</f>
        <v>102.01</v>
      </c>
      <c r="AR50">
        <f>Table1[[#This Row],[P51 mean]]-Table1[[#This Row],[P52 mean]]</f>
        <v>204.95999999999998</v>
      </c>
      <c r="AS50">
        <f>Table1[[#This Row],[P51 tol]]+Table1[[#This Row],[P52 tol]]</f>
        <v>94.039999999999992</v>
      </c>
      <c r="AT50">
        <f>Table1[[#This Row],[P53 mean]]-Table1[[#This Row],[P54 mean]]</f>
        <v>132.58000000000004</v>
      </c>
      <c r="AU50">
        <f>Table1[[#This Row],[P54 tol]]+Table1[[#This Row],[P53 tol]]</f>
        <v>102.01</v>
      </c>
      <c r="AV50" s="5">
        <f>Table1[[#This Row],[P54 mean]]-Table1[[#This Row],[P51 mean]]</f>
        <v>-679.69</v>
      </c>
      <c r="AW50" s="5">
        <f>Table1[[#This Row],[P51 tol]]+Table1[[#This Row],[P54 tol]]</f>
        <v>108.46000000000001</v>
      </c>
    </row>
    <row r="51" spans="1:49" x14ac:dyDescent="0.3">
      <c r="A51" t="s">
        <v>8</v>
      </c>
      <c r="B51">
        <v>161.69</v>
      </c>
      <c r="C51">
        <v>19.7</v>
      </c>
      <c r="D51" t="s">
        <v>4</v>
      </c>
      <c r="E51">
        <v>2000.6</v>
      </c>
      <c r="F51">
        <v>154.47</v>
      </c>
      <c r="G51" t="s">
        <v>3</v>
      </c>
      <c r="H51">
        <v>2000</v>
      </c>
      <c r="I51">
        <v>46.23</v>
      </c>
      <c r="J51">
        <v>2.06</v>
      </c>
      <c r="K51" t="s">
        <v>7</v>
      </c>
      <c r="L51">
        <v>52.16</v>
      </c>
      <c r="M51">
        <v>9.34</v>
      </c>
      <c r="N51" t="s">
        <v>7</v>
      </c>
      <c r="O51">
        <v>8500.25</v>
      </c>
      <c r="P51">
        <v>169.53</v>
      </c>
      <c r="Q51" t="s">
        <v>3</v>
      </c>
      <c r="R51">
        <v>8500</v>
      </c>
      <c r="S51">
        <v>-131.72</v>
      </c>
      <c r="T51">
        <v>91.22</v>
      </c>
      <c r="U51" t="s">
        <v>4</v>
      </c>
      <c r="V51">
        <v>-377.8</v>
      </c>
      <c r="W51">
        <v>35.29</v>
      </c>
      <c r="X51" t="s">
        <v>4</v>
      </c>
      <c r="Y51">
        <v>-748.77</v>
      </c>
      <c r="Z51">
        <v>64.66</v>
      </c>
      <c r="AA51" t="s">
        <v>5</v>
      </c>
      <c r="AB51">
        <v>-881.69</v>
      </c>
      <c r="AC51">
        <v>66.489999999999995</v>
      </c>
      <c r="AD51" t="s">
        <v>4</v>
      </c>
      <c r="AE51">
        <v>1800.14</v>
      </c>
      <c r="AF51">
        <v>24.4</v>
      </c>
      <c r="AG51" t="s">
        <v>6</v>
      </c>
      <c r="AH51">
        <v>2000</v>
      </c>
      <c r="AI51">
        <v>7.12</v>
      </c>
      <c r="AJ51">
        <v>0.1</v>
      </c>
      <c r="AK51" t="s">
        <v>6</v>
      </c>
      <c r="AL51" s="1">
        <v>45322</v>
      </c>
      <c r="AM51" t="s">
        <v>9</v>
      </c>
      <c r="AN51">
        <f>Table1[[#This Row],[S51 mean]]+Table1[[#This Row],[S52 mean]]</f>
        <v>1807.26</v>
      </c>
      <c r="AO51">
        <f>AE51+AI51-AH51</f>
        <v>-192.74</v>
      </c>
      <c r="AP51">
        <f>Table1[[#This Row],[P53 mean]]-Table1[[#This Row],[P54 mean]]</f>
        <v>132.92000000000007</v>
      </c>
      <c r="AQ51">
        <f>Table1[[#This Row],[P54 tol]]+Table1[[#This Row],[P53 tol]]</f>
        <v>131.14999999999998</v>
      </c>
      <c r="AR51">
        <f>Table1[[#This Row],[P51 mean]]-Table1[[#This Row],[P52 mean]]</f>
        <v>246.08</v>
      </c>
      <c r="AS51">
        <f>Table1[[#This Row],[P51 tol]]+Table1[[#This Row],[P52 tol]]</f>
        <v>126.50999999999999</v>
      </c>
      <c r="AT51">
        <f>Table1[[#This Row],[P53 mean]]-Table1[[#This Row],[P54 mean]]</f>
        <v>132.92000000000007</v>
      </c>
      <c r="AU51">
        <f>Table1[[#This Row],[P54 tol]]+Table1[[#This Row],[P53 tol]]</f>
        <v>131.14999999999998</v>
      </c>
      <c r="AV51" s="5">
        <f>Table1[[#This Row],[P54 mean]]-Table1[[#This Row],[P51 mean]]</f>
        <v>-749.97</v>
      </c>
      <c r="AW51" s="5">
        <f>Table1[[#This Row],[P51 tol]]+Table1[[#This Row],[P54 tol]]</f>
        <v>157.70999999999998</v>
      </c>
    </row>
    <row r="52" spans="1:49" x14ac:dyDescent="0.3">
      <c r="A52" t="s">
        <v>15</v>
      </c>
      <c r="B52">
        <v>170.11</v>
      </c>
      <c r="C52">
        <v>16.25</v>
      </c>
      <c r="D52" t="s">
        <v>4</v>
      </c>
      <c r="E52">
        <v>1998.58</v>
      </c>
      <c r="F52">
        <v>133.31</v>
      </c>
      <c r="G52" t="s">
        <v>3</v>
      </c>
      <c r="H52">
        <v>2000</v>
      </c>
      <c r="I52">
        <v>46.21</v>
      </c>
      <c r="J52">
        <v>1.95</v>
      </c>
      <c r="K52" t="s">
        <v>7</v>
      </c>
      <c r="L52">
        <v>48.86</v>
      </c>
      <c r="M52">
        <v>1.38</v>
      </c>
      <c r="N52" t="s">
        <v>7</v>
      </c>
      <c r="O52">
        <v>9999.5</v>
      </c>
      <c r="P52">
        <v>148.62</v>
      </c>
      <c r="Q52" t="s">
        <v>3</v>
      </c>
      <c r="R52">
        <v>10800</v>
      </c>
      <c r="S52">
        <v>-247.4</v>
      </c>
      <c r="T52">
        <v>32.22</v>
      </c>
      <c r="U52" t="s">
        <v>4</v>
      </c>
      <c r="V52">
        <v>-346.38</v>
      </c>
      <c r="W52">
        <v>35.61</v>
      </c>
      <c r="X52" t="s">
        <v>4</v>
      </c>
      <c r="Y52">
        <v>-680.52</v>
      </c>
      <c r="Z52">
        <v>33.340000000000003</v>
      </c>
      <c r="AA52" t="s">
        <v>5</v>
      </c>
      <c r="AB52">
        <v>-857.58</v>
      </c>
      <c r="AC52">
        <v>37.54</v>
      </c>
      <c r="AD52" t="s">
        <v>4</v>
      </c>
      <c r="AE52">
        <v>1200.06</v>
      </c>
      <c r="AF52">
        <v>21.59</v>
      </c>
      <c r="AG52" t="s">
        <v>6</v>
      </c>
      <c r="AH52">
        <v>2200</v>
      </c>
      <c r="AI52">
        <v>6.99</v>
      </c>
      <c r="AJ52">
        <v>0.16</v>
      </c>
      <c r="AK52" t="s">
        <v>6</v>
      </c>
      <c r="AL52" s="1">
        <v>45321</v>
      </c>
      <c r="AM52" t="s">
        <v>13</v>
      </c>
      <c r="AN52">
        <f>Table1[[#This Row],[S51 mean]]+Table1[[#This Row],[S52 mean]]</f>
        <v>1207.05</v>
      </c>
      <c r="AO52">
        <f>AE52+AI52-AH52</f>
        <v>-992.95</v>
      </c>
      <c r="AP52">
        <f>Table1[[#This Row],[P53 mean]]-Table1[[#This Row],[P54 mean]]</f>
        <v>177.06000000000006</v>
      </c>
      <c r="AQ52">
        <f>Table1[[#This Row],[P54 tol]]+Table1[[#This Row],[P53 tol]]</f>
        <v>70.88</v>
      </c>
      <c r="AR52">
        <f>Table1[[#This Row],[P51 mean]]-Table1[[#This Row],[P52 mean]]</f>
        <v>98.97999999999999</v>
      </c>
      <c r="AS52">
        <f>Table1[[#This Row],[P51 tol]]+Table1[[#This Row],[P52 tol]]</f>
        <v>67.83</v>
      </c>
      <c r="AT52">
        <f>Table1[[#This Row],[P53 mean]]-Table1[[#This Row],[P54 mean]]</f>
        <v>177.06000000000006</v>
      </c>
      <c r="AU52">
        <f>Table1[[#This Row],[P54 tol]]+Table1[[#This Row],[P53 tol]]</f>
        <v>70.88</v>
      </c>
      <c r="AV52" s="5">
        <f>Table1[[#This Row],[P54 mean]]-Table1[[#This Row],[P51 mean]]</f>
        <v>-610.18000000000006</v>
      </c>
      <c r="AW52" s="5">
        <f>Table1[[#This Row],[P51 tol]]+Table1[[#This Row],[P54 tol]]</f>
        <v>69.759999999999991</v>
      </c>
    </row>
    <row r="53" spans="1:49" x14ac:dyDescent="0.3">
      <c r="A53" t="s">
        <v>8</v>
      </c>
      <c r="B53">
        <v>107.88</v>
      </c>
      <c r="C53">
        <v>26.53</v>
      </c>
      <c r="D53" t="s">
        <v>4</v>
      </c>
      <c r="E53">
        <v>1883.93</v>
      </c>
      <c r="F53">
        <v>403.87</v>
      </c>
      <c r="G53" t="s">
        <v>3</v>
      </c>
      <c r="H53">
        <v>2000</v>
      </c>
      <c r="I53">
        <v>81.53</v>
      </c>
      <c r="J53">
        <v>13.51</v>
      </c>
      <c r="K53" t="s">
        <v>7</v>
      </c>
      <c r="L53">
        <v>50.25</v>
      </c>
      <c r="M53">
        <v>11.62</v>
      </c>
      <c r="N53" t="s">
        <v>7</v>
      </c>
      <c r="O53">
        <v>8499.42</v>
      </c>
      <c r="P53">
        <v>165.43</v>
      </c>
      <c r="Q53" t="s">
        <v>3</v>
      </c>
      <c r="R53">
        <v>8500</v>
      </c>
      <c r="S53">
        <v>-77.69</v>
      </c>
      <c r="T53">
        <v>145.99</v>
      </c>
      <c r="U53" t="s">
        <v>4</v>
      </c>
      <c r="V53">
        <v>-284.02999999999997</v>
      </c>
      <c r="W53">
        <v>25.65</v>
      </c>
      <c r="X53" t="s">
        <v>4</v>
      </c>
      <c r="Y53">
        <v>-645.95000000000005</v>
      </c>
      <c r="Z53">
        <v>43.38</v>
      </c>
      <c r="AA53" t="s">
        <v>5</v>
      </c>
      <c r="AB53">
        <v>-780.43</v>
      </c>
      <c r="AC53">
        <v>48.03</v>
      </c>
      <c r="AD53" t="s">
        <v>4</v>
      </c>
      <c r="AE53">
        <v>110.19</v>
      </c>
      <c r="AF53">
        <v>421.93</v>
      </c>
      <c r="AG53" t="s">
        <v>6</v>
      </c>
      <c r="AH53">
        <v>2000</v>
      </c>
      <c r="AI53">
        <v>1700.28</v>
      </c>
      <c r="AJ53">
        <v>427.84</v>
      </c>
      <c r="AK53" t="s">
        <v>6</v>
      </c>
      <c r="AL53" s="1">
        <v>45321</v>
      </c>
      <c r="AM53" t="s">
        <v>9</v>
      </c>
      <c r="AN53">
        <f>Table1[[#This Row],[S51 mean]]+Table1[[#This Row],[S52 mean]]</f>
        <v>1810.47</v>
      </c>
      <c r="AO53">
        <f>AE53+AI53-AH53</f>
        <v>-189.52999999999997</v>
      </c>
      <c r="AP53">
        <f>Table1[[#This Row],[P53 mean]]-Table1[[#This Row],[P54 mean]]</f>
        <v>134.4799999999999</v>
      </c>
      <c r="AQ53">
        <f>Table1[[#This Row],[P54 tol]]+Table1[[#This Row],[P53 tol]]</f>
        <v>91.41</v>
      </c>
      <c r="AR53">
        <f>Table1[[#This Row],[P51 mean]]-Table1[[#This Row],[P52 mean]]</f>
        <v>206.33999999999997</v>
      </c>
      <c r="AS53">
        <f>Table1[[#This Row],[P51 tol]]+Table1[[#This Row],[P52 tol]]</f>
        <v>171.64000000000001</v>
      </c>
      <c r="AT53">
        <f>Table1[[#This Row],[P53 mean]]-Table1[[#This Row],[P54 mean]]</f>
        <v>134.4799999999999</v>
      </c>
      <c r="AU53">
        <f>Table1[[#This Row],[P54 tol]]+Table1[[#This Row],[P53 tol]]</f>
        <v>91.41</v>
      </c>
      <c r="AV53" s="5">
        <f>Table1[[#This Row],[P54 mean]]-Table1[[#This Row],[P51 mean]]</f>
        <v>-702.74</v>
      </c>
      <c r="AW53" s="5">
        <f>Table1[[#This Row],[P51 tol]]+Table1[[#This Row],[P54 tol]]</f>
        <v>194.02</v>
      </c>
    </row>
    <row r="54" spans="1:49" x14ac:dyDescent="0.3">
      <c r="A54" t="s">
        <v>8</v>
      </c>
      <c r="B54">
        <v>166.06</v>
      </c>
      <c r="C54">
        <v>22.23</v>
      </c>
      <c r="D54" t="s">
        <v>4</v>
      </c>
      <c r="E54">
        <v>2000.04</v>
      </c>
      <c r="F54">
        <v>151.13999999999999</v>
      </c>
      <c r="G54" t="s">
        <v>3</v>
      </c>
      <c r="H54">
        <v>2000</v>
      </c>
      <c r="I54">
        <v>45.13</v>
      </c>
      <c r="J54">
        <v>2.96</v>
      </c>
      <c r="K54" t="s">
        <v>7</v>
      </c>
      <c r="L54">
        <v>52.8</v>
      </c>
      <c r="M54">
        <v>13.09</v>
      </c>
      <c r="N54" t="s">
        <v>7</v>
      </c>
      <c r="O54">
        <v>8499.4699999999993</v>
      </c>
      <c r="P54">
        <v>172.64</v>
      </c>
      <c r="Q54" t="s">
        <v>3</v>
      </c>
      <c r="R54">
        <v>8500</v>
      </c>
      <c r="S54">
        <v>-116.6</v>
      </c>
      <c r="T54">
        <v>155.18</v>
      </c>
      <c r="U54" t="s">
        <v>4</v>
      </c>
      <c r="V54">
        <v>-350.41</v>
      </c>
      <c r="W54">
        <v>69.05</v>
      </c>
      <c r="X54" t="s">
        <v>4</v>
      </c>
      <c r="Y54">
        <v>-720.25</v>
      </c>
      <c r="Z54">
        <v>99.89</v>
      </c>
      <c r="AA54" t="s">
        <v>5</v>
      </c>
      <c r="AB54">
        <v>-854.48</v>
      </c>
      <c r="AC54">
        <v>98.74</v>
      </c>
      <c r="AD54" t="s">
        <v>4</v>
      </c>
      <c r="AE54">
        <v>8.7899999999999991</v>
      </c>
      <c r="AF54">
        <v>0.14000000000000001</v>
      </c>
      <c r="AG54" t="s">
        <v>6</v>
      </c>
      <c r="AH54">
        <v>2000</v>
      </c>
      <c r="AI54">
        <v>1755.46</v>
      </c>
      <c r="AJ54">
        <v>285.62</v>
      </c>
      <c r="AK54" t="s">
        <v>6</v>
      </c>
      <c r="AL54" s="1">
        <v>45320</v>
      </c>
      <c r="AM54" t="s">
        <v>9</v>
      </c>
      <c r="AN54">
        <f>Table1[[#This Row],[S51 mean]]+Table1[[#This Row],[S52 mean]]</f>
        <v>1764.25</v>
      </c>
      <c r="AO54">
        <f>AE54+AI54-AH54</f>
        <v>-235.75</v>
      </c>
      <c r="AP54">
        <f>Table1[[#This Row],[P53 mean]]-Table1[[#This Row],[P54 mean]]</f>
        <v>134.23000000000002</v>
      </c>
      <c r="AQ54">
        <f>Table1[[#This Row],[P54 tol]]+Table1[[#This Row],[P53 tol]]</f>
        <v>198.63</v>
      </c>
      <c r="AR54">
        <f>Table1[[#This Row],[P51 mean]]-Table1[[#This Row],[P52 mean]]</f>
        <v>233.81000000000003</v>
      </c>
      <c r="AS54">
        <f>Table1[[#This Row],[P51 tol]]+Table1[[#This Row],[P52 tol]]</f>
        <v>224.23000000000002</v>
      </c>
      <c r="AT54">
        <f>Table1[[#This Row],[P53 mean]]-Table1[[#This Row],[P54 mean]]</f>
        <v>134.23000000000002</v>
      </c>
      <c r="AU54">
        <f>Table1[[#This Row],[P54 tol]]+Table1[[#This Row],[P53 tol]]</f>
        <v>198.63</v>
      </c>
      <c r="AV54" s="5">
        <f>Table1[[#This Row],[P54 mean]]-Table1[[#This Row],[P51 mean]]</f>
        <v>-737.88</v>
      </c>
      <c r="AW54" s="5">
        <f>Table1[[#This Row],[P51 tol]]+Table1[[#This Row],[P54 tol]]</f>
        <v>253.92000000000002</v>
      </c>
    </row>
    <row r="55" spans="1:49" x14ac:dyDescent="0.3">
      <c r="A55" t="s">
        <v>10</v>
      </c>
      <c r="B55">
        <v>158.09</v>
      </c>
      <c r="C55">
        <v>11.28</v>
      </c>
      <c r="D55" t="s">
        <v>4</v>
      </c>
      <c r="E55">
        <v>2001.48</v>
      </c>
      <c r="F55">
        <v>201.41</v>
      </c>
      <c r="G55" t="s">
        <v>3</v>
      </c>
      <c r="H55">
        <v>2000</v>
      </c>
      <c r="I55">
        <v>46.7</v>
      </c>
      <c r="J55">
        <v>2.2799999999999998</v>
      </c>
      <c r="K55" t="s">
        <v>7</v>
      </c>
      <c r="L55">
        <v>57.55</v>
      </c>
      <c r="M55">
        <v>2.78</v>
      </c>
      <c r="N55" t="s">
        <v>7</v>
      </c>
      <c r="O55">
        <v>10796.84</v>
      </c>
      <c r="P55">
        <v>145.97</v>
      </c>
      <c r="Q55" t="s">
        <v>3</v>
      </c>
      <c r="R55">
        <v>10800</v>
      </c>
      <c r="S55">
        <v>-169.72</v>
      </c>
      <c r="T55">
        <v>48.27</v>
      </c>
      <c r="U55" t="s">
        <v>4</v>
      </c>
      <c r="V55">
        <v>-301.89999999999998</v>
      </c>
      <c r="W55">
        <v>28.05</v>
      </c>
      <c r="X55" t="s">
        <v>4</v>
      </c>
      <c r="Y55">
        <v>-674.15</v>
      </c>
      <c r="Z55">
        <v>25.04</v>
      </c>
      <c r="AA55" t="s">
        <v>5</v>
      </c>
      <c r="AB55">
        <v>-885.49</v>
      </c>
      <c r="AC55">
        <v>25.63</v>
      </c>
      <c r="AD55" t="s">
        <v>4</v>
      </c>
      <c r="AE55">
        <v>1153.1099999999999</v>
      </c>
      <c r="AF55">
        <v>69.84</v>
      </c>
      <c r="AG55" t="s">
        <v>6</v>
      </c>
      <c r="AH55">
        <v>2100</v>
      </c>
      <c r="AI55">
        <v>6.62</v>
      </c>
      <c r="AJ55">
        <v>0.09</v>
      </c>
      <c r="AK55" t="s">
        <v>6</v>
      </c>
      <c r="AL55" s="1">
        <v>45320</v>
      </c>
      <c r="AM55" t="s">
        <v>11</v>
      </c>
      <c r="AN55">
        <f>Table1[[#This Row],[S51 mean]]+Table1[[#This Row],[S52 mean]]</f>
        <v>1159.7299999999998</v>
      </c>
      <c r="AO55">
        <f>AE55+AI55-AH55</f>
        <v>-940.27000000000021</v>
      </c>
      <c r="AP55">
        <f>Table1[[#This Row],[P53 mean]]-Table1[[#This Row],[P54 mean]]</f>
        <v>211.34000000000003</v>
      </c>
      <c r="AQ55">
        <f>Table1[[#This Row],[P54 tol]]+Table1[[#This Row],[P53 tol]]</f>
        <v>50.67</v>
      </c>
      <c r="AR55">
        <f>Table1[[#This Row],[P51 mean]]-Table1[[#This Row],[P52 mean]]</f>
        <v>132.17999999999998</v>
      </c>
      <c r="AS55">
        <f>Table1[[#This Row],[P51 tol]]+Table1[[#This Row],[P52 tol]]</f>
        <v>76.320000000000007</v>
      </c>
      <c r="AT55">
        <f>Table1[[#This Row],[P53 mean]]-Table1[[#This Row],[P54 mean]]</f>
        <v>211.34000000000003</v>
      </c>
      <c r="AU55">
        <f>Table1[[#This Row],[P54 tol]]+Table1[[#This Row],[P53 tol]]</f>
        <v>50.67</v>
      </c>
      <c r="AV55" s="5">
        <f>Table1[[#This Row],[P54 mean]]-Table1[[#This Row],[P51 mean]]</f>
        <v>-715.77</v>
      </c>
      <c r="AW55" s="5">
        <f>Table1[[#This Row],[P51 tol]]+Table1[[#This Row],[P54 tol]]</f>
        <v>73.900000000000006</v>
      </c>
    </row>
    <row r="56" spans="1:49" x14ac:dyDescent="0.3">
      <c r="A56" t="s">
        <v>8</v>
      </c>
      <c r="B56">
        <v>164.81</v>
      </c>
      <c r="C56">
        <v>15.32</v>
      </c>
      <c r="D56" t="s">
        <v>4</v>
      </c>
      <c r="E56">
        <v>1999.03</v>
      </c>
      <c r="F56">
        <v>202.5</v>
      </c>
      <c r="G56" t="s">
        <v>3</v>
      </c>
      <c r="H56">
        <v>2000</v>
      </c>
      <c r="I56">
        <v>46.15</v>
      </c>
      <c r="J56">
        <v>2.67</v>
      </c>
      <c r="K56" t="s">
        <v>7</v>
      </c>
      <c r="L56">
        <v>55.44</v>
      </c>
      <c r="M56">
        <v>3.33</v>
      </c>
      <c r="N56" t="s">
        <v>7</v>
      </c>
      <c r="O56">
        <v>8498.98</v>
      </c>
      <c r="P56">
        <v>174.53</v>
      </c>
      <c r="Q56" t="s">
        <v>3</v>
      </c>
      <c r="R56">
        <v>8500</v>
      </c>
      <c r="S56">
        <v>-100.32</v>
      </c>
      <c r="T56">
        <v>40.130000000000003</v>
      </c>
      <c r="U56" t="s">
        <v>4</v>
      </c>
      <c r="V56">
        <v>-366.01</v>
      </c>
      <c r="W56">
        <v>38.93</v>
      </c>
      <c r="X56" t="s">
        <v>4</v>
      </c>
      <c r="Y56">
        <v>-752.37</v>
      </c>
      <c r="Z56">
        <v>27.83</v>
      </c>
      <c r="AA56" t="s">
        <v>5</v>
      </c>
      <c r="AB56">
        <v>-886.62</v>
      </c>
      <c r="AC56">
        <v>30.35</v>
      </c>
      <c r="AD56" t="s">
        <v>4</v>
      </c>
      <c r="AE56">
        <v>1800.79</v>
      </c>
      <c r="AF56">
        <v>24.66</v>
      </c>
      <c r="AG56" t="s">
        <v>6</v>
      </c>
      <c r="AH56">
        <v>2000</v>
      </c>
      <c r="AI56">
        <v>6.62</v>
      </c>
      <c r="AJ56">
        <v>0.12</v>
      </c>
      <c r="AK56" t="s">
        <v>6</v>
      </c>
      <c r="AL56" s="1">
        <v>45320</v>
      </c>
      <c r="AM56" t="s">
        <v>9</v>
      </c>
      <c r="AN56">
        <f>Table1[[#This Row],[S51 mean]]+Table1[[#This Row],[S52 mean]]</f>
        <v>1807.4099999999999</v>
      </c>
      <c r="AO56">
        <f>AE56+AI56-AH56</f>
        <v>-192.59000000000015</v>
      </c>
      <c r="AP56">
        <f>Table1[[#This Row],[P53 mean]]-Table1[[#This Row],[P54 mean]]</f>
        <v>134.25</v>
      </c>
      <c r="AQ56">
        <f>Table1[[#This Row],[P54 tol]]+Table1[[#This Row],[P53 tol]]</f>
        <v>58.18</v>
      </c>
      <c r="AR56">
        <f>Table1[[#This Row],[P51 mean]]-Table1[[#This Row],[P52 mean]]</f>
        <v>265.69</v>
      </c>
      <c r="AS56">
        <f>Table1[[#This Row],[P51 tol]]+Table1[[#This Row],[P52 tol]]</f>
        <v>79.06</v>
      </c>
      <c r="AT56">
        <f>Table1[[#This Row],[P53 mean]]-Table1[[#This Row],[P54 mean]]</f>
        <v>134.25</v>
      </c>
      <c r="AU56">
        <f>Table1[[#This Row],[P54 tol]]+Table1[[#This Row],[P53 tol]]</f>
        <v>58.18</v>
      </c>
      <c r="AV56" s="5">
        <f>Table1[[#This Row],[P54 mean]]-Table1[[#This Row],[P51 mean]]</f>
        <v>-786.3</v>
      </c>
      <c r="AW56" s="5">
        <f>Table1[[#This Row],[P51 tol]]+Table1[[#This Row],[P54 tol]]</f>
        <v>70.48</v>
      </c>
    </row>
    <row r="57" spans="1:49" x14ac:dyDescent="0.3">
      <c r="A57" t="s">
        <v>16</v>
      </c>
      <c r="B57">
        <v>149.88</v>
      </c>
      <c r="C57">
        <v>17.260000000000002</v>
      </c>
      <c r="D57" t="s">
        <v>4</v>
      </c>
      <c r="E57">
        <v>2000.52</v>
      </c>
      <c r="F57">
        <v>107.21</v>
      </c>
      <c r="G57" t="s">
        <v>3</v>
      </c>
      <c r="H57">
        <v>2000</v>
      </c>
      <c r="I57">
        <v>56.46</v>
      </c>
      <c r="J57">
        <v>7.28</v>
      </c>
      <c r="K57" t="s">
        <v>7</v>
      </c>
      <c r="L57">
        <v>40.47</v>
      </c>
      <c r="M57">
        <v>5.26</v>
      </c>
      <c r="N57" t="s">
        <v>7</v>
      </c>
      <c r="O57">
        <v>5998.88</v>
      </c>
      <c r="P57">
        <v>136.11000000000001</v>
      </c>
      <c r="Q57" t="s">
        <v>3</v>
      </c>
      <c r="R57">
        <v>6000</v>
      </c>
      <c r="S57">
        <v>-321.76</v>
      </c>
      <c r="T57">
        <v>58.28</v>
      </c>
      <c r="U57" t="s">
        <v>4</v>
      </c>
      <c r="V57">
        <v>-548.66999999999996</v>
      </c>
      <c r="W57">
        <v>46.98</v>
      </c>
      <c r="X57" t="s">
        <v>4</v>
      </c>
      <c r="Y57">
        <v>-975.47</v>
      </c>
      <c r="Z57">
        <v>55.73</v>
      </c>
      <c r="AA57" t="s">
        <v>5</v>
      </c>
      <c r="AB57">
        <v>-1038.22</v>
      </c>
      <c r="AC57">
        <v>58.95</v>
      </c>
      <c r="AD57" t="s">
        <v>4</v>
      </c>
      <c r="AE57">
        <v>8.84</v>
      </c>
      <c r="AF57">
        <v>0.14000000000000001</v>
      </c>
      <c r="AG57" t="s">
        <v>6</v>
      </c>
      <c r="AH57">
        <v>1050</v>
      </c>
      <c r="AI57">
        <v>1049.82</v>
      </c>
      <c r="AJ57">
        <v>52.17</v>
      </c>
      <c r="AK57" t="s">
        <v>6</v>
      </c>
      <c r="AL57" s="1">
        <v>45319</v>
      </c>
      <c r="AM57" t="s">
        <v>17</v>
      </c>
      <c r="AN57">
        <f>Table1[[#This Row],[S51 mean]]+Table1[[#This Row],[S52 mean]]</f>
        <v>1058.6599999999999</v>
      </c>
      <c r="AO57">
        <f>AE57+AI57-AH57</f>
        <v>8.6599999999998545</v>
      </c>
      <c r="AP57">
        <f>Table1[[#This Row],[P53 mean]]-Table1[[#This Row],[P54 mean]]</f>
        <v>62.75</v>
      </c>
      <c r="AQ57">
        <f>Table1[[#This Row],[P54 tol]]+Table1[[#This Row],[P53 tol]]</f>
        <v>114.68</v>
      </c>
      <c r="AR57">
        <f>Table1[[#This Row],[P51 mean]]-Table1[[#This Row],[P52 mean]]</f>
        <v>226.90999999999997</v>
      </c>
      <c r="AS57">
        <f>Table1[[#This Row],[P51 tol]]+Table1[[#This Row],[P52 tol]]</f>
        <v>105.25999999999999</v>
      </c>
      <c r="AT57">
        <f>Table1[[#This Row],[P53 mean]]-Table1[[#This Row],[P54 mean]]</f>
        <v>62.75</v>
      </c>
      <c r="AU57">
        <f>Table1[[#This Row],[P54 tol]]+Table1[[#This Row],[P53 tol]]</f>
        <v>114.68</v>
      </c>
      <c r="AV57" s="5">
        <f>Table1[[#This Row],[P54 mean]]-Table1[[#This Row],[P51 mean]]</f>
        <v>-716.46</v>
      </c>
      <c r="AW57" s="5">
        <f>Table1[[#This Row],[P51 tol]]+Table1[[#This Row],[P54 tol]]</f>
        <v>117.23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086F-4DFD-4A24-87E9-B70B7B750FCB}">
  <dimension ref="B3:AQ46"/>
  <sheetViews>
    <sheetView topLeftCell="AH1" workbookViewId="0">
      <selection activeCell="AQ5" sqref="AQ5"/>
    </sheetView>
  </sheetViews>
  <sheetFormatPr defaultRowHeight="14.4" x14ac:dyDescent="0.3"/>
  <cols>
    <col min="2" max="2" width="12.77734375" bestFit="1" customWidth="1"/>
    <col min="3" max="3" width="20.109375" bestFit="1" customWidth="1"/>
    <col min="4" max="4" width="17.6640625" bestFit="1" customWidth="1"/>
    <col min="5" max="5" width="19" bestFit="1" customWidth="1"/>
    <col min="6" max="6" width="12.77734375" bestFit="1" customWidth="1"/>
    <col min="7" max="7" width="15.88671875" bestFit="1" customWidth="1"/>
    <col min="8" max="8" width="13.33203125" bestFit="1" customWidth="1"/>
    <col min="10" max="10" width="12.77734375" bestFit="1" customWidth="1"/>
    <col min="11" max="11" width="22.77734375" bestFit="1" customWidth="1"/>
    <col min="12" max="12" width="20.109375" bestFit="1" customWidth="1"/>
    <col min="14" max="14" width="12.77734375" bestFit="1" customWidth="1"/>
    <col min="15" max="15" width="19.109375" bestFit="1" customWidth="1"/>
    <col min="16" max="16" width="16.5546875" bestFit="1" customWidth="1"/>
    <col min="18" max="18" width="12.77734375" bestFit="1" customWidth="1"/>
    <col min="19" max="19" width="19.109375" bestFit="1" customWidth="1"/>
    <col min="20" max="20" width="16.5546875" bestFit="1" customWidth="1"/>
    <col min="22" max="22" width="12.77734375" bestFit="1" customWidth="1"/>
    <col min="23" max="23" width="22.77734375" bestFit="1" customWidth="1"/>
    <col min="24" max="24" width="20.109375" bestFit="1" customWidth="1"/>
    <col min="26" max="26" width="12.77734375" bestFit="1" customWidth="1"/>
    <col min="27" max="27" width="17.109375" bestFit="1" customWidth="1"/>
    <col min="28" max="28" width="19.88671875" bestFit="1" customWidth="1"/>
    <col min="30" max="30" width="12.77734375" bestFit="1" customWidth="1"/>
    <col min="31" max="31" width="18.21875" bestFit="1" customWidth="1"/>
    <col min="32" max="32" width="21.109375" bestFit="1" customWidth="1"/>
    <col min="34" max="34" width="12.77734375" bestFit="1" customWidth="1"/>
    <col min="35" max="35" width="20.44140625" bestFit="1" customWidth="1"/>
    <col min="36" max="36" width="22.21875" bestFit="1" customWidth="1"/>
    <col min="38" max="38" width="12.77734375" bestFit="1" customWidth="1"/>
    <col min="39" max="39" width="16.5546875" bestFit="1" customWidth="1"/>
    <col min="40" max="40" width="19.44140625" bestFit="1" customWidth="1"/>
    <col min="42" max="42" width="12.77734375" bestFit="1" customWidth="1"/>
    <col min="43" max="43" width="28.5546875" bestFit="1" customWidth="1"/>
    <col min="44" max="44" width="25.21875" bestFit="1" customWidth="1"/>
  </cols>
  <sheetData>
    <row r="3" spans="2:43" x14ac:dyDescent="0.3">
      <c r="B3" s="2" t="s">
        <v>1</v>
      </c>
      <c r="C3" t="s">
        <v>72</v>
      </c>
      <c r="F3" s="2" t="s">
        <v>1</v>
      </c>
      <c r="G3" t="s">
        <v>72</v>
      </c>
      <c r="J3" s="2" t="s">
        <v>1</v>
      </c>
      <c r="K3" t="s">
        <v>72</v>
      </c>
      <c r="N3" s="2" t="s">
        <v>1</v>
      </c>
      <c r="O3" t="s">
        <v>72</v>
      </c>
      <c r="R3" s="2" t="s">
        <v>1</v>
      </c>
      <c r="S3" t="s">
        <v>72</v>
      </c>
      <c r="V3" s="2" t="s">
        <v>1</v>
      </c>
      <c r="W3" t="s">
        <v>72</v>
      </c>
      <c r="Z3" s="2" t="s">
        <v>1</v>
      </c>
      <c r="AA3" t="s">
        <v>72</v>
      </c>
      <c r="AD3" s="2" t="s">
        <v>1</v>
      </c>
      <c r="AE3" t="s">
        <v>72</v>
      </c>
      <c r="AH3" s="2" t="s">
        <v>1</v>
      </c>
      <c r="AI3" t="s">
        <v>72</v>
      </c>
      <c r="AL3" s="2" t="s">
        <v>1</v>
      </c>
      <c r="AM3" t="s">
        <v>72</v>
      </c>
      <c r="AP3" s="2" t="s">
        <v>1</v>
      </c>
      <c r="AQ3" t="s">
        <v>72</v>
      </c>
    </row>
    <row r="5" spans="2:43" x14ac:dyDescent="0.3">
      <c r="B5" s="2" t="s">
        <v>63</v>
      </c>
      <c r="C5" t="s">
        <v>65</v>
      </c>
      <c r="D5" t="s">
        <v>69</v>
      </c>
      <c r="F5" s="2" t="s">
        <v>63</v>
      </c>
      <c r="G5" t="s">
        <v>66</v>
      </c>
      <c r="H5" t="s">
        <v>70</v>
      </c>
      <c r="J5" s="2" t="s">
        <v>63</v>
      </c>
      <c r="K5" t="s">
        <v>73</v>
      </c>
      <c r="L5" t="s">
        <v>74</v>
      </c>
      <c r="N5" s="2" t="s">
        <v>63</v>
      </c>
      <c r="O5" t="s">
        <v>75</v>
      </c>
      <c r="P5" t="s">
        <v>76</v>
      </c>
      <c r="R5" s="2" t="s">
        <v>63</v>
      </c>
      <c r="S5" t="s">
        <v>77</v>
      </c>
      <c r="T5" t="s">
        <v>78</v>
      </c>
      <c r="V5" s="2" t="s">
        <v>63</v>
      </c>
      <c r="W5" t="s">
        <v>79</v>
      </c>
      <c r="X5" t="s">
        <v>80</v>
      </c>
      <c r="Z5" s="2" t="s">
        <v>63</v>
      </c>
      <c r="AA5" t="s">
        <v>87</v>
      </c>
      <c r="AB5" t="s">
        <v>88</v>
      </c>
      <c r="AD5" s="2" t="s">
        <v>63</v>
      </c>
      <c r="AE5" t="s">
        <v>89</v>
      </c>
      <c r="AF5" t="s">
        <v>90</v>
      </c>
      <c r="AH5" s="2" t="s">
        <v>63</v>
      </c>
      <c r="AI5" t="s">
        <v>91</v>
      </c>
      <c r="AJ5" t="s">
        <v>92</v>
      </c>
      <c r="AL5" s="2" t="s">
        <v>63</v>
      </c>
      <c r="AM5" t="s">
        <v>95</v>
      </c>
      <c r="AN5" t="s">
        <v>96</v>
      </c>
      <c r="AP5" s="2" t="s">
        <v>63</v>
      </c>
      <c r="AQ5" t="s">
        <v>97</v>
      </c>
    </row>
    <row r="6" spans="2:43" x14ac:dyDescent="0.3">
      <c r="B6" s="4">
        <v>45319</v>
      </c>
      <c r="C6" s="5">
        <v>149.88</v>
      </c>
      <c r="D6" s="5">
        <v>17.260000000000002</v>
      </c>
      <c r="F6" s="4">
        <v>45319</v>
      </c>
      <c r="G6" s="5">
        <v>-321.76</v>
      </c>
      <c r="H6" s="5">
        <v>58.28</v>
      </c>
      <c r="J6" s="4">
        <v>45319</v>
      </c>
      <c r="K6" s="5">
        <v>56.46</v>
      </c>
      <c r="L6" s="5">
        <v>7.28</v>
      </c>
      <c r="N6" s="4">
        <v>45319</v>
      </c>
      <c r="O6" s="5">
        <v>2000.52</v>
      </c>
      <c r="P6" s="5">
        <v>107.21</v>
      </c>
      <c r="R6" s="4">
        <v>45319</v>
      </c>
      <c r="S6" s="5">
        <v>5998.88</v>
      </c>
      <c r="T6" s="5">
        <v>136.11000000000001</v>
      </c>
      <c r="V6" s="4">
        <v>45319</v>
      </c>
      <c r="W6" s="5">
        <v>40.47</v>
      </c>
      <c r="X6" s="5">
        <v>5.26</v>
      </c>
      <c r="Z6" s="4">
        <v>45319</v>
      </c>
      <c r="AA6" s="5">
        <v>226.90999999999997</v>
      </c>
      <c r="AB6" s="5">
        <v>105.25999999999999</v>
      </c>
      <c r="AD6" s="4">
        <v>45319</v>
      </c>
      <c r="AE6" s="5">
        <v>62.75</v>
      </c>
      <c r="AF6" s="5">
        <v>114.68</v>
      </c>
      <c r="AH6" s="4">
        <v>45319</v>
      </c>
      <c r="AI6" s="5">
        <v>62.75</v>
      </c>
      <c r="AJ6" s="5">
        <v>114.68</v>
      </c>
      <c r="AL6" s="4">
        <v>45319</v>
      </c>
      <c r="AM6" s="5">
        <v>-716.46</v>
      </c>
      <c r="AN6" s="5">
        <v>117.23</v>
      </c>
      <c r="AP6" s="4">
        <v>45319</v>
      </c>
      <c r="AQ6" s="5">
        <v>8.6599999999998545</v>
      </c>
    </row>
    <row r="7" spans="2:43" x14ac:dyDescent="0.3">
      <c r="B7" s="4">
        <v>45320</v>
      </c>
      <c r="C7" s="5">
        <v>162.98666666666665</v>
      </c>
      <c r="D7" s="5">
        <v>16.276666666666667</v>
      </c>
      <c r="F7" s="4">
        <v>45320</v>
      </c>
      <c r="G7" s="5">
        <v>-386.64</v>
      </c>
      <c r="H7" s="5">
        <v>243.58</v>
      </c>
      <c r="J7" s="4">
        <v>45320</v>
      </c>
      <c r="K7" s="5">
        <v>45.993333333333339</v>
      </c>
      <c r="L7" s="5">
        <v>2.6366666666666667</v>
      </c>
      <c r="N7" s="4">
        <v>45320</v>
      </c>
      <c r="O7" s="5">
        <v>2000.1833333333334</v>
      </c>
      <c r="P7" s="5">
        <v>185.01666666666665</v>
      </c>
      <c r="R7" s="4">
        <v>45320</v>
      </c>
      <c r="S7" s="5">
        <v>9265.0966666666664</v>
      </c>
      <c r="T7" s="5">
        <v>164.38</v>
      </c>
      <c r="V7" s="4">
        <v>45320</v>
      </c>
      <c r="W7" s="5">
        <v>55.263333333333328</v>
      </c>
      <c r="X7" s="5">
        <v>6.3999999999999995</v>
      </c>
      <c r="Z7" s="4">
        <v>45320</v>
      </c>
      <c r="AA7" s="5">
        <v>210.56000000000003</v>
      </c>
      <c r="AB7" s="5">
        <v>126.53666666666668</v>
      </c>
      <c r="AD7" s="4">
        <v>45320</v>
      </c>
      <c r="AE7" s="5">
        <v>479.82000000000005</v>
      </c>
      <c r="AF7" s="5">
        <v>307.48</v>
      </c>
      <c r="AH7" s="4">
        <v>45320</v>
      </c>
      <c r="AI7" s="5">
        <v>159.94000000000003</v>
      </c>
      <c r="AJ7" s="5">
        <v>102.49333333333334</v>
      </c>
      <c r="AL7" s="4">
        <v>45320</v>
      </c>
      <c r="AM7" s="5">
        <v>-746.65</v>
      </c>
      <c r="AN7" s="5">
        <v>132.76666666666668</v>
      </c>
      <c r="AP7" s="4">
        <v>45320</v>
      </c>
      <c r="AQ7" s="5">
        <v>-456.20333333333343</v>
      </c>
    </row>
    <row r="8" spans="2:43" x14ac:dyDescent="0.3">
      <c r="B8" s="4">
        <v>45321</v>
      </c>
      <c r="C8" s="5">
        <v>138.995</v>
      </c>
      <c r="D8" s="5">
        <v>21.39</v>
      </c>
      <c r="F8" s="4">
        <v>45321</v>
      </c>
      <c r="G8" s="5">
        <v>-325.09000000000003</v>
      </c>
      <c r="H8" s="5">
        <v>178.21</v>
      </c>
      <c r="J8" s="4">
        <v>45321</v>
      </c>
      <c r="K8" s="5">
        <v>63.870000000000005</v>
      </c>
      <c r="L8" s="5">
        <v>7.7299999999999995</v>
      </c>
      <c r="N8" s="4">
        <v>45321</v>
      </c>
      <c r="O8" s="5">
        <v>1941.2550000000001</v>
      </c>
      <c r="P8" s="5">
        <v>268.59000000000003</v>
      </c>
      <c r="R8" s="4">
        <v>45321</v>
      </c>
      <c r="S8" s="5">
        <v>9249.4599999999991</v>
      </c>
      <c r="T8" s="5">
        <v>157.02500000000001</v>
      </c>
      <c r="V8" s="4">
        <v>45321</v>
      </c>
      <c r="W8" s="5">
        <v>49.555</v>
      </c>
      <c r="X8" s="5">
        <v>6.5</v>
      </c>
      <c r="Z8" s="4">
        <v>45321</v>
      </c>
      <c r="AA8" s="5">
        <v>152.65999999999997</v>
      </c>
      <c r="AB8" s="5">
        <v>119.73500000000001</v>
      </c>
      <c r="AD8" s="4">
        <v>45321</v>
      </c>
      <c r="AE8" s="5">
        <v>311.53999999999996</v>
      </c>
      <c r="AF8" s="5">
        <v>162.29</v>
      </c>
      <c r="AH8" s="4">
        <v>45321</v>
      </c>
      <c r="AI8" s="5">
        <v>155.76999999999998</v>
      </c>
      <c r="AJ8" s="5">
        <v>81.144999999999996</v>
      </c>
      <c r="AL8" s="4">
        <v>45321</v>
      </c>
      <c r="AM8" s="5">
        <v>-656.46</v>
      </c>
      <c r="AN8" s="5">
        <v>131.88999999999999</v>
      </c>
      <c r="AP8" s="4">
        <v>45321</v>
      </c>
      <c r="AQ8" s="5">
        <v>-591.24</v>
      </c>
    </row>
    <row r="9" spans="2:43" x14ac:dyDescent="0.3">
      <c r="B9" s="4">
        <v>45322</v>
      </c>
      <c r="C9" s="5">
        <v>172.95499999999998</v>
      </c>
      <c r="D9" s="5">
        <v>17.884999999999998</v>
      </c>
      <c r="F9" s="4">
        <v>45322</v>
      </c>
      <c r="G9" s="5">
        <v>-289.97000000000003</v>
      </c>
      <c r="H9" s="5">
        <v>147.80000000000001</v>
      </c>
      <c r="J9" s="4">
        <v>45322</v>
      </c>
      <c r="K9" s="5">
        <v>46.094999999999999</v>
      </c>
      <c r="L9" s="5">
        <v>2.06</v>
      </c>
      <c r="N9" s="4">
        <v>45322</v>
      </c>
      <c r="O9" s="5">
        <v>2000.62</v>
      </c>
      <c r="P9" s="5">
        <v>148.45999999999998</v>
      </c>
      <c r="R9" s="4">
        <v>45322</v>
      </c>
      <c r="S9" s="5">
        <v>8499.98</v>
      </c>
      <c r="T9" s="5">
        <v>165.11</v>
      </c>
      <c r="V9" s="4">
        <v>45322</v>
      </c>
      <c r="W9" s="5">
        <v>49.204999999999998</v>
      </c>
      <c r="X9" s="5">
        <v>7.2799999999999994</v>
      </c>
      <c r="Z9" s="4">
        <v>45322</v>
      </c>
      <c r="AA9" s="5">
        <v>225.51999999999998</v>
      </c>
      <c r="AB9" s="5">
        <v>110.27499999999999</v>
      </c>
      <c r="AD9" s="4">
        <v>45322</v>
      </c>
      <c r="AE9" s="5">
        <v>265.50000000000011</v>
      </c>
      <c r="AF9" s="5">
        <v>233.15999999999997</v>
      </c>
      <c r="AH9" s="4">
        <v>45322</v>
      </c>
      <c r="AI9" s="5">
        <v>132.75000000000006</v>
      </c>
      <c r="AJ9" s="5">
        <v>116.57999999999998</v>
      </c>
      <c r="AL9" s="4">
        <v>45322</v>
      </c>
      <c r="AM9" s="5">
        <v>-714.83</v>
      </c>
      <c r="AN9" s="5">
        <v>133.08499999999998</v>
      </c>
      <c r="AP9" s="4">
        <v>45322</v>
      </c>
      <c r="AQ9" s="5">
        <v>-241.88</v>
      </c>
    </row>
    <row r="10" spans="2:43" x14ac:dyDescent="0.3">
      <c r="B10" s="4">
        <v>45323</v>
      </c>
      <c r="C10" s="5">
        <v>186.49</v>
      </c>
      <c r="D10" s="5">
        <v>20.98</v>
      </c>
      <c r="F10" s="4">
        <v>45323</v>
      </c>
      <c r="G10" s="5">
        <v>-145.84</v>
      </c>
      <c r="H10" s="5">
        <v>43.88</v>
      </c>
      <c r="J10" s="4">
        <v>45323</v>
      </c>
      <c r="K10" s="5">
        <v>44.91</v>
      </c>
      <c r="L10" s="5">
        <v>2.79</v>
      </c>
      <c r="N10" s="4">
        <v>45323</v>
      </c>
      <c r="O10" s="5">
        <v>1999.65</v>
      </c>
      <c r="P10" s="5">
        <v>136.44999999999999</v>
      </c>
      <c r="R10" s="4">
        <v>45323</v>
      </c>
      <c r="S10" s="5">
        <v>8500.93</v>
      </c>
      <c r="T10" s="5">
        <v>172.67</v>
      </c>
      <c r="V10" s="4">
        <v>45323</v>
      </c>
      <c r="W10" s="5">
        <v>46.41</v>
      </c>
      <c r="X10" s="5">
        <v>1.97</v>
      </c>
      <c r="Z10" s="4">
        <v>45323</v>
      </c>
      <c r="AA10" s="5">
        <v>193.03</v>
      </c>
      <c r="AB10" s="5">
        <v>91.47</v>
      </c>
      <c r="AD10" s="4">
        <v>45323</v>
      </c>
      <c r="AE10" s="5">
        <v>135.16000000000008</v>
      </c>
      <c r="AF10" s="5">
        <v>93.43</v>
      </c>
      <c r="AH10" s="4">
        <v>45323</v>
      </c>
      <c r="AI10" s="5">
        <v>135.16000000000008</v>
      </c>
      <c r="AJ10" s="5">
        <v>93.43</v>
      </c>
      <c r="AL10" s="4">
        <v>45323</v>
      </c>
      <c r="AM10" s="5">
        <v>-675.24</v>
      </c>
      <c r="AN10" s="5">
        <v>91.89</v>
      </c>
      <c r="AP10" s="4">
        <v>45323</v>
      </c>
      <c r="AQ10" s="5">
        <v>-191.80999999999995</v>
      </c>
    </row>
    <row r="11" spans="2:43" x14ac:dyDescent="0.3">
      <c r="B11" s="4">
        <v>45324</v>
      </c>
      <c r="C11" s="5">
        <v>179.93</v>
      </c>
      <c r="D11" s="5">
        <v>19.515000000000001</v>
      </c>
      <c r="F11" s="4">
        <v>45324</v>
      </c>
      <c r="G11" s="5">
        <v>-298.21999999999997</v>
      </c>
      <c r="H11" s="5">
        <v>82.92</v>
      </c>
      <c r="J11" s="4">
        <v>45324</v>
      </c>
      <c r="K11" s="5">
        <v>45.935000000000002</v>
      </c>
      <c r="L11" s="5">
        <v>2.35</v>
      </c>
      <c r="N11" s="4">
        <v>45324</v>
      </c>
      <c r="O11" s="5">
        <v>2000.855</v>
      </c>
      <c r="P11" s="5">
        <v>160.46</v>
      </c>
      <c r="R11" s="4">
        <v>45324</v>
      </c>
      <c r="S11" s="5">
        <v>9251.2950000000001</v>
      </c>
      <c r="T11" s="5">
        <v>161.785</v>
      </c>
      <c r="V11" s="4">
        <v>45324</v>
      </c>
      <c r="W11" s="5">
        <v>50.57</v>
      </c>
      <c r="X11" s="5">
        <v>6.09</v>
      </c>
      <c r="Z11" s="4">
        <v>45324</v>
      </c>
      <c r="AA11" s="5">
        <v>200.495</v>
      </c>
      <c r="AB11" s="5">
        <v>78.819999999999993</v>
      </c>
      <c r="AD11" s="4">
        <v>45324</v>
      </c>
      <c r="AE11" s="5">
        <v>306.41999999999996</v>
      </c>
      <c r="AF11" s="5">
        <v>245.41000000000003</v>
      </c>
      <c r="AH11" s="4">
        <v>45324</v>
      </c>
      <c r="AI11" s="5">
        <v>153.20999999999998</v>
      </c>
      <c r="AJ11" s="5">
        <v>122.70500000000001</v>
      </c>
      <c r="AL11" s="4">
        <v>45324</v>
      </c>
      <c r="AM11" s="5">
        <v>-697.47</v>
      </c>
      <c r="AN11" s="5">
        <v>104.42500000000001</v>
      </c>
      <c r="AP11" s="4">
        <v>45324</v>
      </c>
      <c r="AQ11" s="5">
        <v>-689.36500000000001</v>
      </c>
    </row>
    <row r="12" spans="2:43" x14ac:dyDescent="0.3">
      <c r="B12" s="4">
        <v>45325</v>
      </c>
      <c r="C12" s="5">
        <v>177.95666666666668</v>
      </c>
      <c r="D12" s="5">
        <v>28.069999999999997</v>
      </c>
      <c r="F12" s="4">
        <v>45325</v>
      </c>
      <c r="G12" s="5">
        <v>-780.27</v>
      </c>
      <c r="H12" s="5">
        <v>210.02</v>
      </c>
      <c r="J12" s="4">
        <v>45325</v>
      </c>
      <c r="K12" s="5">
        <v>52.006666666666661</v>
      </c>
      <c r="L12" s="5">
        <v>13.12</v>
      </c>
      <c r="N12" s="4">
        <v>45325</v>
      </c>
      <c r="O12" s="5">
        <v>1999.6133333333335</v>
      </c>
      <c r="P12" s="5">
        <v>153.99333333333334</v>
      </c>
      <c r="R12" s="4">
        <v>45325</v>
      </c>
      <c r="S12" s="5">
        <v>6833.416666666667</v>
      </c>
      <c r="T12" s="5">
        <v>154.12666666666667</v>
      </c>
      <c r="V12" s="4">
        <v>45325</v>
      </c>
      <c r="W12" s="5">
        <v>40.21</v>
      </c>
      <c r="X12" s="5">
        <v>2.7233333333333332</v>
      </c>
      <c r="Z12" s="4">
        <v>45325</v>
      </c>
      <c r="AA12" s="5">
        <v>201.00666666666666</v>
      </c>
      <c r="AB12" s="5">
        <v>155.96</v>
      </c>
      <c r="AD12" s="4">
        <v>45325</v>
      </c>
      <c r="AE12" s="5">
        <v>264.4000000000002</v>
      </c>
      <c r="AF12" s="5">
        <v>548.42999999999995</v>
      </c>
      <c r="AH12" s="4">
        <v>45325</v>
      </c>
      <c r="AI12" s="5">
        <v>88.133333333333397</v>
      </c>
      <c r="AJ12" s="5">
        <v>182.80999999999997</v>
      </c>
      <c r="AL12" s="4">
        <v>45325</v>
      </c>
      <c r="AM12" s="5">
        <v>-687.70666666666659</v>
      </c>
      <c r="AN12" s="5">
        <v>165.85333333333332</v>
      </c>
      <c r="AP12" s="4">
        <v>45325</v>
      </c>
      <c r="AQ12" s="5">
        <v>-104.86333333333339</v>
      </c>
    </row>
    <row r="13" spans="2:43" x14ac:dyDescent="0.3">
      <c r="B13" s="4">
        <v>45327</v>
      </c>
      <c r="C13" s="5">
        <v>162.54</v>
      </c>
      <c r="D13" s="5">
        <v>20.433333333333334</v>
      </c>
      <c r="F13" s="4">
        <v>45327</v>
      </c>
      <c r="G13" s="5">
        <v>-703.69</v>
      </c>
      <c r="H13" s="5">
        <v>263.68</v>
      </c>
      <c r="J13" s="4">
        <v>45327</v>
      </c>
      <c r="K13" s="5">
        <v>46.566666666666663</v>
      </c>
      <c r="L13" s="5">
        <v>5.8033333333333337</v>
      </c>
      <c r="N13" s="4">
        <v>45327</v>
      </c>
      <c r="O13" s="5">
        <v>2000.0933333333332</v>
      </c>
      <c r="P13" s="5">
        <v>351.8966666666667</v>
      </c>
      <c r="R13" s="4">
        <v>45327</v>
      </c>
      <c r="S13" s="5">
        <v>6932.9466666666667</v>
      </c>
      <c r="T13" s="5">
        <v>177.61666666666667</v>
      </c>
      <c r="V13" s="4">
        <v>45327</v>
      </c>
      <c r="W13" s="5">
        <v>36.81</v>
      </c>
      <c r="X13" s="5">
        <v>2.2933333333333334</v>
      </c>
      <c r="Z13" s="4">
        <v>45327</v>
      </c>
      <c r="AA13" s="5">
        <v>156.07333333333332</v>
      </c>
      <c r="AB13" s="5">
        <v>184.60333333333332</v>
      </c>
      <c r="AD13" s="4">
        <v>45327</v>
      </c>
      <c r="AE13" s="5">
        <v>272.98</v>
      </c>
      <c r="AF13" s="5">
        <v>520.78</v>
      </c>
      <c r="AH13" s="4">
        <v>45327</v>
      </c>
      <c r="AI13" s="5">
        <v>90.993333333333339</v>
      </c>
      <c r="AJ13" s="5">
        <v>173.59333333333333</v>
      </c>
      <c r="AL13" s="4">
        <v>45327</v>
      </c>
      <c r="AM13" s="5">
        <v>-590.58333333333337</v>
      </c>
      <c r="AN13" s="5">
        <v>182.31333333333336</v>
      </c>
      <c r="AP13" s="4">
        <v>45327</v>
      </c>
      <c r="AQ13" s="5">
        <v>-491.20333333333338</v>
      </c>
    </row>
    <row r="14" spans="2:43" x14ac:dyDescent="0.3">
      <c r="B14" s="4">
        <v>45328</v>
      </c>
      <c r="C14" s="5">
        <v>117.8</v>
      </c>
      <c r="D14" s="5">
        <v>16.53</v>
      </c>
      <c r="F14" s="4">
        <v>45328</v>
      </c>
      <c r="G14" s="5">
        <v>-174.8</v>
      </c>
      <c r="H14" s="5">
        <v>59.63</v>
      </c>
      <c r="J14" s="4">
        <v>45328</v>
      </c>
      <c r="K14" s="5">
        <v>43.48</v>
      </c>
      <c r="L14" s="5">
        <v>3.8</v>
      </c>
      <c r="N14" s="4">
        <v>45328</v>
      </c>
      <c r="O14" s="5">
        <v>2000.27</v>
      </c>
      <c r="P14" s="5">
        <v>144.51</v>
      </c>
      <c r="R14" s="4">
        <v>45328</v>
      </c>
      <c r="S14" s="5">
        <v>10799.11</v>
      </c>
      <c r="T14" s="5">
        <v>183.91</v>
      </c>
      <c r="V14" s="4">
        <v>45328</v>
      </c>
      <c r="W14" s="5">
        <v>51.28</v>
      </c>
      <c r="X14" s="5">
        <v>2.31</v>
      </c>
      <c r="Z14" s="4">
        <v>45328</v>
      </c>
      <c r="AA14" s="5">
        <v>113.32</v>
      </c>
      <c r="AB14" s="5">
        <v>127.69</v>
      </c>
      <c r="AD14" s="4">
        <v>45328</v>
      </c>
      <c r="AE14" s="5">
        <v>198.32000000000005</v>
      </c>
      <c r="AF14" s="5">
        <v>156.89999999999998</v>
      </c>
      <c r="AH14" s="4">
        <v>45328</v>
      </c>
      <c r="AI14" s="5">
        <v>198.32000000000005</v>
      </c>
      <c r="AJ14" s="5">
        <v>156.89999999999998</v>
      </c>
      <c r="AL14" s="4">
        <v>45328</v>
      </c>
      <c r="AM14" s="5">
        <v>-559.29</v>
      </c>
      <c r="AN14" s="5">
        <v>143.96</v>
      </c>
      <c r="AP14" s="4">
        <v>45328</v>
      </c>
      <c r="AQ14" s="5">
        <v>-1384.93</v>
      </c>
    </row>
    <row r="15" spans="2:43" x14ac:dyDescent="0.3">
      <c r="B15" s="4">
        <v>45329</v>
      </c>
      <c r="C15" s="5">
        <v>178.97</v>
      </c>
      <c r="D15" s="5">
        <v>13.64</v>
      </c>
      <c r="F15" s="4">
        <v>45329</v>
      </c>
      <c r="G15" s="5">
        <v>-156.56</v>
      </c>
      <c r="H15" s="5">
        <v>31.44</v>
      </c>
      <c r="J15" s="4">
        <v>45329</v>
      </c>
      <c r="K15" s="5">
        <v>46.32</v>
      </c>
      <c r="L15" s="5">
        <v>1.7</v>
      </c>
      <c r="N15" s="4">
        <v>45329</v>
      </c>
      <c r="O15" s="5">
        <v>2000.97</v>
      </c>
      <c r="P15" s="5">
        <v>131.36000000000001</v>
      </c>
      <c r="R15" s="4">
        <v>45329</v>
      </c>
      <c r="S15" s="5">
        <v>8498.65</v>
      </c>
      <c r="T15" s="5">
        <v>136.35</v>
      </c>
      <c r="V15" s="4">
        <v>45329</v>
      </c>
      <c r="W15" s="5">
        <v>47.14</v>
      </c>
      <c r="X15" s="5">
        <v>2.2400000000000002</v>
      </c>
      <c r="Z15" s="4">
        <v>45329</v>
      </c>
      <c r="AA15" s="5">
        <v>202.5</v>
      </c>
      <c r="AB15" s="5">
        <v>56.82</v>
      </c>
      <c r="AD15" s="4">
        <v>45329</v>
      </c>
      <c r="AE15" s="5">
        <v>129.38999999999999</v>
      </c>
      <c r="AF15" s="5">
        <v>67.05</v>
      </c>
      <c r="AH15" s="4">
        <v>45329</v>
      </c>
      <c r="AI15" s="5">
        <v>129.38999999999999</v>
      </c>
      <c r="AJ15" s="5">
        <v>67.05</v>
      </c>
      <c r="AL15" s="4">
        <v>45329</v>
      </c>
      <c r="AM15" s="5">
        <v>-663.08999999999992</v>
      </c>
      <c r="AN15" s="5">
        <v>69.260000000000005</v>
      </c>
      <c r="AP15" s="4">
        <v>45329</v>
      </c>
      <c r="AQ15" s="5">
        <v>8.6200000000000045</v>
      </c>
    </row>
    <row r="16" spans="2:43" x14ac:dyDescent="0.3">
      <c r="B16" s="4">
        <v>45338</v>
      </c>
      <c r="C16" s="5">
        <v>154.79</v>
      </c>
      <c r="D16" s="5">
        <v>13.52</v>
      </c>
      <c r="F16" s="4">
        <v>45338</v>
      </c>
      <c r="G16" s="5">
        <v>-140.19</v>
      </c>
      <c r="H16" s="5">
        <v>164.3</v>
      </c>
      <c r="J16" s="4">
        <v>45338</v>
      </c>
      <c r="K16" s="5">
        <v>45.74</v>
      </c>
      <c r="L16" s="5">
        <v>2.83</v>
      </c>
      <c r="N16" s="4">
        <v>45338</v>
      </c>
      <c r="O16" s="5">
        <v>2005.4</v>
      </c>
      <c r="P16" s="5">
        <v>156.96</v>
      </c>
      <c r="R16" s="4">
        <v>45338</v>
      </c>
      <c r="S16" s="5">
        <v>8499.31</v>
      </c>
      <c r="T16" s="5">
        <v>228.23</v>
      </c>
      <c r="V16" s="4">
        <v>45338</v>
      </c>
      <c r="W16" s="5">
        <v>52.41</v>
      </c>
      <c r="X16" s="5">
        <v>12.13</v>
      </c>
      <c r="Z16" s="4">
        <v>45338</v>
      </c>
      <c r="AA16" s="5">
        <v>193.24</v>
      </c>
      <c r="AB16" s="5">
        <v>240.94</v>
      </c>
      <c r="AD16" s="4">
        <v>45338</v>
      </c>
      <c r="AE16" s="5">
        <v>143.25</v>
      </c>
      <c r="AF16" s="5">
        <v>103.47</v>
      </c>
      <c r="AH16" s="4">
        <v>45338</v>
      </c>
      <c r="AI16" s="5">
        <v>143.25</v>
      </c>
      <c r="AJ16" s="5">
        <v>103.47</v>
      </c>
      <c r="AL16" s="4">
        <v>45338</v>
      </c>
      <c r="AM16" s="5">
        <v>-775.54</v>
      </c>
      <c r="AN16" s="5">
        <v>216.64000000000001</v>
      </c>
      <c r="AP16" s="4">
        <v>45338</v>
      </c>
      <c r="AQ16" s="5">
        <v>7.6500000000000909</v>
      </c>
    </row>
    <row r="17" spans="2:43" x14ac:dyDescent="0.3">
      <c r="B17" s="4">
        <v>45343</v>
      </c>
      <c r="C17" s="5">
        <v>173.12</v>
      </c>
      <c r="D17" s="5">
        <v>20.38</v>
      </c>
      <c r="F17" s="4">
        <v>45343</v>
      </c>
      <c r="G17" s="5">
        <v>-92.92</v>
      </c>
      <c r="H17" s="5">
        <v>151.61000000000001</v>
      </c>
      <c r="J17" s="4">
        <v>45343</v>
      </c>
      <c r="K17" s="5">
        <v>45.65</v>
      </c>
      <c r="L17" s="5">
        <v>2.42</v>
      </c>
      <c r="N17" s="4">
        <v>45343</v>
      </c>
      <c r="O17" s="5">
        <v>2000.17</v>
      </c>
      <c r="P17" s="5">
        <v>167.25</v>
      </c>
      <c r="R17" s="4">
        <v>45343</v>
      </c>
      <c r="S17" s="5">
        <v>8500.9500000000007</v>
      </c>
      <c r="T17" s="5">
        <v>146.43</v>
      </c>
      <c r="V17" s="4">
        <v>45343</v>
      </c>
      <c r="W17" s="5">
        <v>52.34</v>
      </c>
      <c r="X17" s="5">
        <v>11.3</v>
      </c>
      <c r="Z17" s="4">
        <v>45343</v>
      </c>
      <c r="AA17" s="5">
        <v>265.66999999999996</v>
      </c>
      <c r="AB17" s="5">
        <v>213.93</v>
      </c>
      <c r="AD17" s="4">
        <v>45343</v>
      </c>
      <c r="AE17" s="5">
        <v>134.25</v>
      </c>
      <c r="AF17" s="5">
        <v>110.63</v>
      </c>
      <c r="AH17" s="4">
        <v>45343</v>
      </c>
      <c r="AI17" s="5">
        <v>134.25</v>
      </c>
      <c r="AJ17" s="5">
        <v>110.63</v>
      </c>
      <c r="AL17" s="4">
        <v>45343</v>
      </c>
      <c r="AM17" s="5">
        <v>-755.33</v>
      </c>
      <c r="AN17" s="5">
        <v>207.36</v>
      </c>
      <c r="AP17" s="4">
        <v>45343</v>
      </c>
      <c r="AQ17" s="5">
        <v>8.5600000000000591</v>
      </c>
    </row>
    <row r="18" spans="2:43" x14ac:dyDescent="0.3">
      <c r="B18" s="4">
        <v>45344</v>
      </c>
      <c r="C18" s="5">
        <v>177.34</v>
      </c>
      <c r="D18" s="5">
        <v>16.03</v>
      </c>
      <c r="F18" s="4">
        <v>45344</v>
      </c>
      <c r="G18" s="5">
        <v>-135.34</v>
      </c>
      <c r="H18" s="5">
        <v>125.23</v>
      </c>
      <c r="J18" s="4">
        <v>45344</v>
      </c>
      <c r="K18" s="5">
        <v>45.9</v>
      </c>
      <c r="L18" s="5">
        <v>1.95</v>
      </c>
      <c r="N18" s="4">
        <v>45344</v>
      </c>
      <c r="O18" s="5">
        <v>2001.72</v>
      </c>
      <c r="P18" s="5">
        <v>121.72</v>
      </c>
      <c r="R18" s="4">
        <v>45344</v>
      </c>
      <c r="S18" s="5">
        <v>8499.17</v>
      </c>
      <c r="T18" s="5">
        <v>148.88</v>
      </c>
      <c r="V18" s="4">
        <v>45344</v>
      </c>
      <c r="W18" s="5">
        <v>48.6</v>
      </c>
      <c r="X18" s="5">
        <v>7.84</v>
      </c>
      <c r="Z18" s="4">
        <v>45344</v>
      </c>
      <c r="AA18" s="5">
        <v>210.38000000000002</v>
      </c>
      <c r="AB18" s="5">
        <v>166.31</v>
      </c>
      <c r="AD18" s="4">
        <v>45344</v>
      </c>
      <c r="AE18" s="5">
        <v>130.90000000000009</v>
      </c>
      <c r="AF18" s="5">
        <v>87.52000000000001</v>
      </c>
      <c r="AH18" s="4">
        <v>45344</v>
      </c>
      <c r="AI18" s="5">
        <v>130.90000000000009</v>
      </c>
      <c r="AJ18" s="5">
        <v>87.52000000000001</v>
      </c>
      <c r="AL18" s="4">
        <v>45344</v>
      </c>
      <c r="AM18" s="5">
        <v>-677.62</v>
      </c>
      <c r="AN18" s="5">
        <v>171.72</v>
      </c>
      <c r="AP18" s="4">
        <v>45344</v>
      </c>
      <c r="AQ18" s="5">
        <v>8.5300000000000864</v>
      </c>
    </row>
    <row r="19" spans="2:43" x14ac:dyDescent="0.3">
      <c r="B19" s="4">
        <v>45345</v>
      </c>
      <c r="C19" s="5">
        <v>191.32</v>
      </c>
      <c r="D19" s="5">
        <v>33.33</v>
      </c>
      <c r="F19" s="4">
        <v>45345</v>
      </c>
      <c r="G19" s="5">
        <v>-160</v>
      </c>
      <c r="H19" s="5">
        <v>102.78</v>
      </c>
      <c r="J19" s="4">
        <v>45345</v>
      </c>
      <c r="K19" s="5">
        <v>44.57</v>
      </c>
      <c r="L19" s="5">
        <v>4.8499999999999996</v>
      </c>
      <c r="N19" s="4">
        <v>45345</v>
      </c>
      <c r="O19" s="5">
        <v>2002.43</v>
      </c>
      <c r="P19" s="5">
        <v>173.94</v>
      </c>
      <c r="R19" s="4">
        <v>45345</v>
      </c>
      <c r="S19" s="5">
        <v>8502.19</v>
      </c>
      <c r="T19" s="5">
        <v>163.27000000000001</v>
      </c>
      <c r="V19" s="4">
        <v>45345</v>
      </c>
      <c r="W19" s="5">
        <v>46.34</v>
      </c>
      <c r="X19" s="5">
        <v>6.32</v>
      </c>
      <c r="Z19" s="4">
        <v>45345</v>
      </c>
      <c r="AA19" s="5">
        <v>140.52999999999997</v>
      </c>
      <c r="AB19" s="5">
        <v>178.35</v>
      </c>
      <c r="AD19" s="4">
        <v>45345</v>
      </c>
      <c r="AE19" s="5">
        <v>132.36000000000001</v>
      </c>
      <c r="AF19" s="5">
        <v>300.96000000000004</v>
      </c>
      <c r="AH19" s="4">
        <v>45345</v>
      </c>
      <c r="AI19" s="5">
        <v>132.36000000000001</v>
      </c>
      <c r="AJ19" s="5">
        <v>300.96000000000004</v>
      </c>
      <c r="AL19" s="4">
        <v>45345</v>
      </c>
      <c r="AM19" s="5">
        <v>-605.89</v>
      </c>
      <c r="AN19" s="5">
        <v>264.56</v>
      </c>
      <c r="AP19" s="4">
        <v>45345</v>
      </c>
      <c r="AQ19" s="5">
        <v>7.8099999999999454</v>
      </c>
    </row>
    <row r="20" spans="2:43" x14ac:dyDescent="0.3">
      <c r="B20" s="4">
        <v>45346</v>
      </c>
      <c r="C20" s="5">
        <v>158.53</v>
      </c>
      <c r="D20" s="5">
        <v>35.15</v>
      </c>
      <c r="F20" s="4">
        <v>45346</v>
      </c>
      <c r="G20" s="5">
        <v>-143.68</v>
      </c>
      <c r="H20" s="5">
        <v>230.9</v>
      </c>
      <c r="J20" s="4">
        <v>45346</v>
      </c>
      <c r="K20" s="5">
        <v>45.88</v>
      </c>
      <c r="L20" s="5">
        <v>5.05</v>
      </c>
      <c r="N20" s="4">
        <v>45346</v>
      </c>
      <c r="O20" s="5">
        <v>1997.59</v>
      </c>
      <c r="P20" s="5">
        <v>143.76</v>
      </c>
      <c r="R20" s="4">
        <v>45346</v>
      </c>
      <c r="S20" s="5">
        <v>8475.69</v>
      </c>
      <c r="T20" s="5">
        <v>166.19</v>
      </c>
      <c r="V20" s="4">
        <v>45346</v>
      </c>
      <c r="W20" s="5">
        <v>49.91</v>
      </c>
      <c r="X20" s="5">
        <v>23.18</v>
      </c>
      <c r="Z20" s="4">
        <v>45346</v>
      </c>
      <c r="AA20" s="5">
        <v>257.57</v>
      </c>
      <c r="AB20" s="5">
        <v>341.04</v>
      </c>
      <c r="AD20" s="4">
        <v>45346</v>
      </c>
      <c r="AE20" s="5">
        <v>126.29999999999995</v>
      </c>
      <c r="AF20" s="5">
        <v>257.52</v>
      </c>
      <c r="AH20" s="4">
        <v>45346</v>
      </c>
      <c r="AI20" s="5">
        <v>126.29999999999995</v>
      </c>
      <c r="AJ20" s="5">
        <v>257.52</v>
      </c>
      <c r="AL20" s="4">
        <v>45346</v>
      </c>
      <c r="AM20" s="5">
        <v>-716.2</v>
      </c>
      <c r="AN20" s="5">
        <v>362.01</v>
      </c>
      <c r="AP20" s="4">
        <v>45346</v>
      </c>
      <c r="AQ20" s="5">
        <v>-2</v>
      </c>
    </row>
    <row r="21" spans="2:43" x14ac:dyDescent="0.3">
      <c r="B21" s="4">
        <v>45352</v>
      </c>
      <c r="C21" s="5">
        <v>178.63</v>
      </c>
      <c r="D21" s="5">
        <v>13</v>
      </c>
      <c r="F21" s="4">
        <v>45352</v>
      </c>
      <c r="G21" s="5">
        <v>-181.09</v>
      </c>
      <c r="H21" s="5">
        <v>103.75</v>
      </c>
      <c r="J21" s="4">
        <v>45352</v>
      </c>
      <c r="K21" s="5">
        <v>45.74</v>
      </c>
      <c r="L21" s="5">
        <v>2.2200000000000002</v>
      </c>
      <c r="N21" s="4">
        <v>45352</v>
      </c>
      <c r="O21" s="5">
        <v>1999.94</v>
      </c>
      <c r="P21" s="5">
        <v>125.82</v>
      </c>
      <c r="R21" s="4">
        <v>45352</v>
      </c>
      <c r="S21" s="5">
        <v>8499.4500000000007</v>
      </c>
      <c r="T21" s="5">
        <v>161.4</v>
      </c>
      <c r="V21" s="4">
        <v>45352</v>
      </c>
      <c r="W21" s="5">
        <v>46.44</v>
      </c>
      <c r="X21" s="5">
        <v>4.63</v>
      </c>
      <c r="Z21" s="4">
        <v>45352</v>
      </c>
      <c r="AA21" s="5">
        <v>160.29999999999998</v>
      </c>
      <c r="AB21" s="5">
        <v>158.76</v>
      </c>
      <c r="AD21" s="4">
        <v>45352</v>
      </c>
      <c r="AE21" s="5">
        <v>135.51</v>
      </c>
      <c r="AF21" s="5">
        <v>121.18</v>
      </c>
      <c r="AH21" s="4">
        <v>45352</v>
      </c>
      <c r="AI21" s="5">
        <v>135.51</v>
      </c>
      <c r="AJ21" s="5">
        <v>121.18</v>
      </c>
      <c r="AL21" s="4">
        <v>45352</v>
      </c>
      <c r="AM21" s="5">
        <v>-648.30999999999995</v>
      </c>
      <c r="AN21" s="5">
        <v>167.65</v>
      </c>
      <c r="AP21" s="4">
        <v>45352</v>
      </c>
      <c r="AQ21" s="5">
        <v>8.4800000000000182</v>
      </c>
    </row>
    <row r="22" spans="2:43" x14ac:dyDescent="0.3">
      <c r="B22" s="4">
        <v>45353</v>
      </c>
      <c r="C22" s="5">
        <v>193.755</v>
      </c>
      <c r="D22" s="5">
        <v>31.6</v>
      </c>
      <c r="F22" s="4">
        <v>45353</v>
      </c>
      <c r="G22" s="5">
        <v>-355.33</v>
      </c>
      <c r="H22" s="5">
        <v>316.46000000000004</v>
      </c>
      <c r="J22" s="4">
        <v>45353</v>
      </c>
      <c r="K22" s="5">
        <v>43.954999999999998</v>
      </c>
      <c r="L22" s="5">
        <v>4.28</v>
      </c>
      <c r="N22" s="4">
        <v>45353</v>
      </c>
      <c r="O22" s="5">
        <v>2001.0350000000001</v>
      </c>
      <c r="P22" s="5">
        <v>176.13499999999999</v>
      </c>
      <c r="R22" s="4">
        <v>45353</v>
      </c>
      <c r="S22" s="5">
        <v>8498.9750000000004</v>
      </c>
      <c r="T22" s="5">
        <v>179.44</v>
      </c>
      <c r="V22" s="4">
        <v>45353</v>
      </c>
      <c r="W22" s="5">
        <v>45.355000000000004</v>
      </c>
      <c r="X22" s="5">
        <v>6.8049999999999997</v>
      </c>
      <c r="Z22" s="4">
        <v>45353</v>
      </c>
      <c r="AA22" s="5">
        <v>129.28</v>
      </c>
      <c r="AB22" s="5">
        <v>250.25</v>
      </c>
      <c r="AD22" s="4">
        <v>45353</v>
      </c>
      <c r="AE22" s="5">
        <v>268.27999999999986</v>
      </c>
      <c r="AF22" s="5">
        <v>323.83000000000004</v>
      </c>
      <c r="AH22" s="4">
        <v>45353</v>
      </c>
      <c r="AI22" s="5">
        <v>134.13999999999993</v>
      </c>
      <c r="AJ22" s="5">
        <v>161.91500000000002</v>
      </c>
      <c r="AL22" s="4">
        <v>45353</v>
      </c>
      <c r="AM22" s="5">
        <v>-607.745</v>
      </c>
      <c r="AN22" s="5">
        <v>239.93</v>
      </c>
      <c r="AP22" s="4">
        <v>45353</v>
      </c>
      <c r="AQ22" s="5">
        <v>8.2899999999999636</v>
      </c>
    </row>
    <row r="23" spans="2:43" x14ac:dyDescent="0.3">
      <c r="B23" s="4">
        <v>45355</v>
      </c>
      <c r="C23" s="5">
        <v>122.02</v>
      </c>
      <c r="D23" s="5">
        <v>10.96</v>
      </c>
      <c r="F23" s="4">
        <v>45355</v>
      </c>
      <c r="G23" s="5">
        <v>-181.59</v>
      </c>
      <c r="H23" s="5">
        <v>61.54</v>
      </c>
      <c r="J23" s="4">
        <v>45355</v>
      </c>
      <c r="K23" s="5">
        <v>44.07</v>
      </c>
      <c r="L23" s="5">
        <v>3.45</v>
      </c>
      <c r="N23" s="4">
        <v>45355</v>
      </c>
      <c r="O23" s="5">
        <v>1998.55</v>
      </c>
      <c r="P23" s="5">
        <v>306.04000000000002</v>
      </c>
      <c r="R23" s="4">
        <v>45355</v>
      </c>
      <c r="S23" s="5">
        <v>10799.84</v>
      </c>
      <c r="T23" s="5">
        <v>217.56</v>
      </c>
      <c r="V23" s="4">
        <v>45355</v>
      </c>
      <c r="W23" s="5">
        <v>50.67</v>
      </c>
      <c r="X23" s="5">
        <v>1.73</v>
      </c>
      <c r="Z23" s="4">
        <v>45355</v>
      </c>
      <c r="AA23" s="5">
        <v>107.20000000000002</v>
      </c>
      <c r="AB23" s="5">
        <v>136.33000000000001</v>
      </c>
      <c r="AD23" s="4">
        <v>45355</v>
      </c>
      <c r="AE23" s="5">
        <v>193.63</v>
      </c>
      <c r="AF23" s="5">
        <v>154.43</v>
      </c>
      <c r="AH23" s="4">
        <v>45355</v>
      </c>
      <c r="AI23" s="5">
        <v>193.63</v>
      </c>
      <c r="AJ23" s="5">
        <v>154.43</v>
      </c>
      <c r="AL23" s="4">
        <v>45355</v>
      </c>
      <c r="AM23" s="5">
        <v>-547.75</v>
      </c>
      <c r="AN23" s="5">
        <v>147.93</v>
      </c>
      <c r="AP23" s="4">
        <v>45355</v>
      </c>
      <c r="AQ23" s="5">
        <v>-1384.49</v>
      </c>
    </row>
    <row r="24" spans="2:43" x14ac:dyDescent="0.3">
      <c r="B24" s="4">
        <v>45356</v>
      </c>
      <c r="C24" s="5">
        <v>121.93</v>
      </c>
      <c r="D24" s="5">
        <v>10.96</v>
      </c>
      <c r="F24" s="4">
        <v>45356</v>
      </c>
      <c r="G24" s="5">
        <v>-181.69</v>
      </c>
      <c r="H24" s="5">
        <v>61.49</v>
      </c>
      <c r="J24" s="4">
        <v>45356</v>
      </c>
      <c r="K24" s="5">
        <v>44.06</v>
      </c>
      <c r="L24" s="5">
        <v>3.49</v>
      </c>
      <c r="N24" s="4">
        <v>45356</v>
      </c>
      <c r="O24" s="5">
        <v>1998.96</v>
      </c>
      <c r="P24" s="5">
        <v>301.92</v>
      </c>
      <c r="R24" s="4">
        <v>45356</v>
      </c>
      <c r="S24" s="5">
        <v>10799.92</v>
      </c>
      <c r="T24" s="5">
        <v>216.59</v>
      </c>
      <c r="V24" s="4">
        <v>45356</v>
      </c>
      <c r="W24" s="5">
        <v>50.67</v>
      </c>
      <c r="X24" s="5">
        <v>1.73</v>
      </c>
      <c r="Z24" s="4">
        <v>45356</v>
      </c>
      <c r="AA24" s="5">
        <v>107.13</v>
      </c>
      <c r="AB24" s="5">
        <v>136.21</v>
      </c>
      <c r="AD24" s="4">
        <v>45356</v>
      </c>
      <c r="AE24" s="5">
        <v>193.56999999999994</v>
      </c>
      <c r="AF24" s="5">
        <v>155.9</v>
      </c>
      <c r="AH24" s="4">
        <v>45356</v>
      </c>
      <c r="AI24" s="5">
        <v>193.56999999999994</v>
      </c>
      <c r="AJ24" s="5">
        <v>155.9</v>
      </c>
      <c r="AL24" s="4">
        <v>45356</v>
      </c>
      <c r="AM24" s="5">
        <v>-547.3599999999999</v>
      </c>
      <c r="AN24" s="5">
        <v>148.5</v>
      </c>
      <c r="AP24" s="4">
        <v>45356</v>
      </c>
      <c r="AQ24" s="5">
        <v>-1384.49</v>
      </c>
    </row>
    <row r="25" spans="2:43" x14ac:dyDescent="0.3">
      <c r="B25" s="4">
        <v>45358</v>
      </c>
      <c r="C25" s="5">
        <v>141.82</v>
      </c>
      <c r="D25" s="5">
        <v>28.97</v>
      </c>
      <c r="F25" s="4">
        <v>45358</v>
      </c>
      <c r="G25" s="5">
        <v>-132.5</v>
      </c>
      <c r="H25" s="5">
        <v>140.54</v>
      </c>
      <c r="J25" s="4">
        <v>45358</v>
      </c>
      <c r="K25" s="5">
        <v>41.91</v>
      </c>
      <c r="L25" s="5">
        <v>4.33</v>
      </c>
      <c r="N25" s="4">
        <v>45358</v>
      </c>
      <c r="O25" s="5">
        <v>1999.2</v>
      </c>
      <c r="P25" s="5">
        <v>108.13</v>
      </c>
      <c r="R25" s="4">
        <v>45358</v>
      </c>
      <c r="S25" s="5">
        <v>8499.83</v>
      </c>
      <c r="T25" s="5">
        <v>164.49</v>
      </c>
      <c r="V25" s="4">
        <v>45358</v>
      </c>
      <c r="W25" s="5">
        <v>45.24</v>
      </c>
      <c r="X25" s="5">
        <v>9.5</v>
      </c>
      <c r="Z25" s="4">
        <v>45358</v>
      </c>
      <c r="AA25" s="5">
        <v>165.39999999999998</v>
      </c>
      <c r="AB25" s="5">
        <v>291.79999999999995</v>
      </c>
      <c r="AD25" s="4">
        <v>45358</v>
      </c>
      <c r="AE25" s="5">
        <v>118.67000000000007</v>
      </c>
      <c r="AF25" s="5">
        <v>277.60000000000002</v>
      </c>
      <c r="AH25" s="4">
        <v>45358</v>
      </c>
      <c r="AI25" s="5">
        <v>118.67000000000007</v>
      </c>
      <c r="AJ25" s="5">
        <v>277.60000000000002</v>
      </c>
      <c r="AL25" s="4">
        <v>45358</v>
      </c>
      <c r="AM25" s="5">
        <v>-593.85</v>
      </c>
      <c r="AN25" s="5">
        <v>277.60000000000002</v>
      </c>
      <c r="AP25" s="4">
        <v>45358</v>
      </c>
      <c r="AQ25" s="5">
        <v>-523.72</v>
      </c>
    </row>
    <row r="26" spans="2:43" x14ac:dyDescent="0.3">
      <c r="B26" s="4">
        <v>45359</v>
      </c>
      <c r="C26" s="5">
        <v>196.17500000000001</v>
      </c>
      <c r="D26" s="5">
        <v>21.184999999999999</v>
      </c>
      <c r="F26" s="4">
        <v>45359</v>
      </c>
      <c r="G26" s="5">
        <v>-342.41999999999996</v>
      </c>
      <c r="H26" s="5">
        <v>95.87</v>
      </c>
      <c r="J26" s="4">
        <v>45359</v>
      </c>
      <c r="K26" s="5">
        <v>48.204999999999998</v>
      </c>
      <c r="L26" s="5">
        <v>6.1400000000000006</v>
      </c>
      <c r="N26" s="4">
        <v>45359</v>
      </c>
      <c r="O26" s="5">
        <v>2002.375</v>
      </c>
      <c r="P26" s="5">
        <v>252.95499999999998</v>
      </c>
      <c r="R26" s="4">
        <v>45359</v>
      </c>
      <c r="S26" s="5">
        <v>7900.5399999999991</v>
      </c>
      <c r="T26" s="5">
        <v>230.43</v>
      </c>
      <c r="V26" s="4">
        <v>45359</v>
      </c>
      <c r="W26" s="5">
        <v>46.55</v>
      </c>
      <c r="X26" s="5">
        <v>5.9949999999999992</v>
      </c>
      <c r="Z26" s="4">
        <v>45359</v>
      </c>
      <c r="AA26" s="5">
        <v>170.21499999999997</v>
      </c>
      <c r="AB26" s="5">
        <v>95.025000000000006</v>
      </c>
      <c r="AD26" s="4">
        <v>45359</v>
      </c>
      <c r="AE26" s="5">
        <v>253.85000000000002</v>
      </c>
      <c r="AF26" s="5">
        <v>214.56</v>
      </c>
      <c r="AH26" s="4">
        <v>45359</v>
      </c>
      <c r="AI26" s="5">
        <v>126.92500000000001</v>
      </c>
      <c r="AJ26" s="5">
        <v>107.28</v>
      </c>
      <c r="AL26" s="4">
        <v>45359</v>
      </c>
      <c r="AM26" s="5">
        <v>-671.65</v>
      </c>
      <c r="AN26" s="5">
        <v>106.7</v>
      </c>
      <c r="AP26" s="4">
        <v>45359</v>
      </c>
      <c r="AQ26" s="5">
        <v>-211.85500000000008</v>
      </c>
    </row>
    <row r="27" spans="2:43" x14ac:dyDescent="0.3">
      <c r="B27" s="4">
        <v>45360</v>
      </c>
      <c r="C27" s="5">
        <v>241.04</v>
      </c>
      <c r="D27" s="5">
        <v>24.47</v>
      </c>
      <c r="F27" s="4">
        <v>45360</v>
      </c>
      <c r="G27" s="5">
        <v>-283.83999999999997</v>
      </c>
      <c r="H27" s="5">
        <v>33.68</v>
      </c>
      <c r="J27" s="4">
        <v>45360</v>
      </c>
      <c r="K27" s="5">
        <v>46.85</v>
      </c>
      <c r="L27" s="5">
        <v>2.14</v>
      </c>
      <c r="N27" s="4">
        <v>45360</v>
      </c>
      <c r="O27" s="5">
        <v>1998.38</v>
      </c>
      <c r="P27" s="5">
        <v>214.38</v>
      </c>
      <c r="R27" s="4">
        <v>45360</v>
      </c>
      <c r="S27" s="5">
        <v>5000.05</v>
      </c>
      <c r="T27" s="5">
        <v>153.69</v>
      </c>
      <c r="V27" s="4">
        <v>45360</v>
      </c>
      <c r="W27" s="5">
        <v>28.19</v>
      </c>
      <c r="X27" s="5">
        <v>1.28</v>
      </c>
      <c r="Z27" s="4">
        <v>45360</v>
      </c>
      <c r="AA27" s="5">
        <v>96.760000000000048</v>
      </c>
      <c r="AB27" s="5">
        <v>72.539999999999992</v>
      </c>
      <c r="AD27" s="4">
        <v>45360</v>
      </c>
      <c r="AE27" s="5">
        <v>39.539999999999964</v>
      </c>
      <c r="AF27" s="5">
        <v>78.47</v>
      </c>
      <c r="AH27" s="4">
        <v>45360</v>
      </c>
      <c r="AI27" s="5">
        <v>39.539999999999964</v>
      </c>
      <c r="AJ27" s="5">
        <v>78.47</v>
      </c>
      <c r="AL27" s="4">
        <v>45360</v>
      </c>
      <c r="AM27" s="5">
        <v>-506.68</v>
      </c>
      <c r="AN27" s="5">
        <v>75.22999999999999</v>
      </c>
      <c r="AP27" s="4">
        <v>45360</v>
      </c>
      <c r="AQ27" s="5">
        <v>6.6000000000000227</v>
      </c>
    </row>
    <row r="28" spans="2:43" x14ac:dyDescent="0.3">
      <c r="B28" s="4">
        <v>45361</v>
      </c>
      <c r="C28" s="5">
        <v>246.92</v>
      </c>
      <c r="D28" s="5">
        <v>34.17</v>
      </c>
      <c r="F28" s="4">
        <v>45361</v>
      </c>
      <c r="G28" s="5">
        <v>-280.02999999999997</v>
      </c>
      <c r="H28" s="5">
        <v>35.83</v>
      </c>
      <c r="J28" s="4">
        <v>45361</v>
      </c>
      <c r="K28" s="5">
        <v>46.81</v>
      </c>
      <c r="L28" s="5">
        <v>2.15</v>
      </c>
      <c r="N28" s="4">
        <v>45361</v>
      </c>
      <c r="O28" s="5">
        <v>2000.86</v>
      </c>
      <c r="P28" s="5">
        <v>211.72</v>
      </c>
      <c r="R28" s="4">
        <v>45361</v>
      </c>
      <c r="S28" s="5">
        <v>4999.7299999999996</v>
      </c>
      <c r="T28" s="5">
        <v>149.63999999999999</v>
      </c>
      <c r="V28" s="4">
        <v>45361</v>
      </c>
      <c r="W28" s="5">
        <v>28.28</v>
      </c>
      <c r="X28" s="5">
        <v>1.36</v>
      </c>
      <c r="Z28" s="4">
        <v>45361</v>
      </c>
      <c r="AA28" s="5">
        <v>98.300000000000011</v>
      </c>
      <c r="AB28" s="5">
        <v>80.239999999999995</v>
      </c>
      <c r="AD28" s="4">
        <v>45361</v>
      </c>
      <c r="AE28" s="5">
        <v>39.279999999999973</v>
      </c>
      <c r="AF28" s="5">
        <v>93.72999999999999</v>
      </c>
      <c r="AH28" s="4">
        <v>45361</v>
      </c>
      <c r="AI28" s="5">
        <v>39.279999999999973</v>
      </c>
      <c r="AJ28" s="5">
        <v>93.72999999999999</v>
      </c>
      <c r="AL28" s="4">
        <v>45361</v>
      </c>
      <c r="AM28" s="5">
        <v>-510.39</v>
      </c>
      <c r="AN28" s="5">
        <v>84.34</v>
      </c>
      <c r="AP28" s="4">
        <v>45361</v>
      </c>
      <c r="AQ28" s="5">
        <v>6.6200000000000045</v>
      </c>
    </row>
    <row r="29" spans="2:43" x14ac:dyDescent="0.3">
      <c r="B29" s="4">
        <v>45362</v>
      </c>
      <c r="C29" s="5">
        <v>244.32</v>
      </c>
      <c r="D29" s="5">
        <v>27.234999999999999</v>
      </c>
      <c r="F29" s="4">
        <v>45362</v>
      </c>
      <c r="G29" s="5">
        <v>-498.49</v>
      </c>
      <c r="H29" s="5">
        <v>73.47</v>
      </c>
      <c r="J29" s="4">
        <v>45362</v>
      </c>
      <c r="K29" s="5">
        <v>46.724999999999994</v>
      </c>
      <c r="L29" s="5">
        <v>2.2250000000000001</v>
      </c>
      <c r="N29" s="4">
        <v>45362</v>
      </c>
      <c r="O29" s="5">
        <v>2000.32</v>
      </c>
      <c r="P29" s="5">
        <v>199.12</v>
      </c>
      <c r="R29" s="4">
        <v>45362</v>
      </c>
      <c r="S29" s="5">
        <v>5499.74</v>
      </c>
      <c r="T29" s="5">
        <v>148.03</v>
      </c>
      <c r="V29" s="4">
        <v>45362</v>
      </c>
      <c r="W29" s="5">
        <v>32.03</v>
      </c>
      <c r="X29" s="5">
        <v>1.58</v>
      </c>
      <c r="Z29" s="4">
        <v>45362</v>
      </c>
      <c r="AA29" s="5">
        <v>111.035</v>
      </c>
      <c r="AB29" s="5">
        <v>73.875</v>
      </c>
      <c r="AD29" s="4">
        <v>45362</v>
      </c>
      <c r="AE29" s="5">
        <v>101.01999999999998</v>
      </c>
      <c r="AF29" s="5">
        <v>170.86</v>
      </c>
      <c r="AH29" s="4">
        <v>45362</v>
      </c>
      <c r="AI29" s="5">
        <v>50.509999999999991</v>
      </c>
      <c r="AJ29" s="5">
        <v>85.43</v>
      </c>
      <c r="AL29" s="4">
        <v>45362</v>
      </c>
      <c r="AM29" s="5">
        <v>-565.10500000000002</v>
      </c>
      <c r="AN29" s="5">
        <v>81.445000000000007</v>
      </c>
      <c r="AP29" s="4">
        <v>45362</v>
      </c>
      <c r="AQ29" s="5">
        <v>7.660000000000025</v>
      </c>
    </row>
    <row r="30" spans="2:43" x14ac:dyDescent="0.3">
      <c r="B30" s="4">
        <v>45363</v>
      </c>
      <c r="C30" s="5">
        <v>109.69</v>
      </c>
      <c r="D30" s="5">
        <v>37.770000000000003</v>
      </c>
      <c r="F30" s="4">
        <v>45363</v>
      </c>
      <c r="G30" s="5">
        <v>-229.05</v>
      </c>
      <c r="H30" s="5">
        <v>52.16</v>
      </c>
      <c r="J30" s="4">
        <v>45363</v>
      </c>
      <c r="K30" s="5">
        <v>47.68</v>
      </c>
      <c r="L30" s="5">
        <v>2.17</v>
      </c>
      <c r="N30" s="4">
        <v>45363</v>
      </c>
      <c r="O30" s="5">
        <v>2000.01</v>
      </c>
      <c r="P30" s="5">
        <v>263.68</v>
      </c>
      <c r="R30" s="4">
        <v>45363</v>
      </c>
      <c r="S30" s="5">
        <v>6000.27</v>
      </c>
      <c r="T30" s="5">
        <v>139.22999999999999</v>
      </c>
      <c r="V30" s="4">
        <v>45363</v>
      </c>
      <c r="W30" s="5">
        <v>39.369999999999997</v>
      </c>
      <c r="X30" s="5">
        <v>4.71</v>
      </c>
      <c r="Z30" s="4">
        <v>45363</v>
      </c>
      <c r="AA30" s="5">
        <v>207.38</v>
      </c>
      <c r="AB30" s="5">
        <v>80.38</v>
      </c>
      <c r="AD30" s="4">
        <v>45363</v>
      </c>
      <c r="AE30" s="5">
        <v>61.090000000000032</v>
      </c>
      <c r="AF30" s="5">
        <v>73.67</v>
      </c>
      <c r="AH30" s="4">
        <v>45363</v>
      </c>
      <c r="AI30" s="5">
        <v>61.090000000000032</v>
      </c>
      <c r="AJ30" s="5">
        <v>73.67</v>
      </c>
      <c r="AL30" s="4">
        <v>45363</v>
      </c>
      <c r="AM30" s="5">
        <v>-702.3900000000001</v>
      </c>
      <c r="AN30" s="5">
        <v>92.05</v>
      </c>
      <c r="AP30" s="4">
        <v>45363</v>
      </c>
      <c r="AQ30" s="5">
        <v>80.839999999999918</v>
      </c>
    </row>
    <row r="31" spans="2:43" x14ac:dyDescent="0.3">
      <c r="B31" s="4">
        <v>45364</v>
      </c>
      <c r="C31" s="5">
        <v>133.19999999999999</v>
      </c>
      <c r="D31" s="5">
        <v>16.95</v>
      </c>
      <c r="F31" s="4">
        <v>45364</v>
      </c>
      <c r="G31" s="5">
        <v>-80.239999999999995</v>
      </c>
      <c r="H31" s="5">
        <v>20.54</v>
      </c>
      <c r="J31" s="4">
        <v>45364</v>
      </c>
      <c r="K31" s="5">
        <v>46.7</v>
      </c>
      <c r="L31" s="5">
        <v>2.0499999999999998</v>
      </c>
      <c r="N31" s="4">
        <v>45364</v>
      </c>
      <c r="O31" s="5">
        <v>2001.3</v>
      </c>
      <c r="P31" s="5">
        <v>198.71</v>
      </c>
      <c r="R31" s="4">
        <v>45364</v>
      </c>
      <c r="S31" s="5">
        <v>8498.81</v>
      </c>
      <c r="T31" s="5">
        <v>171.25</v>
      </c>
      <c r="V31" s="4">
        <v>45364</v>
      </c>
      <c r="W31" s="5">
        <v>55.85</v>
      </c>
      <c r="X31" s="5">
        <v>3.3</v>
      </c>
      <c r="Z31" s="4">
        <v>45364</v>
      </c>
      <c r="AA31" s="5">
        <v>275.56</v>
      </c>
      <c r="AB31" s="5">
        <v>47.65</v>
      </c>
      <c r="AD31" s="4">
        <v>45364</v>
      </c>
      <c r="AE31" s="5">
        <v>132.26999999999998</v>
      </c>
      <c r="AF31" s="5">
        <v>56.129999999999995</v>
      </c>
      <c r="AH31" s="4">
        <v>45364</v>
      </c>
      <c r="AI31" s="5">
        <v>132.26999999999998</v>
      </c>
      <c r="AJ31" s="5">
        <v>56.129999999999995</v>
      </c>
      <c r="AL31" s="4">
        <v>45364</v>
      </c>
      <c r="AM31" s="5">
        <v>-783.26</v>
      </c>
      <c r="AN31" s="5">
        <v>50.45</v>
      </c>
      <c r="AP31" s="4">
        <v>45364</v>
      </c>
      <c r="AQ31" s="5">
        <v>-191.63000000000011</v>
      </c>
    </row>
    <row r="32" spans="2:43" x14ac:dyDescent="0.3">
      <c r="B32" s="4">
        <v>45365</v>
      </c>
      <c r="C32" s="5">
        <v>171.11</v>
      </c>
      <c r="D32" s="5">
        <v>16.95</v>
      </c>
      <c r="F32" s="4">
        <v>45365</v>
      </c>
      <c r="G32" s="5">
        <v>-258.87</v>
      </c>
      <c r="H32" s="5">
        <v>95.53</v>
      </c>
      <c r="J32" s="4">
        <v>45365</v>
      </c>
      <c r="K32" s="5">
        <v>45.76</v>
      </c>
      <c r="L32" s="5">
        <v>2.0649999999999999</v>
      </c>
      <c r="N32" s="4">
        <v>45365</v>
      </c>
      <c r="O32" s="5">
        <v>2000.115</v>
      </c>
      <c r="P32" s="5">
        <v>135.41</v>
      </c>
      <c r="R32" s="4">
        <v>45365</v>
      </c>
      <c r="S32" s="5">
        <v>9650.0149999999994</v>
      </c>
      <c r="T32" s="5">
        <v>161.685</v>
      </c>
      <c r="V32" s="4">
        <v>45365</v>
      </c>
      <c r="W32" s="5">
        <v>51.135000000000005</v>
      </c>
      <c r="X32" s="5">
        <v>2.9000000000000004</v>
      </c>
      <c r="Z32" s="4">
        <v>45365</v>
      </c>
      <c r="AA32" s="5">
        <v>95.46</v>
      </c>
      <c r="AB32" s="5">
        <v>84.710000000000008</v>
      </c>
      <c r="AD32" s="4">
        <v>45365</v>
      </c>
      <c r="AE32" s="5">
        <v>338.42000000000007</v>
      </c>
      <c r="AF32" s="5">
        <v>129.24</v>
      </c>
      <c r="AH32" s="4">
        <v>45365</v>
      </c>
      <c r="AI32" s="5">
        <v>169.21000000000004</v>
      </c>
      <c r="AJ32" s="5">
        <v>64.62</v>
      </c>
      <c r="AL32" s="4">
        <v>45365</v>
      </c>
      <c r="AM32" s="5">
        <v>-654.68500000000006</v>
      </c>
      <c r="AN32" s="5">
        <v>82.474999999999994</v>
      </c>
      <c r="AP32" s="4">
        <v>45365</v>
      </c>
      <c r="AQ32" s="5">
        <v>-741.49</v>
      </c>
    </row>
    <row r="33" spans="2:43" x14ac:dyDescent="0.3">
      <c r="B33" s="4">
        <v>45366</v>
      </c>
      <c r="C33" s="5">
        <v>154.43</v>
      </c>
      <c r="D33" s="5">
        <v>18.78</v>
      </c>
      <c r="F33" s="4">
        <v>45366</v>
      </c>
      <c r="G33" s="5">
        <v>-113.94</v>
      </c>
      <c r="H33" s="5">
        <v>54.68</v>
      </c>
      <c r="J33" s="4">
        <v>45366</v>
      </c>
      <c r="K33" s="5">
        <v>45.09</v>
      </c>
      <c r="L33" s="5">
        <v>3.12</v>
      </c>
      <c r="N33" s="4">
        <v>45366</v>
      </c>
      <c r="O33" s="5">
        <v>1999.1</v>
      </c>
      <c r="P33" s="5">
        <v>129.52000000000001</v>
      </c>
      <c r="R33" s="4">
        <v>45366</v>
      </c>
      <c r="S33" s="5">
        <v>10800.22</v>
      </c>
      <c r="T33" s="5">
        <v>148.81</v>
      </c>
      <c r="V33" s="4">
        <v>45366</v>
      </c>
      <c r="W33" s="5">
        <v>56.47</v>
      </c>
      <c r="X33" s="5">
        <v>2.25</v>
      </c>
      <c r="Z33" s="4">
        <v>45366</v>
      </c>
      <c r="AA33" s="5">
        <v>126.89000000000001</v>
      </c>
      <c r="AB33" s="5">
        <v>101.84</v>
      </c>
      <c r="AD33" s="4">
        <v>45366</v>
      </c>
      <c r="AE33" s="5">
        <v>212.95000000000005</v>
      </c>
      <c r="AF33" s="5">
        <v>87.75</v>
      </c>
      <c r="AH33" s="4">
        <v>45366</v>
      </c>
      <c r="AI33" s="5">
        <v>212.95000000000005</v>
      </c>
      <c r="AJ33" s="5">
        <v>87.75</v>
      </c>
      <c r="AL33" s="4">
        <v>45366</v>
      </c>
      <c r="AM33" s="5">
        <v>-706.3</v>
      </c>
      <c r="AN33" s="5">
        <v>100.00999999999999</v>
      </c>
      <c r="AP33" s="4">
        <v>45366</v>
      </c>
      <c r="AQ33" s="5">
        <v>-1011.6100000000001</v>
      </c>
    </row>
    <row r="34" spans="2:43" x14ac:dyDescent="0.3">
      <c r="B34" s="4">
        <v>45367</v>
      </c>
      <c r="C34" s="5">
        <v>194.47</v>
      </c>
      <c r="D34" s="5">
        <v>28.24</v>
      </c>
      <c r="F34" s="4">
        <v>45367</v>
      </c>
      <c r="G34" s="5">
        <v>-87.16</v>
      </c>
      <c r="H34" s="5">
        <v>61.15</v>
      </c>
      <c r="J34" s="4">
        <v>45367</v>
      </c>
      <c r="K34" s="5">
        <v>45.23</v>
      </c>
      <c r="L34" s="5">
        <v>2.13</v>
      </c>
      <c r="N34" s="4">
        <v>45367</v>
      </c>
      <c r="O34" s="5">
        <v>1999.4</v>
      </c>
      <c r="P34" s="5">
        <v>150.69</v>
      </c>
      <c r="R34" s="4">
        <v>45367</v>
      </c>
      <c r="S34" s="5">
        <v>8499.4699999999993</v>
      </c>
      <c r="T34" s="5">
        <v>146.46</v>
      </c>
      <c r="V34" s="4">
        <v>45367</v>
      </c>
      <c r="W34" s="5">
        <v>49.92</v>
      </c>
      <c r="X34" s="5">
        <v>5.45</v>
      </c>
      <c r="Z34" s="4">
        <v>45367</v>
      </c>
      <c r="AA34" s="5">
        <v>229.64000000000001</v>
      </c>
      <c r="AB34" s="5">
        <v>98.13</v>
      </c>
      <c r="AD34" s="4">
        <v>45367</v>
      </c>
      <c r="AE34" s="5">
        <v>133.17999999999995</v>
      </c>
      <c r="AF34" s="5">
        <v>98.47999999999999</v>
      </c>
      <c r="AH34" s="4">
        <v>45367</v>
      </c>
      <c r="AI34" s="5">
        <v>133.17999999999995</v>
      </c>
      <c r="AJ34" s="5">
        <v>98.47999999999999</v>
      </c>
      <c r="AL34" s="4">
        <v>45367</v>
      </c>
      <c r="AM34" s="5">
        <v>-721.73</v>
      </c>
      <c r="AN34" s="5">
        <v>111.38</v>
      </c>
      <c r="AP34" s="4">
        <v>45367</v>
      </c>
      <c r="AQ34" s="5">
        <v>-66.730000000000018</v>
      </c>
    </row>
    <row r="35" spans="2:43" x14ac:dyDescent="0.3">
      <c r="B35" s="4">
        <v>45368</v>
      </c>
      <c r="C35" s="5">
        <v>205.95</v>
      </c>
      <c r="D35" s="5">
        <v>34.619999999999997</v>
      </c>
      <c r="F35" s="4">
        <v>45368</v>
      </c>
      <c r="G35" s="5">
        <v>-68.73</v>
      </c>
      <c r="H35" s="5">
        <v>47.36</v>
      </c>
      <c r="J35" s="4">
        <v>45368</v>
      </c>
      <c r="K35" s="5">
        <v>45.13</v>
      </c>
      <c r="L35" s="5">
        <v>2.52</v>
      </c>
      <c r="N35" s="4">
        <v>45368</v>
      </c>
      <c r="O35" s="5">
        <v>2001.07</v>
      </c>
      <c r="P35" s="5">
        <v>175.04</v>
      </c>
      <c r="R35" s="4">
        <v>45368</v>
      </c>
      <c r="S35" s="5">
        <v>8499.5300000000007</v>
      </c>
      <c r="T35" s="5">
        <v>154.11000000000001</v>
      </c>
      <c r="V35" s="4">
        <v>45368</v>
      </c>
      <c r="W35" s="5">
        <v>51.13</v>
      </c>
      <c r="X35" s="5">
        <v>4.62</v>
      </c>
      <c r="Z35" s="4">
        <v>45368</v>
      </c>
      <c r="AA35" s="5">
        <v>232.94</v>
      </c>
      <c r="AB35" s="5">
        <v>78.59</v>
      </c>
      <c r="AD35" s="4">
        <v>45368</v>
      </c>
      <c r="AE35" s="5">
        <v>131.65999999999997</v>
      </c>
      <c r="AF35" s="5">
        <v>87.26</v>
      </c>
      <c r="AH35" s="4">
        <v>45368</v>
      </c>
      <c r="AI35" s="5">
        <v>131.65999999999997</v>
      </c>
      <c r="AJ35" s="5">
        <v>87.26</v>
      </c>
      <c r="AL35" s="4">
        <v>45368</v>
      </c>
      <c r="AM35" s="5">
        <v>-719.01</v>
      </c>
      <c r="AN35" s="5">
        <v>92.53</v>
      </c>
      <c r="AP35" s="4">
        <v>45368</v>
      </c>
      <c r="AQ35" s="5">
        <v>-216.22000000000003</v>
      </c>
    </row>
    <row r="36" spans="2:43" x14ac:dyDescent="0.3">
      <c r="B36" s="4">
        <v>45369</v>
      </c>
      <c r="C36" s="5">
        <v>212.91</v>
      </c>
      <c r="D36" s="5">
        <v>55.73</v>
      </c>
      <c r="F36" s="4">
        <v>45369</v>
      </c>
      <c r="G36" s="5">
        <v>-145.65</v>
      </c>
      <c r="H36" s="5">
        <v>58.69</v>
      </c>
      <c r="J36" s="4">
        <v>45369</v>
      </c>
      <c r="K36" s="5">
        <v>44.79</v>
      </c>
      <c r="L36" s="5">
        <v>3.24</v>
      </c>
      <c r="N36" s="4">
        <v>45369</v>
      </c>
      <c r="O36" s="5">
        <v>2000.03</v>
      </c>
      <c r="P36" s="5">
        <v>104.7</v>
      </c>
      <c r="R36" s="4">
        <v>45369</v>
      </c>
      <c r="S36" s="5">
        <v>8499.8700000000008</v>
      </c>
      <c r="T36" s="5">
        <v>174.52</v>
      </c>
      <c r="V36" s="4">
        <v>45369</v>
      </c>
      <c r="W36" s="5">
        <v>44.92</v>
      </c>
      <c r="X36" s="5">
        <v>2.89</v>
      </c>
      <c r="Z36" s="4">
        <v>45369</v>
      </c>
      <c r="AA36" s="5">
        <v>125.66999999999999</v>
      </c>
      <c r="AB36" s="5">
        <v>97.539999999999992</v>
      </c>
      <c r="AD36" s="4">
        <v>45369</v>
      </c>
      <c r="AE36" s="5">
        <v>129.88999999999999</v>
      </c>
      <c r="AF36" s="5">
        <v>73.44</v>
      </c>
      <c r="AH36" s="4">
        <v>45369</v>
      </c>
      <c r="AI36" s="5">
        <v>129.88999999999999</v>
      </c>
      <c r="AJ36" s="5">
        <v>73.44</v>
      </c>
      <c r="AL36" s="4">
        <v>45369</v>
      </c>
      <c r="AM36" s="5">
        <v>-593.37</v>
      </c>
      <c r="AN36" s="5">
        <v>97.539999999999992</v>
      </c>
      <c r="AP36" s="4">
        <v>45369</v>
      </c>
      <c r="AQ36" s="5">
        <v>-312.08000000000015</v>
      </c>
    </row>
    <row r="37" spans="2:43" x14ac:dyDescent="0.3">
      <c r="B37" s="4">
        <v>45370</v>
      </c>
      <c r="C37" s="5">
        <v>217.42</v>
      </c>
      <c r="D37" s="5">
        <v>43.11</v>
      </c>
      <c r="F37" s="4">
        <v>45370</v>
      </c>
      <c r="G37" s="5">
        <v>-153.97</v>
      </c>
      <c r="H37" s="5">
        <v>31.5</v>
      </c>
      <c r="J37" s="4">
        <v>45370</v>
      </c>
      <c r="K37" s="5">
        <v>45.24</v>
      </c>
      <c r="L37" s="5">
        <v>2.63</v>
      </c>
      <c r="N37" s="4">
        <v>45370</v>
      </c>
      <c r="O37" s="5">
        <v>2000.54</v>
      </c>
      <c r="P37" s="5">
        <v>105.42</v>
      </c>
      <c r="R37" s="4">
        <v>45370</v>
      </c>
      <c r="S37" s="5">
        <v>8500.76</v>
      </c>
      <c r="T37" s="5">
        <v>172.94</v>
      </c>
      <c r="V37" s="4">
        <v>45370</v>
      </c>
      <c r="W37" s="5">
        <v>44.82</v>
      </c>
      <c r="X37" s="5">
        <v>1.48</v>
      </c>
      <c r="Z37" s="4">
        <v>45370</v>
      </c>
      <c r="AA37" s="5">
        <v>121.83000000000001</v>
      </c>
      <c r="AB37" s="5">
        <v>65.03</v>
      </c>
      <c r="AD37" s="4">
        <v>45370</v>
      </c>
      <c r="AE37" s="5">
        <v>131.01</v>
      </c>
      <c r="AF37" s="5">
        <v>69.64</v>
      </c>
      <c r="AH37" s="4">
        <v>45370</v>
      </c>
      <c r="AI37" s="5">
        <v>131.01</v>
      </c>
      <c r="AJ37" s="5">
        <v>69.64</v>
      </c>
      <c r="AL37" s="4">
        <v>45370</v>
      </c>
      <c r="AM37" s="5">
        <v>-592.65</v>
      </c>
      <c r="AN37" s="5">
        <v>68.400000000000006</v>
      </c>
      <c r="AP37" s="4">
        <v>45370</v>
      </c>
      <c r="AQ37" s="5">
        <v>-358.91000000000008</v>
      </c>
    </row>
    <row r="38" spans="2:43" x14ac:dyDescent="0.3">
      <c r="B38" s="4">
        <v>45371</v>
      </c>
      <c r="C38" s="5">
        <v>156</v>
      </c>
      <c r="D38" s="5">
        <v>64.39</v>
      </c>
      <c r="F38" s="4">
        <v>45371</v>
      </c>
      <c r="G38" s="5">
        <v>-188.82</v>
      </c>
      <c r="H38" s="5">
        <v>56.87</v>
      </c>
      <c r="J38" s="4">
        <v>45371</v>
      </c>
      <c r="K38" s="5">
        <v>47.59</v>
      </c>
      <c r="L38" s="5">
        <v>3</v>
      </c>
      <c r="N38" s="4">
        <v>45371</v>
      </c>
      <c r="O38" s="5">
        <v>1997.77</v>
      </c>
      <c r="P38" s="5">
        <v>440.59</v>
      </c>
      <c r="R38" s="4">
        <v>45371</v>
      </c>
      <c r="S38" s="5">
        <v>10801.51</v>
      </c>
      <c r="T38" s="5">
        <v>146.37</v>
      </c>
      <c r="V38" s="4">
        <v>45371</v>
      </c>
      <c r="W38" s="5">
        <v>53.56</v>
      </c>
      <c r="X38" s="5">
        <v>2.0499999999999998</v>
      </c>
      <c r="Z38" s="4">
        <v>45371</v>
      </c>
      <c r="AA38" s="5">
        <v>133.63</v>
      </c>
      <c r="AB38" s="5">
        <v>119.46000000000001</v>
      </c>
      <c r="AD38" s="4">
        <v>45371</v>
      </c>
      <c r="AE38" s="5">
        <v>209.51</v>
      </c>
      <c r="AF38" s="5">
        <v>118.9</v>
      </c>
      <c r="AH38" s="4">
        <v>45371</v>
      </c>
      <c r="AI38" s="5">
        <v>209.51</v>
      </c>
      <c r="AJ38" s="5">
        <v>118.9</v>
      </c>
      <c r="AL38" s="4">
        <v>45371</v>
      </c>
      <c r="AM38" s="5">
        <v>-709.3599999999999</v>
      </c>
      <c r="AN38" s="5">
        <v>117.36</v>
      </c>
      <c r="AP38" s="4">
        <v>45371</v>
      </c>
      <c r="AQ38" s="5">
        <v>-752.34000000000015</v>
      </c>
    </row>
    <row r="39" spans="2:43" x14ac:dyDescent="0.3">
      <c r="B39" s="4">
        <v>45372</v>
      </c>
      <c r="C39" s="5">
        <v>161.77000000000001</v>
      </c>
      <c r="D39" s="5">
        <v>24.643333333333334</v>
      </c>
      <c r="F39" s="4">
        <v>45372</v>
      </c>
      <c r="G39" s="5">
        <v>-639</v>
      </c>
      <c r="H39" s="5">
        <v>125.97</v>
      </c>
      <c r="J39" s="4">
        <v>45372</v>
      </c>
      <c r="K39" s="5">
        <v>46.830000000000005</v>
      </c>
      <c r="L39" s="5">
        <v>2.86</v>
      </c>
      <c r="N39" s="4">
        <v>45372</v>
      </c>
      <c r="O39" s="5">
        <v>1999.2300000000002</v>
      </c>
      <c r="P39" s="5">
        <v>310.36666666666667</v>
      </c>
      <c r="R39" s="4">
        <v>45372</v>
      </c>
      <c r="S39" s="5">
        <v>9600.5933333333323</v>
      </c>
      <c r="T39" s="5">
        <v>171.77999999999997</v>
      </c>
      <c r="V39" s="4">
        <v>45372</v>
      </c>
      <c r="W39" s="5">
        <v>47.913333333333334</v>
      </c>
      <c r="X39" s="5">
        <v>2.0366666666666666</v>
      </c>
      <c r="Z39" s="4">
        <v>45372</v>
      </c>
      <c r="AA39" s="5">
        <v>120.25666666666666</v>
      </c>
      <c r="AB39" s="5">
        <v>78.2</v>
      </c>
      <c r="AD39" s="4">
        <v>45372</v>
      </c>
      <c r="AE39" s="5">
        <v>500.15999999999985</v>
      </c>
      <c r="AF39" s="5">
        <v>219.04999999999998</v>
      </c>
      <c r="AH39" s="4">
        <v>45372</v>
      </c>
      <c r="AI39" s="5">
        <v>166.71999999999994</v>
      </c>
      <c r="AJ39" s="5">
        <v>73.016666666666666</v>
      </c>
      <c r="AL39" s="4">
        <v>45372</v>
      </c>
      <c r="AM39" s="5">
        <v>-628.56666666666661</v>
      </c>
      <c r="AN39" s="5">
        <v>81.600000000000009</v>
      </c>
      <c r="AP39" s="4">
        <v>45372</v>
      </c>
      <c r="AQ39" s="5">
        <v>-690.89</v>
      </c>
    </row>
    <row r="40" spans="2:43" x14ac:dyDescent="0.3">
      <c r="B40" s="4">
        <v>45373</v>
      </c>
      <c r="C40" s="5">
        <v>167.43</v>
      </c>
      <c r="D40" s="5">
        <v>21.52</v>
      </c>
      <c r="F40" s="4">
        <v>45373</v>
      </c>
      <c r="G40" s="5">
        <v>-133.34</v>
      </c>
      <c r="H40" s="5">
        <v>35.47</v>
      </c>
      <c r="J40" s="4">
        <v>45373</v>
      </c>
      <c r="K40" s="5">
        <v>46.45</v>
      </c>
      <c r="L40" s="5">
        <v>3.42</v>
      </c>
      <c r="N40" s="4">
        <v>45373</v>
      </c>
      <c r="O40" s="5">
        <v>2002.53</v>
      </c>
      <c r="P40" s="5">
        <v>331.72</v>
      </c>
      <c r="R40" s="4">
        <v>45373</v>
      </c>
      <c r="S40" s="5">
        <v>10801.54</v>
      </c>
      <c r="T40" s="5">
        <v>133.83000000000001</v>
      </c>
      <c r="V40" s="4">
        <v>45373</v>
      </c>
      <c r="W40" s="5">
        <v>57.42</v>
      </c>
      <c r="X40" s="5">
        <v>1.59</v>
      </c>
      <c r="Z40" s="4">
        <v>45373</v>
      </c>
      <c r="AA40" s="5">
        <v>135.16</v>
      </c>
      <c r="AB40" s="5">
        <v>73.960000000000008</v>
      </c>
      <c r="AD40" s="4">
        <v>45373</v>
      </c>
      <c r="AE40" s="5">
        <v>213.94000000000005</v>
      </c>
      <c r="AF40" s="5">
        <v>75.27</v>
      </c>
      <c r="AH40" s="4">
        <v>45373</v>
      </c>
      <c r="AI40" s="5">
        <v>213.94000000000005</v>
      </c>
      <c r="AJ40" s="5">
        <v>75.27</v>
      </c>
      <c r="AL40" s="4">
        <v>45373</v>
      </c>
      <c r="AM40" s="5">
        <v>-729.35</v>
      </c>
      <c r="AN40" s="5">
        <v>74.37</v>
      </c>
      <c r="AP40" s="4">
        <v>45373</v>
      </c>
      <c r="AQ40" s="5">
        <v>-431.42000000000007</v>
      </c>
    </row>
    <row r="41" spans="2:43" x14ac:dyDescent="0.3">
      <c r="B41" s="4">
        <v>45374</v>
      </c>
      <c r="C41" s="5">
        <v>218.14</v>
      </c>
      <c r="D41" s="5">
        <v>24.26</v>
      </c>
      <c r="F41" s="4">
        <v>45374</v>
      </c>
      <c r="G41" s="5">
        <v>-213.2</v>
      </c>
      <c r="H41" s="5">
        <v>69.010000000000005</v>
      </c>
      <c r="J41" s="4">
        <v>45374</v>
      </c>
      <c r="K41" s="5">
        <v>46.45</v>
      </c>
      <c r="L41" s="5">
        <v>1.91</v>
      </c>
      <c r="N41" s="4">
        <v>45374</v>
      </c>
      <c r="O41" s="5">
        <v>1998.68</v>
      </c>
      <c r="P41" s="5">
        <v>207.98</v>
      </c>
      <c r="R41" s="4">
        <v>45374</v>
      </c>
      <c r="S41" s="5">
        <v>8500.19</v>
      </c>
      <c r="T41" s="5">
        <v>156.99</v>
      </c>
      <c r="V41" s="4">
        <v>45374</v>
      </c>
      <c r="W41" s="5">
        <v>42.9</v>
      </c>
      <c r="X41" s="5">
        <v>3.13</v>
      </c>
      <c r="Z41" s="4">
        <v>45374</v>
      </c>
      <c r="AA41" s="5">
        <v>104.77000000000004</v>
      </c>
      <c r="AB41" s="5">
        <v>102.56</v>
      </c>
      <c r="AD41" s="4">
        <v>45374</v>
      </c>
      <c r="AE41" s="5">
        <v>126.82000000000005</v>
      </c>
      <c r="AF41" s="5">
        <v>58.91</v>
      </c>
      <c r="AH41" s="4">
        <v>45374</v>
      </c>
      <c r="AI41" s="5">
        <v>126.82000000000005</v>
      </c>
      <c r="AJ41" s="5">
        <v>58.91</v>
      </c>
      <c r="AL41" s="4">
        <v>45374</v>
      </c>
      <c r="AM41" s="5">
        <v>-556.04</v>
      </c>
      <c r="AN41" s="5">
        <v>104.38</v>
      </c>
      <c r="AP41" s="4">
        <v>45374</v>
      </c>
      <c r="AQ41" s="5">
        <v>-681</v>
      </c>
    </row>
    <row r="42" spans="2:43" x14ac:dyDescent="0.3">
      <c r="B42" s="4">
        <v>45375</v>
      </c>
      <c r="C42" s="5">
        <v>229.67</v>
      </c>
      <c r="D42" s="5">
        <v>39.31</v>
      </c>
      <c r="F42" s="4">
        <v>45375</v>
      </c>
      <c r="G42" s="5">
        <v>-134.91999999999999</v>
      </c>
      <c r="H42" s="5">
        <v>50.49</v>
      </c>
      <c r="J42" s="4">
        <v>45375</v>
      </c>
      <c r="K42" s="5">
        <v>46.75</v>
      </c>
      <c r="L42" s="5">
        <v>2.86</v>
      </c>
      <c r="N42" s="4">
        <v>45375</v>
      </c>
      <c r="O42" s="5">
        <v>2001.73</v>
      </c>
      <c r="P42" s="5">
        <v>284.85000000000002</v>
      </c>
      <c r="R42" s="4">
        <v>45375</v>
      </c>
      <c r="S42" s="5">
        <v>9500.23</v>
      </c>
      <c r="T42" s="5">
        <v>197.24</v>
      </c>
      <c r="V42" s="4">
        <v>45375</v>
      </c>
      <c r="W42" s="5">
        <v>50.53</v>
      </c>
      <c r="X42" s="5">
        <v>3.11</v>
      </c>
      <c r="Z42" s="4">
        <v>45375</v>
      </c>
      <c r="AA42" s="5">
        <v>155.54</v>
      </c>
      <c r="AB42" s="5">
        <v>90.94</v>
      </c>
      <c r="AD42" s="4">
        <v>45375</v>
      </c>
      <c r="AE42" s="5">
        <v>157.75</v>
      </c>
      <c r="AF42" s="5">
        <v>75.960000000000008</v>
      </c>
      <c r="AH42" s="4">
        <v>45375</v>
      </c>
      <c r="AI42" s="5">
        <v>157.75</v>
      </c>
      <c r="AJ42" s="5">
        <v>75.960000000000008</v>
      </c>
      <c r="AL42" s="4">
        <v>45375</v>
      </c>
      <c r="AM42" s="5">
        <v>-675.07</v>
      </c>
      <c r="AN42" s="5">
        <v>90.59</v>
      </c>
      <c r="AP42" s="4">
        <v>45375</v>
      </c>
      <c r="AQ42" s="5">
        <v>-569.70000000000005</v>
      </c>
    </row>
    <row r="43" spans="2:43" x14ac:dyDescent="0.3">
      <c r="B43" s="4">
        <v>45376</v>
      </c>
      <c r="C43" s="5">
        <v>281.88</v>
      </c>
      <c r="D43" s="5">
        <v>83.98</v>
      </c>
      <c r="F43" s="4">
        <v>45376</v>
      </c>
      <c r="G43" s="5">
        <v>-209.3</v>
      </c>
      <c r="H43" s="5">
        <v>53.67</v>
      </c>
      <c r="J43" s="4">
        <v>45376</v>
      </c>
      <c r="K43" s="5">
        <v>46.14</v>
      </c>
      <c r="L43" s="5">
        <v>2.0499999999999998</v>
      </c>
      <c r="N43" s="4">
        <v>45376</v>
      </c>
      <c r="O43" s="5">
        <v>2001.54</v>
      </c>
      <c r="P43" s="5">
        <v>164.18</v>
      </c>
      <c r="R43" s="4">
        <v>45376</v>
      </c>
      <c r="S43" s="5">
        <v>8497.0499999999993</v>
      </c>
      <c r="T43" s="5">
        <v>183.88</v>
      </c>
      <c r="V43" s="4">
        <v>45376</v>
      </c>
      <c r="W43" s="5">
        <v>41.96</v>
      </c>
      <c r="X43" s="5">
        <v>1.73</v>
      </c>
      <c r="Z43" s="4">
        <v>45376</v>
      </c>
      <c r="AA43" s="5">
        <v>85.159999999999968</v>
      </c>
      <c r="AB43" s="5">
        <v>113.69</v>
      </c>
      <c r="AD43" s="4">
        <v>45376</v>
      </c>
      <c r="AE43" s="5">
        <v>121.59999999999991</v>
      </c>
      <c r="AF43" s="5">
        <v>113.53999999999999</v>
      </c>
      <c r="AH43" s="4">
        <v>45376</v>
      </c>
      <c r="AI43" s="5">
        <v>121.59999999999991</v>
      </c>
      <c r="AJ43" s="5">
        <v>113.53999999999999</v>
      </c>
      <c r="AL43" s="4">
        <v>45376</v>
      </c>
      <c r="AM43" s="5">
        <v>-508.74999999999994</v>
      </c>
      <c r="AN43" s="5">
        <v>111.30000000000001</v>
      </c>
      <c r="AP43" s="4">
        <v>45376</v>
      </c>
      <c r="AQ43" s="5">
        <v>-991.04000000000008</v>
      </c>
    </row>
    <row r="44" spans="2:43" x14ac:dyDescent="0.3">
      <c r="B44" s="4">
        <v>45377</v>
      </c>
      <c r="C44" s="5">
        <v>188.10500000000002</v>
      </c>
      <c r="D44" s="5">
        <v>90.924999999999997</v>
      </c>
      <c r="F44" s="4">
        <v>45377</v>
      </c>
      <c r="G44" s="5">
        <v>-281.21000000000004</v>
      </c>
      <c r="H44" s="5">
        <v>127.89999999999999</v>
      </c>
      <c r="J44" s="4">
        <v>45377</v>
      </c>
      <c r="K44" s="5">
        <v>45.265000000000001</v>
      </c>
      <c r="L44" s="5">
        <v>6.15</v>
      </c>
      <c r="N44" s="4">
        <v>45377</v>
      </c>
      <c r="O44" s="5">
        <v>1897.48</v>
      </c>
      <c r="P44" s="5">
        <v>343.44</v>
      </c>
      <c r="R44" s="4">
        <v>45377</v>
      </c>
      <c r="S44" s="5">
        <v>9653.2000000000007</v>
      </c>
      <c r="T44" s="5">
        <v>158.63999999999999</v>
      </c>
      <c r="V44" s="4">
        <v>45377</v>
      </c>
      <c r="W44" s="5">
        <v>50.825000000000003</v>
      </c>
      <c r="X44" s="5">
        <v>2.3049999999999997</v>
      </c>
      <c r="Z44" s="4">
        <v>45377</v>
      </c>
      <c r="AA44" s="5">
        <v>138.56</v>
      </c>
      <c r="AB44" s="5">
        <v>132.41499999999999</v>
      </c>
      <c r="AD44" s="4">
        <v>45377</v>
      </c>
      <c r="AE44" s="5">
        <v>336.28</v>
      </c>
      <c r="AF44" s="5">
        <v>255.95999999999998</v>
      </c>
      <c r="AH44" s="4">
        <v>45377</v>
      </c>
      <c r="AI44" s="5">
        <v>168.14</v>
      </c>
      <c r="AJ44" s="5">
        <v>127.97999999999999</v>
      </c>
      <c r="AL44" s="4">
        <v>45377</v>
      </c>
      <c r="AM44" s="5">
        <v>-652.83999999999992</v>
      </c>
      <c r="AN44" s="5">
        <v>130.32499999999999</v>
      </c>
      <c r="AP44" s="4">
        <v>45377</v>
      </c>
      <c r="AQ44" s="5">
        <v>-782.88499999999999</v>
      </c>
    </row>
    <row r="45" spans="2:43" x14ac:dyDescent="0.3">
      <c r="B45" s="4">
        <v>45378</v>
      </c>
      <c r="C45" s="5">
        <v>199.34</v>
      </c>
      <c r="D45" s="5">
        <v>9.39</v>
      </c>
      <c r="F45" s="4">
        <v>45378</v>
      </c>
      <c r="G45" s="5">
        <v>-60.43</v>
      </c>
      <c r="H45" s="5">
        <v>41.02</v>
      </c>
      <c r="J45" s="4">
        <v>45378</v>
      </c>
      <c r="K45" s="5">
        <v>43.1</v>
      </c>
      <c r="L45" s="5">
        <v>4.5599999999999996</v>
      </c>
      <c r="N45" s="4">
        <v>45378</v>
      </c>
      <c r="O45" s="5">
        <v>1801.24</v>
      </c>
      <c r="P45" s="5">
        <v>321.29000000000002</v>
      </c>
      <c r="R45" s="4">
        <v>45378</v>
      </c>
      <c r="S45" s="5">
        <v>8498.44</v>
      </c>
      <c r="T45" s="5">
        <v>153.69999999999999</v>
      </c>
      <c r="V45" s="4">
        <v>45378</v>
      </c>
      <c r="W45" s="5">
        <v>48.95</v>
      </c>
      <c r="X45" s="5">
        <v>2.93</v>
      </c>
      <c r="Z45" s="4">
        <v>45378</v>
      </c>
      <c r="AA45" s="5">
        <v>163.81</v>
      </c>
      <c r="AB45" s="5">
        <v>57.040000000000006</v>
      </c>
      <c r="AD45" s="4">
        <v>45378</v>
      </c>
      <c r="AE45" s="5">
        <v>135.20000000000005</v>
      </c>
      <c r="AF45" s="5">
        <v>27.96</v>
      </c>
      <c r="AH45" s="4">
        <v>45378</v>
      </c>
      <c r="AI45" s="5">
        <v>135.20000000000005</v>
      </c>
      <c r="AJ45" s="5">
        <v>27.96</v>
      </c>
      <c r="AL45" s="4">
        <v>45378</v>
      </c>
      <c r="AM45" s="5">
        <v>-649.7700000000001</v>
      </c>
      <c r="AN45" s="5">
        <v>57.010000000000005</v>
      </c>
      <c r="AP45" s="4">
        <v>45378</v>
      </c>
      <c r="AQ45" s="5">
        <v>-192.88000000000011</v>
      </c>
    </row>
    <row r="46" spans="2:43" x14ac:dyDescent="0.3">
      <c r="B46" s="3" t="s">
        <v>64</v>
      </c>
      <c r="C46" s="5">
        <v>178.3496428571429</v>
      </c>
      <c r="D46" s="5">
        <v>27.661428571428576</v>
      </c>
      <c r="F46" s="3" t="s">
        <v>64</v>
      </c>
      <c r="G46" s="5">
        <v>-9689.7799999999988</v>
      </c>
      <c r="H46" s="5">
        <v>3998.8999999999992</v>
      </c>
      <c r="J46" s="3" t="s">
        <v>64</v>
      </c>
      <c r="K46" s="5">
        <v>46.973214285714285</v>
      </c>
      <c r="L46" s="5">
        <v>4.024464285714286</v>
      </c>
      <c r="N46" s="3" t="s">
        <v>64</v>
      </c>
      <c r="O46" s="5">
        <v>1990.9825000000003</v>
      </c>
      <c r="P46" s="5">
        <v>210.75892857142861</v>
      </c>
      <c r="R46" s="3" t="s">
        <v>64</v>
      </c>
      <c r="S46" s="5">
        <v>8483.4671428571419</v>
      </c>
      <c r="T46" s="5">
        <v>167.01321428571424</v>
      </c>
      <c r="V46" s="3" t="s">
        <v>64</v>
      </c>
      <c r="W46" s="5">
        <v>46.664821428571443</v>
      </c>
      <c r="X46" s="5">
        <v>4.4873214285714287</v>
      </c>
      <c r="Z46" s="3" t="s">
        <v>64</v>
      </c>
      <c r="AA46" s="5">
        <v>163.3278571428572</v>
      </c>
      <c r="AB46" s="5">
        <v>125.90374999999999</v>
      </c>
      <c r="AD46" s="3" t="s">
        <v>64</v>
      </c>
      <c r="AE46" s="5">
        <v>7508.4200000000019</v>
      </c>
      <c r="AF46" s="5">
        <v>6521.4299999999994</v>
      </c>
      <c r="AH46" s="3" t="s">
        <v>64</v>
      </c>
      <c r="AI46" s="5">
        <v>134.07892857142861</v>
      </c>
      <c r="AJ46" s="5">
        <v>116.45410714285715</v>
      </c>
      <c r="AL46" s="3" t="s">
        <v>64</v>
      </c>
      <c r="AM46" s="5">
        <v>-652.64535714285705</v>
      </c>
      <c r="AN46" s="5">
        <v>132.52500000000001</v>
      </c>
      <c r="AP46" s="3" t="s">
        <v>64</v>
      </c>
      <c r="AQ46" s="5">
        <v>-396.60071428571433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36BFB-DDAF-4A32-B359-6360D2749EB5}">
  <dimension ref="A1"/>
  <sheetViews>
    <sheetView tabSelected="1" topLeftCell="A73" workbookViewId="0">
      <selection activeCell="P94" sqref="P9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Carruthers</dc:creator>
  <cp:lastModifiedBy>Andrew Carruthers</cp:lastModifiedBy>
  <dcterms:created xsi:type="dcterms:W3CDTF">2024-03-27T13:51:06Z</dcterms:created>
  <dcterms:modified xsi:type="dcterms:W3CDTF">2024-04-26T16:02:38Z</dcterms:modified>
</cp:coreProperties>
</file>