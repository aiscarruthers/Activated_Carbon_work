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ruther\bin\Scripts\Optimiser\"/>
    </mc:Choice>
  </mc:AlternateContent>
  <xr:revisionPtr revIDLastSave="0" documentId="13_ncr:9_{76A73E1D-4E4D-4CF6-9243-6C3F51419A21}" xr6:coauthVersionLast="47" xr6:coauthVersionMax="47" xr10:uidLastSave="{00000000-0000-0000-0000-000000000000}"/>
  <bookViews>
    <workbookView xWindow="-28920" yWindow="-120" windowWidth="29040" windowHeight="17520" xr2:uid="{C432D448-E571-4496-A9ED-921D3B5A23D5}"/>
  </bookViews>
  <sheets>
    <sheet name="H3PO4_conductivity_curve" sheetId="1" r:id="rId1"/>
  </sheets>
  <definedNames>
    <definedName name="_xlnm._FilterDatabase" localSheetId="0" hidden="1">H3PO4_conductivity_curve!$A$1:$B$16</definedName>
  </definedNames>
  <calcPr calcId="0"/>
</workbook>
</file>

<file path=xl/calcChain.xml><?xml version="1.0" encoding="utf-8"?>
<calcChain xmlns="http://schemas.openxmlformats.org/spreadsheetml/2006/main">
  <c r="F21" i="1" l="1" a="1"/>
  <c r="F21" i="1" s="1"/>
  <c r="F22" i="1" a="1"/>
  <c r="F22" i="1" s="1"/>
  <c r="F23" i="1" a="1"/>
  <c r="F23" i="1"/>
  <c r="F24" i="1" a="1"/>
  <c r="F24" i="1" s="1"/>
  <c r="F25" i="1" a="1"/>
  <c r="F25" i="1" s="1"/>
  <c r="F26" i="1" a="1"/>
  <c r="F26" i="1"/>
  <c r="F27" i="1" a="1"/>
  <c r="F27" i="1" s="1"/>
  <c r="F28" i="1" a="1"/>
  <c r="F28" i="1" s="1"/>
  <c r="F29" i="1" a="1"/>
  <c r="F29" i="1"/>
  <c r="F30" i="1" a="1"/>
  <c r="F30" i="1" s="1"/>
  <c r="F31" i="1" a="1"/>
  <c r="F31" i="1" s="1"/>
  <c r="F32" i="1" a="1"/>
  <c r="F32" i="1"/>
  <c r="F33" i="1" a="1"/>
  <c r="F33" i="1" s="1"/>
  <c r="F34" i="1" a="1"/>
  <c r="F34" i="1" s="1"/>
  <c r="F35" i="1" a="1"/>
  <c r="F35" i="1"/>
  <c r="F36" i="1" a="1"/>
  <c r="F36" i="1" s="1"/>
  <c r="F37" i="1" a="1"/>
  <c r="F37" i="1" s="1"/>
  <c r="F38" i="1" a="1"/>
  <c r="F38" i="1"/>
  <c r="F39" i="1" a="1"/>
  <c r="F39" i="1" s="1"/>
  <c r="F40" i="1" a="1"/>
  <c r="F40" i="1" s="1"/>
  <c r="F41" i="1" a="1"/>
  <c r="F41" i="1"/>
  <c r="F42" i="1" a="1"/>
  <c r="F42" i="1" s="1"/>
  <c r="F43" i="1" a="1"/>
  <c r="F43" i="1" s="1"/>
  <c r="F44" i="1" a="1"/>
  <c r="F44" i="1"/>
  <c r="F45" i="1" a="1"/>
  <c r="F45" i="1" s="1"/>
  <c r="F46" i="1" a="1"/>
  <c r="F46" i="1" s="1"/>
  <c r="F47" i="1" a="1"/>
  <c r="F47" i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/>
  <c r="F54" i="1" a="1"/>
  <c r="F54" i="1" s="1"/>
  <c r="F55" i="1" a="1"/>
  <c r="F55" i="1" s="1"/>
  <c r="F56" i="1" a="1"/>
  <c r="F56" i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/>
  <c r="F63" i="1" a="1"/>
  <c r="F63" i="1" s="1"/>
  <c r="F64" i="1" a="1"/>
  <c r="F64" i="1" s="1"/>
  <c r="F65" i="1" a="1"/>
  <c r="F65" i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20" i="1" a="1"/>
  <c r="F20" i="1" s="1"/>
  <c r="E20" i="1" a="1"/>
  <c r="E20" i="1" s="1"/>
  <c r="H7" i="1" a="1"/>
  <c r="H7" i="1" s="1"/>
  <c r="H5" i="1" a="1"/>
  <c r="H5" i="1" s="1"/>
  <c r="C86" i="1" l="1" a="1"/>
  <c r="C86" i="1" s="1"/>
  <c r="C66" i="1" a="1"/>
  <c r="C66" i="1" s="1"/>
  <c r="C97" i="1" a="1"/>
  <c r="C97" i="1" s="1"/>
  <c r="C107" i="1" a="1"/>
  <c r="C107" i="1" s="1"/>
  <c r="C118" i="1" a="1"/>
  <c r="C118" i="1" s="1"/>
  <c r="C4" i="1" a="1"/>
  <c r="C4" i="1" s="1"/>
  <c r="C16" i="1" a="1"/>
  <c r="C16" i="1" s="1"/>
  <c r="C31" i="1" a="1"/>
  <c r="C31" i="1" s="1"/>
  <c r="C43" i="1" a="1"/>
  <c r="C43" i="1" s="1"/>
  <c r="C55" i="1" a="1"/>
  <c r="C55" i="1" s="1"/>
  <c r="C67" i="1" a="1"/>
  <c r="C67" i="1" s="1"/>
  <c r="C77" i="1" a="1"/>
  <c r="C77" i="1" s="1"/>
  <c r="C88" i="1" a="1"/>
  <c r="C88" i="1" s="1"/>
  <c r="C98" i="1" a="1"/>
  <c r="C98" i="1" s="1"/>
  <c r="C108" i="1" a="1"/>
  <c r="C108" i="1" s="1"/>
  <c r="C41" i="1" a="1"/>
  <c r="C41" i="1" s="1"/>
  <c r="C54" i="1" a="1"/>
  <c r="C54" i="1" s="1"/>
  <c r="C5" i="1" a="1"/>
  <c r="C5" i="1" s="1"/>
  <c r="C20" i="1" a="1"/>
  <c r="C20" i="1" s="1"/>
  <c r="C32" i="1" a="1"/>
  <c r="C32" i="1" s="1"/>
  <c r="C44" i="1" a="1"/>
  <c r="C44" i="1" s="1"/>
  <c r="C56" i="1" a="1"/>
  <c r="C56" i="1" s="1"/>
  <c r="C68" i="1" a="1"/>
  <c r="C68" i="1" s="1"/>
  <c r="C78" i="1" a="1"/>
  <c r="C78" i="1" s="1"/>
  <c r="C99" i="1" a="1"/>
  <c r="C99" i="1" s="1"/>
  <c r="C109" i="1" a="1"/>
  <c r="C109" i="1" s="1"/>
  <c r="C119" i="1" a="1"/>
  <c r="C119" i="1" s="1"/>
  <c r="C29" i="1" a="1"/>
  <c r="C29" i="1" s="1"/>
  <c r="C42" i="1" a="1"/>
  <c r="C42" i="1" s="1"/>
  <c r="C87" i="1" a="1"/>
  <c r="C87" i="1" s="1"/>
  <c r="C6" i="1" a="1"/>
  <c r="C6" i="1" s="1"/>
  <c r="C21" i="1" a="1"/>
  <c r="C21" i="1" s="1"/>
  <c r="C33" i="1" a="1"/>
  <c r="C33" i="1" s="1"/>
  <c r="C45" i="1" a="1"/>
  <c r="C45" i="1" s="1"/>
  <c r="C57" i="1" a="1"/>
  <c r="C57" i="1" s="1"/>
  <c r="C69" i="1" a="1"/>
  <c r="C69" i="1" s="1"/>
  <c r="C79" i="1" a="1"/>
  <c r="C79" i="1" s="1"/>
  <c r="C89" i="1" a="1"/>
  <c r="C89" i="1" s="1"/>
  <c r="C100" i="1" a="1"/>
  <c r="C100" i="1" s="1"/>
  <c r="C110" i="1" a="1"/>
  <c r="C110" i="1" s="1"/>
  <c r="C120" i="1" a="1"/>
  <c r="C120" i="1" s="1"/>
  <c r="C76" i="1" a="1"/>
  <c r="C76" i="1" s="1"/>
  <c r="C70" i="1" a="1"/>
  <c r="C70" i="1" s="1"/>
  <c r="C65" i="1" a="1"/>
  <c r="C65" i="1" s="1"/>
  <c r="C7" i="1" a="1"/>
  <c r="C7" i="1" s="1"/>
  <c r="C58" i="1" a="1"/>
  <c r="C58" i="1" s="1"/>
  <c r="C80" i="1" a="1"/>
  <c r="C80" i="1" s="1"/>
  <c r="C90" i="1" a="1"/>
  <c r="C90" i="1" s="1"/>
  <c r="C111" i="1" a="1"/>
  <c r="C111" i="1" s="1"/>
  <c r="C8" i="1" a="1"/>
  <c r="C8" i="1" s="1"/>
  <c r="C23" i="1" a="1"/>
  <c r="C23" i="1" s="1"/>
  <c r="C35" i="1" a="1"/>
  <c r="C35" i="1" s="1"/>
  <c r="C47" i="1" a="1"/>
  <c r="C47" i="1" s="1"/>
  <c r="C59" i="1" a="1"/>
  <c r="C59" i="1" s="1"/>
  <c r="C81" i="1" a="1"/>
  <c r="C81" i="1" s="1"/>
  <c r="C91" i="1" a="1"/>
  <c r="C91" i="1" s="1"/>
  <c r="C101" i="1" a="1"/>
  <c r="C101" i="1" s="1"/>
  <c r="C112" i="1" a="1"/>
  <c r="C112" i="1" s="1"/>
  <c r="C96" i="1" a="1"/>
  <c r="C96" i="1" s="1"/>
  <c r="C9" i="1" a="1"/>
  <c r="C9" i="1" s="1"/>
  <c r="C36" i="1" a="1"/>
  <c r="C36" i="1" s="1"/>
  <c r="C60" i="1" a="1"/>
  <c r="C60" i="1" s="1"/>
  <c r="C82" i="1" a="1"/>
  <c r="C82" i="1" s="1"/>
  <c r="C102" i="1" a="1"/>
  <c r="C102" i="1" s="1"/>
  <c r="C53" i="1" a="1"/>
  <c r="C53" i="1" s="1"/>
  <c r="C30" i="1" a="1"/>
  <c r="C30" i="1" s="1"/>
  <c r="C46" i="1" a="1"/>
  <c r="C46" i="1" s="1"/>
  <c r="C24" i="1" a="1"/>
  <c r="C24" i="1" s="1"/>
  <c r="C48" i="1" a="1"/>
  <c r="C48" i="1" s="1"/>
  <c r="C71" i="1" a="1"/>
  <c r="C71" i="1" s="1"/>
  <c r="C92" i="1" a="1"/>
  <c r="C92" i="1" s="1"/>
  <c r="C10" i="1" a="1"/>
  <c r="C10" i="1" s="1"/>
  <c r="C25" i="1" a="1"/>
  <c r="C25" i="1" s="1"/>
  <c r="C37" i="1" a="1"/>
  <c r="C37" i="1" s="1"/>
  <c r="C49" i="1" a="1"/>
  <c r="C49" i="1" s="1"/>
  <c r="C61" i="1" a="1"/>
  <c r="C61" i="1" s="1"/>
  <c r="C72" i="1" a="1"/>
  <c r="C72" i="1" s="1"/>
  <c r="C93" i="1" a="1"/>
  <c r="C93" i="1" s="1"/>
  <c r="C103" i="1" a="1"/>
  <c r="C103" i="1" s="1"/>
  <c r="C113" i="1" a="1"/>
  <c r="C113" i="1" s="1"/>
  <c r="C117" i="1" a="1"/>
  <c r="C117" i="1" s="1"/>
  <c r="C11" i="1" a="1"/>
  <c r="C11" i="1" s="1"/>
  <c r="C38" i="1" a="1"/>
  <c r="C38" i="1" s="1"/>
  <c r="C62" i="1" a="1"/>
  <c r="C62" i="1" s="1"/>
  <c r="C94" i="1" a="1"/>
  <c r="C94" i="1" s="1"/>
  <c r="C114" i="1" a="1"/>
  <c r="C114" i="1" s="1"/>
  <c r="C2" i="1" a="1"/>
  <c r="C2" i="1" s="1"/>
  <c r="C15" i="1" a="1"/>
  <c r="C15" i="1" s="1"/>
  <c r="C34" i="1" a="1"/>
  <c r="C34" i="1" s="1"/>
  <c r="C26" i="1" a="1"/>
  <c r="C26" i="1" s="1"/>
  <c r="C50" i="1" a="1"/>
  <c r="C50" i="1" s="1"/>
  <c r="C73" i="1" a="1"/>
  <c r="C73" i="1" s="1"/>
  <c r="C83" i="1" a="1"/>
  <c r="C83" i="1" s="1"/>
  <c r="C104" i="1" a="1"/>
  <c r="C104" i="1" s="1"/>
  <c r="C12" i="1" a="1"/>
  <c r="C12" i="1" s="1"/>
  <c r="C27" i="1" a="1"/>
  <c r="C27" i="1" s="1"/>
  <c r="C39" i="1" a="1"/>
  <c r="C39" i="1" s="1"/>
  <c r="C51" i="1" a="1"/>
  <c r="C51" i="1" s="1"/>
  <c r="C63" i="1" a="1"/>
  <c r="C63" i="1" s="1"/>
  <c r="C74" i="1" a="1"/>
  <c r="C74" i="1" s="1"/>
  <c r="C84" i="1" a="1"/>
  <c r="C84" i="1" s="1"/>
  <c r="C105" i="1" a="1"/>
  <c r="C105" i="1" s="1"/>
  <c r="C115" i="1" a="1"/>
  <c r="C115" i="1" s="1"/>
  <c r="C14" i="1" a="1"/>
  <c r="C14" i="1" s="1"/>
  <c r="C3" i="1" a="1"/>
  <c r="C3" i="1" s="1"/>
  <c r="C22" i="1" a="1"/>
  <c r="C22" i="1" s="1"/>
  <c r="C13" i="1" a="1"/>
  <c r="C13" i="1" s="1"/>
  <c r="C28" i="1" a="1"/>
  <c r="C28" i="1" s="1"/>
  <c r="C40" i="1" a="1"/>
  <c r="C40" i="1" s="1"/>
  <c r="C52" i="1" a="1"/>
  <c r="C52" i="1" s="1"/>
  <c r="C64" i="1" a="1"/>
  <c r="C64" i="1" s="1"/>
  <c r="C75" i="1" a="1"/>
  <c r="C75" i="1" s="1"/>
  <c r="C85" i="1" a="1"/>
  <c r="C85" i="1" s="1"/>
  <c r="C95" i="1" a="1"/>
  <c r="C95" i="1" s="1"/>
  <c r="C106" i="1" a="1"/>
  <c r="C106" i="1" s="1"/>
  <c r="C116" i="1" a="1"/>
  <c r="C116" i="1" s="1"/>
  <c r="H18" i="1" l="1" a="1"/>
  <c r="H18" i="1" l="1"/>
  <c r="E56" i="1" s="1" a="1"/>
  <c r="E56" i="1" s="1"/>
  <c r="E59" i="1" a="1"/>
  <c r="E59" i="1" s="1"/>
  <c r="E22" i="1" a="1"/>
  <c r="E22" i="1" s="1"/>
  <c r="E27" i="1" a="1"/>
  <c r="E27" i="1" s="1"/>
  <c r="E69" i="1" a="1"/>
  <c r="E69" i="1" s="1"/>
  <c r="E54" i="1" a="1"/>
  <c r="E54" i="1" s="1"/>
  <c r="E33" i="1" a="1"/>
  <c r="E33" i="1" s="1"/>
  <c r="E28" i="1" a="1"/>
  <c r="E28" i="1" s="1"/>
  <c r="E66" i="1" a="1"/>
  <c r="E66" i="1" s="1"/>
  <c r="E55" i="1" a="1"/>
  <c r="E55" i="1" s="1"/>
  <c r="E49" i="1" a="1"/>
  <c r="E49" i="1" s="1"/>
  <c r="E26" i="1" a="1"/>
  <c r="E26" i="1" s="1"/>
  <c r="E45" i="1" a="1"/>
  <c r="E45" i="1" s="1"/>
  <c r="E30" i="1" a="1"/>
  <c r="E30" i="1" s="1"/>
  <c r="E58" i="1" a="1"/>
  <c r="E58" i="1" s="1"/>
  <c r="E46" i="1" a="1"/>
  <c r="E46" i="1" s="1"/>
  <c r="E21" i="1" a="1"/>
  <c r="E21" i="1" s="1"/>
  <c r="E39" i="1" a="1"/>
  <c r="E39" i="1" s="1"/>
  <c r="E43" i="1" a="1"/>
  <c r="E43" i="1" s="1"/>
  <c r="E68" i="1" a="1"/>
  <c r="E68" i="1" s="1"/>
  <c r="E70" i="1" a="1"/>
  <c r="E70" i="1" s="1"/>
  <c r="E38" i="1" a="1"/>
  <c r="E38" i="1" s="1"/>
  <c r="E40" i="1" a="1"/>
  <c r="E40" i="1" s="1"/>
  <c r="E53" i="1" a="1"/>
  <c r="E53" i="1" s="1"/>
  <c r="E51" i="1" a="1"/>
  <c r="E51" i="1" s="1"/>
  <c r="E42" i="1" a="1"/>
  <c r="E42" i="1" s="1"/>
  <c r="E29" i="1" a="1"/>
  <c r="E29" i="1" s="1"/>
  <c r="E50" i="1" a="1"/>
  <c r="E50" i="1" s="1"/>
  <c r="E60" i="1" a="1"/>
  <c r="E60" i="1" s="1"/>
  <c r="E37" i="1" a="1"/>
  <c r="E37" i="1" s="1"/>
  <c r="E41" i="1" l="1" a="1"/>
  <c r="E41" i="1" s="1"/>
  <c r="E25" i="1" a="1"/>
  <c r="E25" i="1" s="1"/>
  <c r="E57" i="1" a="1"/>
  <c r="E57" i="1" s="1"/>
  <c r="E62" i="1" a="1"/>
  <c r="E62" i="1" s="1"/>
  <c r="E34" i="1" a="1"/>
  <c r="E34" i="1" s="1"/>
  <c r="E35" i="1" a="1"/>
  <c r="E35" i="1" s="1"/>
  <c r="E48" i="1" a="1"/>
  <c r="E48" i="1" s="1"/>
  <c r="E24" i="1" a="1"/>
  <c r="E24" i="1" s="1"/>
  <c r="E63" i="1" a="1"/>
  <c r="E63" i="1" s="1"/>
  <c r="E44" i="1" a="1"/>
  <c r="E44" i="1" s="1"/>
  <c r="E52" i="1" a="1"/>
  <c r="E52" i="1" s="1"/>
  <c r="E64" i="1" a="1"/>
  <c r="E64" i="1" s="1"/>
  <c r="E36" i="1" a="1"/>
  <c r="E36" i="1" s="1"/>
  <c r="E23" i="1" a="1"/>
  <c r="E23" i="1" s="1"/>
  <c r="E31" i="1" a="1"/>
  <c r="E31" i="1" s="1"/>
  <c r="E65" i="1" a="1"/>
  <c r="E65" i="1" s="1"/>
  <c r="E61" i="1" a="1"/>
  <c r="E61" i="1" s="1"/>
  <c r="E47" i="1" a="1"/>
  <c r="E47" i="1" s="1"/>
  <c r="E67" i="1" a="1"/>
  <c r="E67" i="1" s="1"/>
  <c r="E32" i="1" a="1"/>
  <c r="E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<sst xmlns="http://schemas.openxmlformats.org/spreadsheetml/2006/main" count="9" uniqueCount="9">
  <si>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Weight%</t>
  </si>
  <si>
    <t>microS/cm</t>
  </si>
  <si>
    <t>a0</t>
  </si>
  <si>
    <t>a1</t>
  </si>
  <si>
    <t>a2</t>
  </si>
  <si>
    <t>a3</t>
  </si>
  <si>
    <t>a4</t>
  </si>
  <si>
    <t>a5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</si>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</sst>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H3PO4_conductivity_curve!$B$1</c:f>
              <c:strCache>
                <c:ptCount val="1"/>
                <c:pt idx="0">
                  <c:v>microS/cm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H3PO4_conductivity_curve!$A$2:$A$16</c:f>
              <c:numCache>
                <c:formatCode>General</c:formatCode>
                <c:ptCount val="15"/>
                <c:pt idx="0">
                  <c:v>0</c:v>
                </c:pt>
                <c:pt idx="1">
                  <c:v>1.26146789</c:v>
                </c:pt>
                <c:pt idx="2">
                  <c:v>4.8165137610000004</c:v>
                </c:pt>
                <c:pt idx="3">
                  <c:v>9.7477064220000003</c:v>
                </c:pt>
                <c:pt idx="4">
                  <c:v>14.678899080000001</c:v>
                </c:pt>
                <c:pt idx="5">
                  <c:v>19.610091740000001</c:v>
                </c:pt>
                <c:pt idx="6">
                  <c:v>25.68807339</c:v>
                </c:pt>
                <c:pt idx="7">
                  <c:v>29.701834860000002</c:v>
                </c:pt>
                <c:pt idx="8">
                  <c:v>33.715596329999997</c:v>
                </c:pt>
                <c:pt idx="9">
                  <c:v>39.908256880000003</c:v>
                </c:pt>
                <c:pt idx="10">
                  <c:v>50</c:v>
                </c:pt>
                <c:pt idx="11">
                  <c:v>69.954128440000005</c:v>
                </c:pt>
                <c:pt idx="12">
                  <c:v>80.045871559999995</c:v>
                </c:pt>
                <c:pt idx="13">
                  <c:v>84.977064220000003</c:v>
                </c:pt>
                <c:pt idx="14">
                  <c:v>87.041284399999995</c:v>
                </c:pt>
              </c:numCache>
            </c:numRef>
          </c:xVal>
          <c:yVal>
            <c:numRef>
              <c:f>H3PO4_conductivity_curve!$B$2:$B$16</c:f>
              <c:numCache>
                <c:formatCode>General</c:formatCode>
                <c:ptCount val="15"/>
                <c:pt idx="0">
                  <c:v>0</c:v>
                </c:pt>
                <c:pt idx="1">
                  <c:v>9450</c:v>
                </c:pt>
                <c:pt idx="2">
                  <c:v>33300</c:v>
                </c:pt>
                <c:pt idx="3">
                  <c:v>62550</c:v>
                </c:pt>
                <c:pt idx="4">
                  <c:v>94050</c:v>
                </c:pt>
                <c:pt idx="5">
                  <c:v>125100</c:v>
                </c:pt>
                <c:pt idx="6">
                  <c:v>161100</c:v>
                </c:pt>
                <c:pt idx="7">
                  <c:v>183150</c:v>
                </c:pt>
                <c:pt idx="8">
                  <c:v>201600</c:v>
                </c:pt>
                <c:pt idx="9">
                  <c:v>221400</c:v>
                </c:pt>
                <c:pt idx="10">
                  <c:v>229500</c:v>
                </c:pt>
                <c:pt idx="11">
                  <c:v>158850</c:v>
                </c:pt>
                <c:pt idx="12">
                  <c:v>108450</c:v>
                </c:pt>
                <c:pt idx="13">
                  <c:v>86400</c:v>
                </c:pt>
                <c:pt idx="14">
                  <c:v>78300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A-4027-B36B-B2735D96B04F}"/>
            </c:ext>
          </c:extLst>
        </c:ser>
        <c:ser>
          <c:idx val="1"/>
          <c:order val="1"/>
          <c:tx>
            <c:v>3rd order 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H3PO4_conductivity_curve!$A$2:$A$11</c:f>
              <c:numCache>
                <c:formatCode>General</c:formatCode>
                <c:ptCount val="10"/>
                <c:pt idx="0">
                  <c:v>0</c:v>
                </c:pt>
                <c:pt idx="1">
                  <c:v>1.26146789</c:v>
                </c:pt>
                <c:pt idx="2">
                  <c:v>4.8165137610000004</c:v>
                </c:pt>
                <c:pt idx="3">
                  <c:v>9.7477064220000003</c:v>
                </c:pt>
                <c:pt idx="4">
                  <c:v>14.678899080000001</c:v>
                </c:pt>
                <c:pt idx="5">
                  <c:v>19.610091740000001</c:v>
                </c:pt>
                <c:pt idx="6">
                  <c:v>25.68807339</c:v>
                </c:pt>
                <c:pt idx="7">
                  <c:v>29.701834860000002</c:v>
                </c:pt>
                <c:pt idx="8">
                  <c:v>33.715596329999997</c:v>
                </c:pt>
                <c:pt idx="9">
                  <c:v>39.908256880000003</c:v>
                </c:pt>
              </c:numCache>
            </c:numRef>
          </c:xVal>
          <c:yVal>
            <c:numRef>
              <c:f>H3PO4_conductivity_curve!$C$2:$C$11</c:f>
              <c:numCache>
                <c:formatCode>General</c:formatCode>
                <c:ptCount val="10"/>
                <c:pt idx="0">
                  <c:v>-78.114322369627189</c:v>
                </c:pt>
                <c:pt idx="1">
                  <c:v>9631.8362168197127</c:v>
                </c:pt>
                <c:pt idx="2">
                  <c:v>33043.458744260475</c:v>
                </c:pt>
                <c:pt idx="3">
                  <c:v>62889.182794050896</c:v>
                </c:pt>
                <c:pt idx="4">
                  <c:v>93782.777567286277</c:v>
                </c:pt>
                <c:pt idx="5">
                  <c:v>125106.81426178079</c:v>
                </c:pt>
                <c:pt idx="6">
                  <c:v>161374.07814542568</c:v>
                </c:pt>
                <c:pt idx="7">
                  <c:v>182835.48668916989</c:v>
                </c:pt>
                <c:pt idx="8">
                  <c:v>201725.74692653195</c:v>
                </c:pt>
                <c:pt idx="9">
                  <c:v>221388.73297704407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A-4027-B36B-B2735D96B04F}"/>
            </c:ext>
          </c:extLst>
        </c:ser>
        <c:ser>
          <c:idx val="2"/>
          <c:order val="2"/>
          <c:tx>
            <c:v>check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H3PO4_conductivity_curve!$A$20:$A$60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H3PO4_conductivity_curve!$C$20:$C$60</c:f>
              <c:numCache>
                <c:formatCode>General</c:formatCode>
                <c:ptCount val="41"/>
                <c:pt idx="0">
                  <c:v>-78.114322369627189</c:v>
                </c:pt>
                <c:pt idx="1">
                  <c:v>7705.9893066578425</c:v>
                </c:pt>
                <c:pt idx="2">
                  <c:v>14870.730972077903</c:v>
                </c:pt>
                <c:pt idx="3">
                  <c:v>21582.435198857391</c:v>
                </c:pt>
                <c:pt idx="4">
                  <c:v>27978.012985174224</c:v>
                </c:pt>
                <c:pt idx="5">
                  <c:v>34168.121239674372</c:v>
                </c:pt>
                <c:pt idx="6">
                  <c:v>40240.155279051876</c:v>
                </c:pt>
                <c:pt idx="7">
                  <c:v>46261.074385951913</c:v>
                </c:pt>
                <c:pt idx="8">
                  <c:v>52280.060427197001</c:v>
                </c:pt>
                <c:pt idx="9">
                  <c:v>58331.009532336167</c:v>
                </c:pt>
                <c:pt idx="10">
                  <c:v>64434.856832517289</c:v>
                </c:pt>
                <c:pt idx="11">
                  <c:v>70601.734259682402</c:v>
                </c:pt>
                <c:pt idx="12">
                  <c:v>76832.961406086164</c:v>
                </c:pt>
                <c:pt idx="13">
                  <c:v>83122.869444137294</c:v>
                </c:pt>
                <c:pt idx="14">
                  <c:v>89460.458106563136</c:v>
                </c:pt>
                <c:pt idx="15">
                  <c:v>95830.885726897395</c:v>
                </c:pt>
                <c:pt idx="16">
                  <c:v>102216.7923402906</c:v>
                </c:pt>
                <c:pt idx="17">
                  <c:v>108599.45584464406</c:v>
                </c:pt>
                <c:pt idx="18">
                  <c:v>114959.78122206658</c:v>
                </c:pt>
                <c:pt idx="19">
                  <c:v>121279.12282065439</c:v>
                </c:pt>
                <c:pt idx="20">
                  <c:v>127539.93969659397</c:v>
                </c:pt>
                <c:pt idx="21">
                  <c:v>133726.28401658844</c:v>
                </c:pt>
                <c:pt idx="22">
                  <c:v>139824.12252060606</c:v>
                </c:pt>
                <c:pt idx="23">
                  <c:v>145821.4910449528</c:v>
                </c:pt>
                <c:pt idx="24">
                  <c:v>151708.48210566773</c:v>
                </c:pt>
                <c:pt idx="25">
                  <c:v>157477.0655422406</c:v>
                </c:pt>
                <c:pt idx="26">
                  <c:v>163120.74222165387</c:v>
                </c:pt>
                <c:pt idx="27">
                  <c:v>168634.03080274697</c:v>
                </c:pt>
                <c:pt idx="28">
                  <c:v>174011.78756090329</c:v>
                </c:pt>
                <c:pt idx="29">
                  <c:v>179248.35927306148</c:v>
                </c:pt>
                <c:pt idx="30">
                  <c:v>184336.56916304899</c:v>
                </c:pt>
                <c:pt idx="31">
                  <c:v>189266.53590723753</c:v>
                </c:pt>
                <c:pt idx="32">
                  <c:v>194024.3257005245</c:v>
                </c:pt>
                <c:pt idx="33">
                  <c:v>198590.43738263502</c:v>
                </c:pt>
                <c:pt idx="34">
                  <c:v>202938.12062474771</c:v>
                </c:pt>
                <c:pt idx="35">
                  <c:v>207031.52717644436</c:v>
                </c:pt>
                <c:pt idx="36">
                  <c:v>210823.69517297903</c:v>
                </c:pt>
                <c:pt idx="37">
                  <c:v>214254.36650287901</c:v>
                </c:pt>
                <c:pt idx="38">
                  <c:v>217247.63723585726</c:v>
                </c:pt>
                <c:pt idx="39">
                  <c:v>219709.44111105613</c:v>
                </c:pt>
                <c:pt idx="40">
                  <c:v>221524.86608560977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A-4027-B36B-B2735D96B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73279"/>
        <c:axId val="589767039"/>
      </c:scatterChart>
      <c:valAx>
        <c:axId val="5897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67039"/>
        <c:crosses val="autoZero"/>
        <c:crossBetween val="midCat"/>
      </c:valAx>
      <c:valAx>
        <c:axId val="5897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7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H3PO4_conductivity_curve!$B$1</c:f>
              <c:strCache>
                <c:ptCount val="1"/>
                <c:pt idx="0">
                  <c:v>microS/cm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H3PO4_conductivity_curve!$B$2:$B$16</c:f>
              <c:numCache>
                <c:formatCode>General</c:formatCode>
                <c:ptCount val="15"/>
                <c:pt idx="0">
                  <c:v>0</c:v>
                </c:pt>
                <c:pt idx="1">
                  <c:v>9450</c:v>
                </c:pt>
                <c:pt idx="2">
                  <c:v>33300</c:v>
                </c:pt>
                <c:pt idx="3">
                  <c:v>62550</c:v>
                </c:pt>
                <c:pt idx="4">
                  <c:v>94050</c:v>
                </c:pt>
                <c:pt idx="5">
                  <c:v>125100</c:v>
                </c:pt>
                <c:pt idx="6">
                  <c:v>161100</c:v>
                </c:pt>
                <c:pt idx="7">
                  <c:v>183150</c:v>
                </c:pt>
                <c:pt idx="8">
                  <c:v>201600</c:v>
                </c:pt>
                <c:pt idx="9">
                  <c:v>221400</c:v>
                </c:pt>
                <c:pt idx="10">
                  <c:v>229500</c:v>
                </c:pt>
                <c:pt idx="11">
                  <c:v>158850</c:v>
                </c:pt>
                <c:pt idx="12">
                  <c:v>108450</c:v>
                </c:pt>
                <c:pt idx="13">
                  <c:v>86400</c:v>
                </c:pt>
                <c:pt idx="14">
                  <c:v>78300</c:v>
                </c:pt>
              </c:numCache>
            </c:numRef>
          </c:xVal>
          <c:yVal>
            <c:numRef>
              <c:f>H3PO4_conductivity_curve!$A$2:$A$16</c:f>
              <c:numCache>
                <c:formatCode>General</c:formatCode>
                <c:ptCount val="15"/>
                <c:pt idx="0">
                  <c:v>0</c:v>
                </c:pt>
                <c:pt idx="1">
                  <c:v>1.26146789</c:v>
                </c:pt>
                <c:pt idx="2">
                  <c:v>4.8165137610000004</c:v>
                </c:pt>
                <c:pt idx="3">
                  <c:v>9.7477064220000003</c:v>
                </c:pt>
                <c:pt idx="4">
                  <c:v>14.678899080000001</c:v>
                </c:pt>
                <c:pt idx="5">
                  <c:v>19.610091740000001</c:v>
                </c:pt>
                <c:pt idx="6">
                  <c:v>25.68807339</c:v>
                </c:pt>
                <c:pt idx="7">
                  <c:v>29.701834860000002</c:v>
                </c:pt>
                <c:pt idx="8">
                  <c:v>33.715596329999997</c:v>
                </c:pt>
                <c:pt idx="9">
                  <c:v>39.908256880000003</c:v>
                </c:pt>
                <c:pt idx="10">
                  <c:v>50</c:v>
                </c:pt>
                <c:pt idx="11">
                  <c:v>69.954128440000005</c:v>
                </c:pt>
                <c:pt idx="12">
                  <c:v>80.045871559999995</c:v>
                </c:pt>
                <c:pt idx="13">
                  <c:v>84.977064220000003</c:v>
                </c:pt>
                <c:pt idx="14">
                  <c:v>87.041284399999995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5-44BD-83B2-D0E7EA0807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H3PO4_conductivity_curve!$C$20:$C$70</c:f>
              <c:numCache>
                <c:formatCode>General</c:formatCode>
                <c:ptCount val="51"/>
                <c:pt idx="0">
                  <c:v>-78.114322369627189</c:v>
                </c:pt>
                <c:pt idx="1">
                  <c:v>7705.9893066578425</c:v>
                </c:pt>
                <c:pt idx="2">
                  <c:v>14870.730972077903</c:v>
                </c:pt>
                <c:pt idx="3">
                  <c:v>21582.435198857391</c:v>
                </c:pt>
                <c:pt idx="4">
                  <c:v>27978.012985174224</c:v>
                </c:pt>
                <c:pt idx="5">
                  <c:v>34168.121239674372</c:v>
                </c:pt>
                <c:pt idx="6">
                  <c:v>40240.155279051876</c:v>
                </c:pt>
                <c:pt idx="7">
                  <c:v>46261.074385951913</c:v>
                </c:pt>
                <c:pt idx="8">
                  <c:v>52280.060427197001</c:v>
                </c:pt>
                <c:pt idx="9">
                  <c:v>58331.009532336167</c:v>
                </c:pt>
                <c:pt idx="10">
                  <c:v>64434.856832517289</c:v>
                </c:pt>
                <c:pt idx="11">
                  <c:v>70601.734259682402</c:v>
                </c:pt>
                <c:pt idx="12">
                  <c:v>76832.961406086164</c:v>
                </c:pt>
                <c:pt idx="13">
                  <c:v>83122.869444137294</c:v>
                </c:pt>
                <c:pt idx="14">
                  <c:v>89460.458106563136</c:v>
                </c:pt>
                <c:pt idx="15">
                  <c:v>95830.885726897395</c:v>
                </c:pt>
                <c:pt idx="16">
                  <c:v>102216.7923402906</c:v>
                </c:pt>
                <c:pt idx="17">
                  <c:v>108599.45584464406</c:v>
                </c:pt>
                <c:pt idx="18">
                  <c:v>114959.78122206658</c:v>
                </c:pt>
                <c:pt idx="19">
                  <c:v>121279.12282065439</c:v>
                </c:pt>
                <c:pt idx="20">
                  <c:v>127539.93969659397</c:v>
                </c:pt>
                <c:pt idx="21">
                  <c:v>133726.28401658844</c:v>
                </c:pt>
                <c:pt idx="22">
                  <c:v>139824.12252060606</c:v>
                </c:pt>
                <c:pt idx="23">
                  <c:v>145821.4910449528</c:v>
                </c:pt>
                <c:pt idx="24">
                  <c:v>151708.48210566773</c:v>
                </c:pt>
                <c:pt idx="25">
                  <c:v>157477.0655422406</c:v>
                </c:pt>
                <c:pt idx="26">
                  <c:v>163120.74222165387</c:v>
                </c:pt>
                <c:pt idx="27">
                  <c:v>168634.03080274697</c:v>
                </c:pt>
                <c:pt idx="28">
                  <c:v>174011.78756090329</c:v>
                </c:pt>
                <c:pt idx="29">
                  <c:v>179248.35927306148</c:v>
                </c:pt>
                <c:pt idx="30">
                  <c:v>184336.56916304899</c:v>
                </c:pt>
                <c:pt idx="31">
                  <c:v>189266.53590723753</c:v>
                </c:pt>
                <c:pt idx="32">
                  <c:v>194024.3257005245</c:v>
                </c:pt>
                <c:pt idx="33">
                  <c:v>198590.43738263502</c:v>
                </c:pt>
                <c:pt idx="34">
                  <c:v>202938.12062474771</c:v>
                </c:pt>
                <c:pt idx="35">
                  <c:v>207031.52717644436</c:v>
                </c:pt>
                <c:pt idx="36">
                  <c:v>210823.69517297903</c:v>
                </c:pt>
                <c:pt idx="37">
                  <c:v>214254.36650287901</c:v>
                </c:pt>
                <c:pt idx="38">
                  <c:v>217247.63723585726</c:v>
                </c:pt>
                <c:pt idx="39">
                  <c:v>219709.44111105613</c:v>
                </c:pt>
                <c:pt idx="40">
                  <c:v>221524.86608560977</c:v>
                </c:pt>
                <c:pt idx="41">
                  <c:v>222555.30394353642</c:v>
                </c:pt>
                <c:pt idx="42">
                  <c:v>222635.4329649448</c:v>
                </c:pt>
                <c:pt idx="43">
                  <c:v>221570.03365556232</c:v>
                </c:pt>
                <c:pt idx="44">
                  <c:v>219130.63753660698</c:v>
                </c:pt>
                <c:pt idx="45">
                  <c:v>215052.00899494876</c:v>
                </c:pt>
                <c:pt idx="46">
                  <c:v>209028.46019362606</c:v>
                </c:pt>
                <c:pt idx="47">
                  <c:v>200709.99904266733</c:v>
                </c:pt>
                <c:pt idx="48">
                  <c:v>189698.31023023446</c:v>
                </c:pt>
                <c:pt idx="49">
                  <c:v>175542.56931409909</c:v>
                </c:pt>
                <c:pt idx="50">
                  <c:v>157735.08987344475</c:v>
                </c:pt>
              </c:numCache>
            </c:numRef>
          </c:xVal>
          <c:yVal>
            <c:numRef>
              <c:f>H3PO4_conductivity_curve!$E$20:$E$70</c:f>
              <c:numCache>
                <c:formatCode>General</c:formatCode>
                <c:ptCount val="51"/>
                <c:pt idx="0">
                  <c:v>7.4480855704920496E-2</c:v>
                </c:pt>
                <c:pt idx="1">
                  <c:v>0.94212656125807404</c:v>
                </c:pt>
                <c:pt idx="2">
                  <c:v>1.9305476266464341</c:v>
                </c:pt>
                <c:pt idx="3">
                  <c:v>2.9603600893102526</c:v>
                </c:pt>
                <c:pt idx="4">
                  <c:v>3.996477512513894</c:v>
                </c:pt>
                <c:pt idx="5">
                  <c:v>5.0250496362520121</c:v>
                </c:pt>
                <c:pt idx="6">
                  <c:v>6.0420410165491045</c:v>
                </c:pt>
                <c:pt idx="7">
                  <c:v>7.0476553291325059</c:v>
                </c:pt>
                <c:pt idx="8">
                  <c:v>8.0437286561948316</c:v>
                </c:pt>
                <c:pt idx="9">
                  <c:v>9.0326188452349054</c:v>
                </c:pt>
                <c:pt idx="10">
                  <c:v>10.016809756586145</c:v>
                </c:pt>
                <c:pt idx="11">
                  <c:v>10.998804851141056</c:v>
                </c:pt>
                <c:pt idx="12">
                  <c:v>11.981081440260642</c:v>
                </c:pt>
                <c:pt idx="13">
                  <c:v>12.965997179103912</c:v>
                </c:pt>
                <c:pt idx="14">
                  <c:v>13.955619721923089</c:v>
                </c:pt>
                <c:pt idx="15">
                  <c:v>14.951502390751404</c:v>
                </c:pt>
                <c:pt idx="16">
                  <c:v>15.954457533538159</c:v>
                </c:pt>
                <c:pt idx="17">
                  <c:v>16.964387096098577</c:v>
                </c:pt>
                <c:pt idx="18">
                  <c:v>17.980220191361823</c:v>
                </c:pt>
                <c:pt idx="19">
                  <c:v>18.9999856688788</c:v>
                </c:pt>
                <c:pt idx="20">
                  <c:v>20.021020842842269</c:v>
                </c:pt>
                <c:pt idx="21">
                  <c:v>21.040292503269818</c:v>
                </c:pt>
                <c:pt idx="22">
                  <c:v>22.054788351537873</c:v>
                </c:pt>
                <c:pt idx="23">
                  <c:v>23.061928682873049</c:v>
                </c:pt>
                <c:pt idx="24">
                  <c:v>24.059949275183239</c:v>
                </c:pt>
                <c:pt idx="25">
                  <c:v>25.04821452012569</c:v>
                </c:pt>
                <c:pt idx="26">
                  <c:v>26.027430984688664</c:v>
                </c:pt>
                <c:pt idx="27">
                  <c:v>26.999741663495392</c:v>
                </c:pt>
                <c:pt idx="28">
                  <c:v>27.968686605729697</c:v>
                </c:pt>
                <c:pt idx="29">
                  <c:v>28.939013980380548</c:v>
                </c:pt>
                <c:pt idx="30">
                  <c:v>29.91631608846739</c:v>
                </c:pt>
                <c:pt idx="31">
                  <c:v>30.90644821833467</c:v>
                </c:pt>
                <c:pt idx="32">
                  <c:v>31.914667659556535</c:v>
                </c:pt>
                <c:pt idx="33">
                  <c:v>32.944411793857832</c:v>
                </c:pt>
                <c:pt idx="34">
                  <c:v>33.995628508754038</c:v>
                </c:pt>
                <c:pt idx="35">
                  <c:v>35.062595694461166</c:v>
                </c:pt>
                <c:pt idx="36">
                  <c:v>36.131242493139538</c:v>
                </c:pt>
                <c:pt idx="37">
                  <c:v>37.176141371171013</c:v>
                </c:pt>
                <c:pt idx="38">
                  <c:v>38.157602084746891</c:v>
                </c:pt>
                <c:pt idx="39">
                  <c:v>39.019669700039927</c:v>
                </c:pt>
                <c:pt idx="40">
                  <c:v>39.690257018903921</c:v>
                </c:pt>
                <c:pt idx="41">
                  <c:v>40.084970557028321</c:v>
                </c:pt>
                <c:pt idx="42">
                  <c:v>40.116107785581832</c:v>
                </c:pt>
                <c:pt idx="43">
                  <c:v>39.70733981940203</c:v>
                </c:pt>
                <c:pt idx="44">
                  <c:v>38.812242384970915</c:v>
                </c:pt>
                <c:pt idx="45">
                  <c:v>37.430956613308226</c:v>
                </c:pt>
                <c:pt idx="46">
                  <c:v>35.614854346781627</c:v>
                </c:pt>
                <c:pt idx="47">
                  <c:v>33.447337813822102</c:v>
                </c:pt>
                <c:pt idx="48">
                  <c:v>30.995608242716344</c:v>
                </c:pt>
                <c:pt idx="49">
                  <c:v>28.249217979512078</c:v>
                </c:pt>
                <c:pt idx="50">
                  <c:v>25.092692472832862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45-44BD-83B2-D0E7EA0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73279"/>
        <c:axId val="58976703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python_fit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H3PO4_conductivity_curve!$C$20:$C$70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-78.114322369627189</c:v>
                      </c:pt>
                      <c:pt idx="1">
                        <c:v>7705.9893066578425</c:v>
                      </c:pt>
                      <c:pt idx="2">
                        <c:v>14870.730972077903</c:v>
                      </c:pt>
                      <c:pt idx="3">
                        <c:v>21582.435198857391</c:v>
                      </c:pt>
                      <c:pt idx="4">
                        <c:v>27978.012985174224</c:v>
                      </c:pt>
                      <c:pt idx="5">
                        <c:v>34168.121239674372</c:v>
                      </c:pt>
                      <c:pt idx="6">
                        <c:v>40240.155279051876</c:v>
                      </c:pt>
                      <c:pt idx="7">
                        <c:v>46261.074385951913</c:v>
                      </c:pt>
                      <c:pt idx="8">
                        <c:v>52280.060427197001</c:v>
                      </c:pt>
                      <c:pt idx="9">
                        <c:v>58331.009532336167</c:v>
                      </c:pt>
                      <c:pt idx="10">
                        <c:v>64434.856832517289</c:v>
                      </c:pt>
                      <c:pt idx="11">
                        <c:v>70601.734259682402</c:v>
                      </c:pt>
                      <c:pt idx="12">
                        <c:v>76832.961406086164</c:v>
                      </c:pt>
                      <c:pt idx="13">
                        <c:v>83122.869444137294</c:v>
                      </c:pt>
                      <c:pt idx="14">
                        <c:v>89460.458106563136</c:v>
                      </c:pt>
                      <c:pt idx="15">
                        <c:v>95830.885726897395</c:v>
                      </c:pt>
                      <c:pt idx="16">
                        <c:v>102216.7923402906</c:v>
                      </c:pt>
                      <c:pt idx="17">
                        <c:v>108599.45584464406</c:v>
                      </c:pt>
                      <c:pt idx="18">
                        <c:v>114959.78122206658</c:v>
                      </c:pt>
                      <c:pt idx="19">
                        <c:v>121279.12282065439</c:v>
                      </c:pt>
                      <c:pt idx="20">
                        <c:v>127539.93969659397</c:v>
                      </c:pt>
                      <c:pt idx="21">
                        <c:v>133726.28401658844</c:v>
                      </c:pt>
                      <c:pt idx="22">
                        <c:v>139824.12252060606</c:v>
                      </c:pt>
                      <c:pt idx="23">
                        <c:v>145821.4910449528</c:v>
                      </c:pt>
                      <c:pt idx="24">
                        <c:v>151708.48210566773</c:v>
                      </c:pt>
                      <c:pt idx="25">
                        <c:v>157477.0655422406</c:v>
                      </c:pt>
                      <c:pt idx="26">
                        <c:v>163120.74222165387</c:v>
                      </c:pt>
                      <c:pt idx="27">
                        <c:v>168634.03080274697</c:v>
                      </c:pt>
                      <c:pt idx="28">
                        <c:v>174011.78756090329</c:v>
                      </c:pt>
                      <c:pt idx="29">
                        <c:v>179248.35927306148</c:v>
                      </c:pt>
                      <c:pt idx="30">
                        <c:v>184336.56916304899</c:v>
                      </c:pt>
                      <c:pt idx="31">
                        <c:v>189266.53590723753</c:v>
                      </c:pt>
                      <c:pt idx="32">
                        <c:v>194024.3257005245</c:v>
                      </c:pt>
                      <c:pt idx="33">
                        <c:v>198590.43738263502</c:v>
                      </c:pt>
                      <c:pt idx="34">
                        <c:v>202938.12062474771</c:v>
                      </c:pt>
                      <c:pt idx="35">
                        <c:v>207031.52717644436</c:v>
                      </c:pt>
                      <c:pt idx="36">
                        <c:v>210823.69517297903</c:v>
                      </c:pt>
                      <c:pt idx="37">
                        <c:v>214254.36650287901</c:v>
                      </c:pt>
                      <c:pt idx="38">
                        <c:v>217247.63723585726</c:v>
                      </c:pt>
                      <c:pt idx="39">
                        <c:v>219709.44111105613</c:v>
                      </c:pt>
                      <c:pt idx="40">
                        <c:v>221524.86608560977</c:v>
                      </c:pt>
                      <c:pt idx="41">
                        <c:v>222555.30394353642</c:v>
                      </c:pt>
                      <c:pt idx="42">
                        <c:v>222635.4329649448</c:v>
                      </c:pt>
                      <c:pt idx="43">
                        <c:v>221570.03365556232</c:v>
                      </c:pt>
                      <c:pt idx="44">
                        <c:v>219130.63753660698</c:v>
                      </c:pt>
                      <c:pt idx="45">
                        <c:v>215052.00899494876</c:v>
                      </c:pt>
                      <c:pt idx="46">
                        <c:v>209028.46019362606</c:v>
                      </c:pt>
                      <c:pt idx="47">
                        <c:v>200709.99904266733</c:v>
                      </c:pt>
                      <c:pt idx="48">
                        <c:v>189698.31023023446</c:v>
                      </c:pt>
                      <c:pt idx="49">
                        <c:v>175542.56931409909</c:v>
                      </c:pt>
                      <c:pt idx="50">
                        <c:v>157735.08987344475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H3PO4_conductivity_curve!$F$20:$F$70</c15:sqref>
                        </c15:formulaRef>
                      </c:ext>
                    </c:extLst>
                    <c:numCache>
                      <c:formatCode>0.00E+00</c:formatCode>
                      <c:ptCount val="51"/>
                      <c:pt idx="0">
                        <c:v>-0.12163032657040598</c:v>
                      </c:pt>
                      <c:pt idx="1">
                        <c:v>-6022.8592464099211</c:v>
                      </c:pt>
                      <c:pt idx="2">
                        <c:v>-311142.58828434738</c:v>
                      </c:pt>
                      <c:pt idx="3">
                        <c:v>-2907955.6612482914</c:v>
                      </c:pt>
                      <c:pt idx="4">
                        <c:v>-13800510.964761311</c:v>
                      </c:pt>
                      <c:pt idx="5">
                        <c:v>-45785275.49367252</c:v>
                      </c:pt>
                      <c:pt idx="6">
                        <c:v>-122168906.57041666</c:v>
                      </c:pt>
                      <c:pt idx="7">
                        <c:v>-282032845.29768503</c:v>
                      </c:pt>
                      <c:pt idx="8">
                        <c:v>-587521660.87021554</c:v>
                      </c:pt>
                      <c:pt idx="9">
                        <c:v>-1133459339.9371448</c:v>
                      </c:pt>
                      <c:pt idx="10">
                        <c:v>-2059375290.192482</c:v>
                      </c:pt>
                      <c:pt idx="11">
                        <c:v>-3563720137.9100604</c:v>
                      </c:pt>
                      <c:pt idx="12">
                        <c:v>-5919673207.5413132</c:v>
                      </c:pt>
                      <c:pt idx="13">
                        <c:v>-9491530466.1407509</c:v>
                      </c:pt>
                      <c:pt idx="14">
                        <c:v>-14750287111.809788</c:v>
                      </c:pt>
                      <c:pt idx="15">
                        <c:v>-22286782529.504257</c:v>
                      </c:pt>
                      <c:pt idx="16">
                        <c:v>-32820740380.586285</c:v>
                      </c:pt>
                      <c:pt idx="17">
                        <c:v>-47204264967.440781</c:v>
                      </c:pt>
                      <c:pt idx="18">
                        <c:v>-66418845779.980713</c:v>
                      </c:pt>
                      <c:pt idx="19">
                        <c:v>-91565611119.222305</c:v>
                      </c:pt>
                      <c:pt idx="20">
                        <c:v>-123849336190.81444</c:v>
                      </c:pt>
                      <c:pt idx="21">
                        <c:v>-164557389565.49118</c:v>
                      </c:pt>
                      <c:pt idx="22">
                        <c:v>-215035224226.40549</c:v>
                      </c:pt>
                      <c:pt idx="23">
                        <c:v>-276660039200.54114</c:v>
                      </c:pt>
                      <c:pt idx="24">
                        <c:v>-350813758856.77875</c:v>
                      </c:pt>
                      <c:pt idx="25">
                        <c:v>-438855467512.78058</c:v>
                      </c:pt>
                      <c:pt idx="26">
                        <c:v>-542091929565.82526</c:v>
                      </c:pt>
                      <c:pt idx="27">
                        <c:v>-661742906384.19971</c:v>
                      </c:pt>
                      <c:pt idx="28">
                        <c:v>-798895778011.8927</c:v>
                      </c:pt>
                      <c:pt idx="29">
                        <c:v>-954441653942.94312</c:v>
                      </c:pt>
                      <c:pt idx="30">
                        <c:v>-1128982927767.2749</c:v>
                      </c:pt>
                      <c:pt idx="31">
                        <c:v>-1322700406488.0049</c:v>
                      </c:pt>
                      <c:pt idx="32">
                        <c:v>-1535167214565.1646</c:v>
                      </c:pt>
                      <c:pt idx="33">
                        <c:v>-1765097415055.418</c:v>
                      </c:pt>
                      <c:pt idx="34">
                        <c:v>-2010020913782.8564</c:v>
                      </c:pt>
                      <c:pt idx="35">
                        <c:v>-2265884474759.5898</c:v>
                      </c:pt>
                      <c:pt idx="36">
                        <c:v>-2526593912374.7798</c:v>
                      </c:pt>
                      <c:pt idx="37">
                        <c:v>-2783537454113.8281</c:v>
                      </c:pt>
                      <c:pt idx="38">
                        <c:v>-3025167332796.1709</c:v>
                      </c:pt>
                      <c:pt idx="39">
                        <c:v>-3236766634109.0386</c:v>
                      </c:pt>
                      <c:pt idx="40">
                        <c:v>-3400587847911.127</c:v>
                      </c:pt>
                      <c:pt idx="41">
                        <c:v>-3496606916141.0894</c:v>
                      </c:pt>
                      <c:pt idx="42">
                        <c:v>-3504167258701.0576</c:v>
                      </c:pt>
                      <c:pt idx="43">
                        <c:v>-3404750129647.6616</c:v>
                      </c:pt>
                      <c:pt idx="44">
                        <c:v>-3185940615430.3169</c:v>
                      </c:pt>
                      <c:pt idx="45">
                        <c:v>-2846295707730.9121</c:v>
                      </c:pt>
                      <c:pt idx="46">
                        <c:v>-2400222012676.6079</c:v>
                      </c:pt>
                      <c:pt idx="47">
                        <c:v>-1881190516865.855</c:v>
                      </c:pt>
                      <c:pt idx="48">
                        <c:v>-1340908890359.2004</c:v>
                      </c:pt>
                      <c:pt idx="49">
                        <c:v>-842001488522.81299</c:v>
                      </c:pt>
                      <c:pt idx="50">
                        <c:v>-443187544538.23962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745-44BD-83B2-D0E7EA080732}"/>
                  </c:ext>
                </c:extLst>
              </c15:ser>
            </c15:filteredScatterSeries>
          </c:ext>
        </c:extLst>
      </c:scatterChart>
      <c:valAx>
        <c:axId val="5897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67039"/>
        <c:crosses val="autoZero"/>
        <c:crossBetween val="midCat"/>
      </c:valAx>
      <c:valAx>
        <c:axId val="5897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7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0</xdr:row>
      <xdr:rowOff>142876</xdr:rowOff>
    </xdr:from>
    <xdr:to>
      <xdr:col>30</xdr:col>
      <xdr:colOff>409575</xdr:colOff>
      <xdr:row>18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2C3C2-D906-F9FE-9E24-5195A4B61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581025</xdr:colOff>
      <xdr:row>26</xdr:row>
      <xdr:rowOff>19050</xdr:rowOff>
    </xdr:from>
    <xdr:to>
      <xdr:col>27</xdr:col>
      <xdr:colOff>523876</xdr:colOff>
      <xdr:row>49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14660-88FD-48E3-BD16-167401B08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0E4F-CE2C-4E22-9536-CBDF9CAF2677}">
  <dimension ref="A1:N120"/>
  <sheetViews>
    <sheetView tabSelected="1" workbookViewId="0">
      <selection activeCell="F20" sqref="F20:F70"/>
    </sheetView>
  </sheetViews>
  <sheetFormatPr defaultRowHeight="15" x14ac:dyDescent="0.25"/>
  <cols>
    <col min="8" max="8" width="12.7109375" bestFit="1" customWidth="1"/>
  </cols>
  <sheetData>
    <row r="1" spans="1:14" x14ac:dyDescent="0.25">
      <c r="A1" t="s">
        <v>0</v>
      </c>
      <c r="B1" t="s">
        <v>1</v>
      </c>
    </row>
    <row r="2" spans="1:14" x14ac:dyDescent="0.25">
      <c r="A2">
        <v>0</v>
      </c>
      <c r="B2">
        <v>0</v>
      </c>
      <c r="C2" cm="1">
        <f t="array" ref="C2">SUM(IFERROR(A2^{6,5,4,3,2,1,0},1)*_xlfn.ANCHORARRAY(H$5))</f>
        <v>-78.114322369627189</v>
      </c>
    </row>
    <row r="3" spans="1:14" x14ac:dyDescent="0.25">
      <c r="A3">
        <v>1.26146789</v>
      </c>
      <c r="B3">
        <v>9450</v>
      </c>
      <c r="C3" cm="1">
        <f t="array" ref="C3">SUM(IFERROR(A3^{6,5,4,3,2,1,0},1)*_xlfn.ANCHORARRAY(H$5))</f>
        <v>9631.8362168197127</v>
      </c>
    </row>
    <row r="4" spans="1:14" x14ac:dyDescent="0.25">
      <c r="A4">
        <v>4.8165137610000004</v>
      </c>
      <c r="B4">
        <v>33300</v>
      </c>
      <c r="C4" cm="1">
        <f t="array" ref="C4">SUM(IFERROR(A4^{6,5,4,3,2,1,0},1)*_xlfn.ANCHORARRAY(H$5))</f>
        <v>33043.458744260475</v>
      </c>
    </row>
    <row r="5" spans="1:14" x14ac:dyDescent="0.25">
      <c r="A5">
        <v>9.7477064220000003</v>
      </c>
      <c r="B5">
        <v>62550</v>
      </c>
      <c r="C5" cm="1">
        <f t="array" ref="C5">SUM(IFERROR(A5^{6,5,4,3,2,1,0},1)*_xlfn.ANCHORARRAY(H$5))</f>
        <v>62889.182794050896</v>
      </c>
      <c r="H5" cm="1">
        <f t="array" ref="H5:N5">LINEST(B$2:B$11,A$2:A$11^{1,2,3,4,5,6},TRUE)</f>
        <v>-2.3186066240790876E-4</v>
      </c>
      <c r="I5">
        <v>2.9806553744094664E-2</v>
      </c>
      <c r="J5">
        <v>-1.5085582105891435</v>
      </c>
      <c r="K5">
        <v>36.047807040688468</v>
      </c>
      <c r="L5">
        <v>-407.70440607727289</v>
      </c>
      <c r="M5">
        <v>8157.2392115815619</v>
      </c>
      <c r="N5">
        <v>-78.114322369627189</v>
      </c>
    </row>
    <row r="6" spans="1:14" x14ac:dyDescent="0.25">
      <c r="A6">
        <v>14.678899080000001</v>
      </c>
      <c r="B6">
        <v>94050</v>
      </c>
      <c r="C6" cm="1">
        <f t="array" ref="C6">SUM(IFERROR(A6^{6,5,4,3,2,1,0},1)*_xlfn.ANCHORARRAY(H$5))</f>
        <v>93782.777567286277</v>
      </c>
    </row>
    <row r="7" spans="1:14" x14ac:dyDescent="0.25">
      <c r="A7">
        <v>19.610091740000001</v>
      </c>
      <c r="B7">
        <v>125100</v>
      </c>
      <c r="C7" cm="1">
        <f t="array" ref="C7">SUM(IFERROR(A7^{6,5,4,3,2,1,0},1)*_xlfn.ANCHORARRAY(H$5))</f>
        <v>125106.81426178079</v>
      </c>
      <c r="H7" cm="1">
        <f t="array" ref="H7:N7">LINEST(A$2:A$11,B$2:B$11^{1,2,3,4,5,6},TRUE)</f>
        <v>2.1279422328991692E-30</v>
      </c>
      <c r="I7">
        <v>-1.3272313951832755E-24</v>
      </c>
      <c r="J7">
        <v>3.2661708152435213E-19</v>
      </c>
      <c r="K7">
        <v>-3.9136020554866927E-14</v>
      </c>
      <c r="L7">
        <v>2.297125637412287E-9</v>
      </c>
      <c r="M7">
        <v>1.022111874595758E-4</v>
      </c>
      <c r="N7">
        <v>3.9542152697428889E-2</v>
      </c>
    </row>
    <row r="8" spans="1:14" x14ac:dyDescent="0.25">
      <c r="A8">
        <v>25.68807339</v>
      </c>
      <c r="B8">
        <v>161100</v>
      </c>
      <c r="C8" cm="1">
        <f t="array" ref="C8">SUM(IFERROR(A8^{6,5,4,3,2,1,0},1)*_xlfn.ANCHORARRAY(H$5))</f>
        <v>161374.07814542568</v>
      </c>
    </row>
    <row r="9" spans="1:14" x14ac:dyDescent="0.25">
      <c r="A9">
        <v>29.701834860000002</v>
      </c>
      <c r="B9">
        <v>183150</v>
      </c>
      <c r="C9" cm="1">
        <f t="array" ref="C9">SUM(IFERROR(A9^{6,5,4,3,2,1,0},1)*_xlfn.ANCHORARRAY(H$5))</f>
        <v>182835.48668916989</v>
      </c>
    </row>
    <row r="10" spans="1:14" x14ac:dyDescent="0.25">
      <c r="A10">
        <v>33.715596329999997</v>
      </c>
      <c r="B10">
        <v>201600</v>
      </c>
      <c r="C10" cm="1">
        <f t="array" ref="C10">SUM(IFERROR(A10^{6,5,4,3,2,1,0},1)*_xlfn.ANCHORARRAY(H$5))</f>
        <v>201725.74692653195</v>
      </c>
    </row>
    <row r="11" spans="1:14" x14ac:dyDescent="0.25">
      <c r="A11">
        <v>39.908256880000003</v>
      </c>
      <c r="B11">
        <v>221400</v>
      </c>
      <c r="C11" cm="1">
        <f t="array" ref="C11">SUM(IFERROR(A11^{6,5,4,3,2,1,0},1)*_xlfn.ANCHORARRAY(H$5))</f>
        <v>221388.73297704407</v>
      </c>
    </row>
    <row r="12" spans="1:14" x14ac:dyDescent="0.25">
      <c r="A12">
        <v>50</v>
      </c>
      <c r="B12">
        <v>229500</v>
      </c>
      <c r="C12" cm="1">
        <f t="array" ref="C12">SUM(IFERROR(A12^{6,5,4,3,2,1,0},1)*_xlfn.ANCHORARRAY(H$5))</f>
        <v>157735.08987344475</v>
      </c>
    </row>
    <row r="13" spans="1:14" x14ac:dyDescent="0.25">
      <c r="A13">
        <v>69.954128440000005</v>
      </c>
      <c r="B13">
        <v>158850</v>
      </c>
      <c r="C13" cm="1">
        <f t="array" ref="C13">SUM(IFERROR(A13^{6,5,4,3,2,1,0},1)*_xlfn.ANCHORARRAY(H$5))</f>
        <v>-2449255.3409234351</v>
      </c>
    </row>
    <row r="14" spans="1:14" x14ac:dyDescent="0.25">
      <c r="A14">
        <v>80.045871559999995</v>
      </c>
      <c r="B14">
        <v>108450</v>
      </c>
      <c r="C14" cm="1">
        <f t="array" ref="C14">SUM(IFERROR(A14^{6,5,4,3,2,1,0},1)*_xlfn.ANCHORARRAY(H$5))</f>
        <v>-8443405.7734489329</v>
      </c>
    </row>
    <row r="15" spans="1:14" x14ac:dyDescent="0.25">
      <c r="A15">
        <v>84.977064220000003</v>
      </c>
      <c r="B15">
        <v>86400</v>
      </c>
      <c r="C15" cm="1">
        <f t="array" ref="C15">SUM(IFERROR(A15^{6,5,4,3,2,1,0},1)*_xlfn.ANCHORARRAY(H$5))</f>
        <v>-14023481.606725167</v>
      </c>
    </row>
    <row r="16" spans="1:14" x14ac:dyDescent="0.25">
      <c r="A16">
        <v>87.041284399999995</v>
      </c>
      <c r="B16">
        <v>78300</v>
      </c>
      <c r="C16" cm="1">
        <f t="array" ref="C16">SUM(IFERROR(A16^{6,5,4,3,2,1,0},1)*_xlfn.ANCHORARRAY(H$5))</f>
        <v>-17109145.185741417</v>
      </c>
      <c r="H16" t="s">
        <v>8</v>
      </c>
      <c r="I16" t="s">
        <v>7</v>
      </c>
      <c r="J16" t="s">
        <v>6</v>
      </c>
      <c r="K16" t="s">
        <v>5</v>
      </c>
      <c r="L16" t="s">
        <v>4</v>
      </c>
      <c r="M16" t="s">
        <v>3</v>
      </c>
      <c r="N16" t="s">
        <v>2</v>
      </c>
    </row>
    <row r="17" spans="1:14" x14ac:dyDescent="0.25">
      <c r="H17" s="1">
        <v>-2.87754892270338E-20</v>
      </c>
      <c r="I17" s="1">
        <v>5.3040164871115502E-20</v>
      </c>
      <c r="J17" s="1">
        <v>3.8736111060243702E-20</v>
      </c>
      <c r="K17" s="1">
        <v>1.9450581891597799E-15</v>
      </c>
      <c r="L17" s="1">
        <v>-3.97278995846022E-10</v>
      </c>
      <c r="M17">
        <v>1.7268393001908301E-4</v>
      </c>
      <c r="N17">
        <v>-0.108138806639709</v>
      </c>
    </row>
    <row r="18" spans="1:14" x14ac:dyDescent="0.25">
      <c r="H18" cm="1">
        <f t="array" ref="H18:N18">LINEST(A20:A60,C20:C60^{1,2,3,4,5,6},TRUE,)</f>
        <v>2.2896719041505751E-30</v>
      </c>
      <c r="I18">
        <v>-1.4605457010612944E-24</v>
      </c>
      <c r="J18">
        <v>3.664943517506495E-19</v>
      </c>
      <c r="K18">
        <v>-4.459095255460608E-14</v>
      </c>
      <c r="L18">
        <v>2.640262909422348E-9</v>
      </c>
      <c r="M18">
        <v>9.3784551435437266E-5</v>
      </c>
      <c r="N18">
        <v>8.1790640640221568E-2</v>
      </c>
    </row>
    <row r="20" spans="1:14" x14ac:dyDescent="0.25">
      <c r="A20">
        <v>0</v>
      </c>
      <c r="C20" cm="1">
        <f t="array" ref="C20">SUM(IFERROR(A20^{6,5,4,3,2,1,0},1)*_xlfn.ANCHORARRAY(H$5))</f>
        <v>-78.114322369627189</v>
      </c>
      <c r="E20" cm="1">
        <f t="array" ref="E20">SUM(IFERROR(C20^{6,5,4,3,2,1,0},1)*_xlfn.ANCHORARRAY(H$18))</f>
        <v>7.4480855704920496E-2</v>
      </c>
      <c r="F20" s="1" cm="1">
        <f t="array" ref="F20">SUM(C20^{6,5,4,3,2,1,0}*H$17:N$17)</f>
        <v>-0.12163032657040598</v>
      </c>
    </row>
    <row r="21" spans="1:14" x14ac:dyDescent="0.25">
      <c r="A21">
        <v>1</v>
      </c>
      <c r="C21" cm="1">
        <f t="array" ref="C21">SUM(IFERROR(A21^{6,5,4,3,2,1,0},1)*_xlfn.ANCHORARRAY(H$5))</f>
        <v>7705.9893066578425</v>
      </c>
      <c r="E21" cm="1">
        <f t="array" ref="E21">SUM(IFERROR(C21^{6,5,4,3,2,1,0},1)*_xlfn.ANCHORARRAY(H$18))</f>
        <v>0.94212656125807404</v>
      </c>
      <c r="F21" s="1" cm="1">
        <f t="array" ref="F21">SUM(C21^{6,5,4,3,2,1,0}*H$17:N$17)</f>
        <v>-6022.8592464099211</v>
      </c>
    </row>
    <row r="22" spans="1:14" x14ac:dyDescent="0.25">
      <c r="A22">
        <v>2</v>
      </c>
      <c r="C22" cm="1">
        <f t="array" ref="C22">SUM(IFERROR(A22^{6,5,4,3,2,1,0},1)*_xlfn.ANCHORARRAY(H$5))</f>
        <v>14870.730972077903</v>
      </c>
      <c r="E22" cm="1">
        <f t="array" ref="E22">SUM(IFERROR(C22^{6,5,4,3,2,1,0},1)*_xlfn.ANCHORARRAY(H$18))</f>
        <v>1.9305476266464341</v>
      </c>
      <c r="F22" s="1" cm="1">
        <f t="array" ref="F22">SUM(C22^{6,5,4,3,2,1,0}*H$17:N$17)</f>
        <v>-311142.58828434738</v>
      </c>
    </row>
    <row r="23" spans="1:14" x14ac:dyDescent="0.25">
      <c r="A23">
        <v>3</v>
      </c>
      <c r="C23" cm="1">
        <f t="array" ref="C23">SUM(IFERROR(A23^{6,5,4,3,2,1,0},1)*_xlfn.ANCHORARRAY(H$5))</f>
        <v>21582.435198857391</v>
      </c>
      <c r="E23" cm="1">
        <f t="array" ref="E23">SUM(IFERROR(C23^{6,5,4,3,2,1,0},1)*_xlfn.ANCHORARRAY(H$18))</f>
        <v>2.9603600893102526</v>
      </c>
      <c r="F23" s="1" cm="1">
        <f t="array" ref="F23">SUM(C23^{6,5,4,3,2,1,0}*H$17:N$17)</f>
        <v>-2907955.6612482914</v>
      </c>
    </row>
    <row r="24" spans="1:14" x14ac:dyDescent="0.25">
      <c r="A24">
        <v>4</v>
      </c>
      <c r="C24" cm="1">
        <f t="array" ref="C24">SUM(IFERROR(A24^{6,5,4,3,2,1,0},1)*_xlfn.ANCHORARRAY(H$5))</f>
        <v>27978.012985174224</v>
      </c>
      <c r="E24" cm="1">
        <f t="array" ref="E24">SUM(IFERROR(C24^{6,5,4,3,2,1,0},1)*_xlfn.ANCHORARRAY(H$18))</f>
        <v>3.996477512513894</v>
      </c>
      <c r="F24" s="1" cm="1">
        <f t="array" ref="F24">SUM(C24^{6,5,4,3,2,1,0}*H$17:N$17)</f>
        <v>-13800510.964761311</v>
      </c>
    </row>
    <row r="25" spans="1:14" x14ac:dyDescent="0.25">
      <c r="A25">
        <v>5</v>
      </c>
      <c r="C25" cm="1">
        <f t="array" ref="C25">SUM(IFERROR(A25^{6,5,4,3,2,1,0},1)*_xlfn.ANCHORARRAY(H$5))</f>
        <v>34168.121239674372</v>
      </c>
      <c r="E25" cm="1">
        <f t="array" ref="E25">SUM(IFERROR(C25^{6,5,4,3,2,1,0},1)*_xlfn.ANCHORARRAY(H$18))</f>
        <v>5.0250496362520121</v>
      </c>
      <c r="F25" s="1" cm="1">
        <f t="array" ref="F25">SUM(C25^{6,5,4,3,2,1,0}*H$17:N$17)</f>
        <v>-45785275.49367252</v>
      </c>
      <c r="I25" s="1"/>
    </row>
    <row r="26" spans="1:14" x14ac:dyDescent="0.25">
      <c r="A26">
        <v>6</v>
      </c>
      <c r="C26" cm="1">
        <f t="array" ref="C26">SUM(IFERROR(A26^{6,5,4,3,2,1,0},1)*_xlfn.ANCHORARRAY(H$5))</f>
        <v>40240.155279051876</v>
      </c>
      <c r="E26" cm="1">
        <f t="array" ref="E26">SUM(IFERROR(C26^{6,5,4,3,2,1,0},1)*_xlfn.ANCHORARRAY(H$18))</f>
        <v>6.0420410165491045</v>
      </c>
      <c r="F26" s="1" cm="1">
        <f t="array" ref="F26">SUM(C26^{6,5,4,3,2,1,0}*H$17:N$17)</f>
        <v>-122168906.57041666</v>
      </c>
      <c r="I26" s="1"/>
    </row>
    <row r="27" spans="1:14" x14ac:dyDescent="0.25">
      <c r="A27">
        <v>7</v>
      </c>
      <c r="C27" cm="1">
        <f t="array" ref="C27">SUM(IFERROR(A27^{6,5,4,3,2,1,0},1)*_xlfn.ANCHORARRAY(H$5))</f>
        <v>46261.074385951913</v>
      </c>
      <c r="E27" cm="1">
        <f t="array" ref="E27">SUM(IFERROR(C27^{6,5,4,3,2,1,0},1)*_xlfn.ANCHORARRAY(H$18))</f>
        <v>7.0476553291325059</v>
      </c>
      <c r="F27" s="1" cm="1">
        <f t="array" ref="F27">SUM(C27^{6,5,4,3,2,1,0}*H$17:N$17)</f>
        <v>-282032845.29768503</v>
      </c>
      <c r="I27" s="1"/>
    </row>
    <row r="28" spans="1:14" x14ac:dyDescent="0.25">
      <c r="A28">
        <v>8</v>
      </c>
      <c r="C28" cm="1">
        <f t="array" ref="C28">SUM(IFERROR(A28^{6,5,4,3,2,1,0},1)*_xlfn.ANCHORARRAY(H$5))</f>
        <v>52280.060427197001</v>
      </c>
      <c r="E28" cm="1">
        <f t="array" ref="E28">SUM(IFERROR(C28^{6,5,4,3,2,1,0},1)*_xlfn.ANCHORARRAY(H$18))</f>
        <v>8.0437286561948316</v>
      </c>
      <c r="F28" s="1" cm="1">
        <f t="array" ref="F28">SUM(C28^{6,5,4,3,2,1,0}*H$17:N$17)</f>
        <v>-587521660.87021554</v>
      </c>
      <c r="I28" s="1"/>
    </row>
    <row r="29" spans="1:14" x14ac:dyDescent="0.25">
      <c r="A29">
        <v>9</v>
      </c>
      <c r="C29" cm="1">
        <f t="array" ref="C29">SUM(IFERROR(A29^{6,5,4,3,2,1,0},1)*_xlfn.ANCHORARRAY(H$5))</f>
        <v>58331.009532336167</v>
      </c>
      <c r="E29" cm="1">
        <f t="array" ref="E29">SUM(IFERROR(C29^{6,5,4,3,2,1,0},1)*_xlfn.ANCHORARRAY(H$18))</f>
        <v>9.0326188452349054</v>
      </c>
      <c r="F29" s="1" cm="1">
        <f t="array" ref="F29">SUM(C29^{6,5,4,3,2,1,0}*H$17:N$17)</f>
        <v>-1133459339.9371448</v>
      </c>
      <c r="I29" s="1"/>
    </row>
    <row r="30" spans="1:14" x14ac:dyDescent="0.25">
      <c r="A30">
        <v>10</v>
      </c>
      <c r="C30" cm="1">
        <f t="array" ref="C30">SUM(IFERROR(A30^{6,5,4,3,2,1,0},1)*_xlfn.ANCHORARRAY(H$5))</f>
        <v>64434.856832517289</v>
      </c>
      <c r="E30" cm="1">
        <f t="array" ref="E30">SUM(IFERROR(C30^{6,5,4,3,2,1,0},1)*_xlfn.ANCHORARRAY(H$18))</f>
        <v>10.016809756586145</v>
      </c>
      <c r="F30" s="1" cm="1">
        <f t="array" ref="F30">SUM(C30^{6,5,4,3,2,1,0}*H$17:N$17)</f>
        <v>-2059375290.192482</v>
      </c>
    </row>
    <row r="31" spans="1:14" x14ac:dyDescent="0.25">
      <c r="A31">
        <v>11</v>
      </c>
      <c r="C31" cm="1">
        <f t="array" ref="C31">SUM(IFERROR(A31^{6,5,4,3,2,1,0},1)*_xlfn.ANCHORARRAY(H$5))</f>
        <v>70601.734259682402</v>
      </c>
      <c r="E31" cm="1">
        <f t="array" ref="E31">SUM(IFERROR(C31^{6,5,4,3,2,1,0},1)*_xlfn.ANCHORARRAY(H$18))</f>
        <v>10.998804851141056</v>
      </c>
      <c r="F31" s="1" cm="1">
        <f t="array" ref="F31">SUM(C31^{6,5,4,3,2,1,0}*H$17:N$17)</f>
        <v>-3563720137.9100604</v>
      </c>
    </row>
    <row r="32" spans="1:14" x14ac:dyDescent="0.25">
      <c r="A32">
        <v>12</v>
      </c>
      <c r="C32" cm="1">
        <f t="array" ref="C32">SUM(IFERROR(A32^{6,5,4,3,2,1,0},1)*_xlfn.ANCHORARRAY(H$5))</f>
        <v>76832.961406086164</v>
      </c>
      <c r="E32" cm="1">
        <f t="array" ref="E32">SUM(IFERROR(C32^{6,5,4,3,2,1,0},1)*_xlfn.ANCHORARRAY(H$18))</f>
        <v>11.981081440260642</v>
      </c>
      <c r="F32" s="1" cm="1">
        <f t="array" ref="F32">SUM(C32^{6,5,4,3,2,1,0}*H$17:N$17)</f>
        <v>-5919673207.5413132</v>
      </c>
    </row>
    <row r="33" spans="1:6" x14ac:dyDescent="0.25">
      <c r="A33">
        <v>13</v>
      </c>
      <c r="C33" cm="1">
        <f t="array" ref="C33">SUM(IFERROR(A33^{6,5,4,3,2,1,0},1)*_xlfn.ANCHORARRAY(H$5))</f>
        <v>83122.869444137294</v>
      </c>
      <c r="E33" cm="1">
        <f t="array" ref="E33">SUM(IFERROR(C33^{6,5,4,3,2,1,0},1)*_xlfn.ANCHORARRAY(H$18))</f>
        <v>12.965997179103912</v>
      </c>
      <c r="F33" s="1" cm="1">
        <f t="array" ref="F33">SUM(C33^{6,5,4,3,2,1,0}*H$17:N$17)</f>
        <v>-9491530466.1407509</v>
      </c>
    </row>
    <row r="34" spans="1:6" x14ac:dyDescent="0.25">
      <c r="A34">
        <v>14</v>
      </c>
      <c r="C34" cm="1">
        <f t="array" ref="C34">SUM(IFERROR(A34^{6,5,4,3,2,1,0},1)*_xlfn.ANCHORARRAY(H$5))</f>
        <v>89460.458106563136</v>
      </c>
      <c r="E34" cm="1">
        <f t="array" ref="E34">SUM(IFERROR(C34^{6,5,4,3,2,1,0},1)*_xlfn.ANCHORARRAY(H$18))</f>
        <v>13.955619721923089</v>
      </c>
      <c r="F34" s="1" cm="1">
        <f t="array" ref="F34">SUM(C34^{6,5,4,3,2,1,0}*H$17:N$17)</f>
        <v>-14750287111.809788</v>
      </c>
    </row>
    <row r="35" spans="1:6" x14ac:dyDescent="0.25">
      <c r="A35">
        <v>15</v>
      </c>
      <c r="C35" cm="1">
        <f t="array" ref="C35">SUM(IFERROR(A35^{6,5,4,3,2,1,0},1)*_xlfn.ANCHORARRAY(H$5))</f>
        <v>95830.885726897395</v>
      </c>
      <c r="E35" cm="1">
        <f t="array" ref="E35">SUM(IFERROR(C35^{6,5,4,3,2,1,0},1)*_xlfn.ANCHORARRAY(H$18))</f>
        <v>14.951502390751404</v>
      </c>
      <c r="F35" s="1" cm="1">
        <f t="array" ref="F35">SUM(C35^{6,5,4,3,2,1,0}*H$17:N$17)</f>
        <v>-22286782529.504257</v>
      </c>
    </row>
    <row r="36" spans="1:6" x14ac:dyDescent="0.25">
      <c r="A36">
        <v>16</v>
      </c>
      <c r="C36" cm="1">
        <f t="array" ref="C36">SUM(IFERROR(A36^{6,5,4,3,2,1,0},1)*_xlfn.ANCHORARRAY(H$5))</f>
        <v>102216.7923402906</v>
      </c>
      <c r="E36" cm="1">
        <f t="array" ref="E36">SUM(IFERROR(C36^{6,5,4,3,2,1,0},1)*_xlfn.ANCHORARRAY(H$18))</f>
        <v>15.954457533538159</v>
      </c>
      <c r="F36" s="1" cm="1">
        <f t="array" ref="F36">SUM(C36^{6,5,4,3,2,1,0}*H$17:N$17)</f>
        <v>-32820740380.586285</v>
      </c>
    </row>
    <row r="37" spans="1:6" x14ac:dyDescent="0.25">
      <c r="A37">
        <v>17</v>
      </c>
      <c r="C37" cm="1">
        <f t="array" ref="C37">SUM(IFERROR(A37^{6,5,4,3,2,1,0},1)*_xlfn.ANCHORARRAY(H$5))</f>
        <v>108599.45584464406</v>
      </c>
      <c r="E37" cm="1">
        <f t="array" ref="E37">SUM(IFERROR(C37^{6,5,4,3,2,1,0},1)*_xlfn.ANCHORARRAY(H$18))</f>
        <v>16.964387096098577</v>
      </c>
      <c r="F37" s="1" cm="1">
        <f t="array" ref="F37">SUM(C37^{6,5,4,3,2,1,0}*H$17:N$17)</f>
        <v>-47204264967.440781</v>
      </c>
    </row>
    <row r="38" spans="1:6" x14ac:dyDescent="0.25">
      <c r="A38">
        <v>18</v>
      </c>
      <c r="C38" cm="1">
        <f t="array" ref="C38">SUM(IFERROR(A38^{6,5,4,3,2,1,0},1)*_xlfn.ANCHORARRAY(H$5))</f>
        <v>114959.78122206658</v>
      </c>
      <c r="E38" cm="1">
        <f t="array" ref="E38">SUM(IFERROR(C38^{6,5,4,3,2,1,0},1)*_xlfn.ANCHORARRAY(H$18))</f>
        <v>17.980220191361823</v>
      </c>
      <c r="F38" s="1" cm="1">
        <f t="array" ref="F38">SUM(C38^{6,5,4,3,2,1,0}*H$17:N$17)</f>
        <v>-66418845779.980713</v>
      </c>
    </row>
    <row r="39" spans="1:6" x14ac:dyDescent="0.25">
      <c r="A39">
        <v>19</v>
      </c>
      <c r="C39" cm="1">
        <f t="array" ref="C39">SUM(IFERROR(A39^{6,5,4,3,2,1,0},1)*_xlfn.ANCHORARRAY(H$5))</f>
        <v>121279.12282065439</v>
      </c>
      <c r="E39" cm="1">
        <f t="array" ref="E39">SUM(IFERROR(C39^{6,5,4,3,2,1,0},1)*_xlfn.ANCHORARRAY(H$18))</f>
        <v>18.9999856688788</v>
      </c>
      <c r="F39" s="1" cm="1">
        <f t="array" ref="F39">SUM(C39^{6,5,4,3,2,1,0}*H$17:N$17)</f>
        <v>-91565611119.222305</v>
      </c>
    </row>
    <row r="40" spans="1:6" x14ac:dyDescent="0.25">
      <c r="A40">
        <v>20</v>
      </c>
      <c r="C40" cm="1">
        <f t="array" ref="C40">SUM(IFERROR(A40^{6,5,4,3,2,1,0},1)*_xlfn.ANCHORARRAY(H$5))</f>
        <v>127539.93969659397</v>
      </c>
      <c r="E40" cm="1">
        <f t="array" ref="E40">SUM(IFERROR(C40^{6,5,4,3,2,1,0},1)*_xlfn.ANCHORARRAY(H$18))</f>
        <v>20.021020842842269</v>
      </c>
      <c r="F40" s="1" cm="1">
        <f t="array" ref="F40">SUM(C40^{6,5,4,3,2,1,0}*H$17:N$17)</f>
        <v>-123849336190.81444</v>
      </c>
    </row>
    <row r="41" spans="1:6" x14ac:dyDescent="0.25">
      <c r="A41">
        <v>21</v>
      </c>
      <c r="C41" cm="1">
        <f t="array" ref="C41">SUM(IFERROR(A41^{6,5,4,3,2,1,0},1)*_xlfn.ANCHORARRAY(H$5))</f>
        <v>133726.28401658844</v>
      </c>
      <c r="E41" cm="1">
        <f t="array" ref="E41">SUM(IFERROR(C41^{6,5,4,3,2,1,0},1)*_xlfn.ANCHORARRAY(H$18))</f>
        <v>21.040292503269818</v>
      </c>
      <c r="F41" s="1" cm="1">
        <f t="array" ref="F41">SUM(C41^{6,5,4,3,2,1,0}*H$17:N$17)</f>
        <v>-164557389565.49118</v>
      </c>
    </row>
    <row r="42" spans="1:6" x14ac:dyDescent="0.25">
      <c r="A42">
        <v>22</v>
      </c>
      <c r="C42" cm="1">
        <f t="array" ref="C42">SUM(IFERROR(A42^{6,5,4,3,2,1,0},1)*_xlfn.ANCHORARRAY(H$5))</f>
        <v>139824.12252060606</v>
      </c>
      <c r="E42" cm="1">
        <f t="array" ref="E42">SUM(IFERROR(C42^{6,5,4,3,2,1,0},1)*_xlfn.ANCHORARRAY(H$18))</f>
        <v>22.054788351537873</v>
      </c>
      <c r="F42" s="1" cm="1">
        <f t="array" ref="F42">SUM(C42^{6,5,4,3,2,1,0}*H$17:N$17)</f>
        <v>-215035224226.40549</v>
      </c>
    </row>
    <row r="43" spans="1:6" x14ac:dyDescent="0.25">
      <c r="A43">
        <v>23</v>
      </c>
      <c r="C43" cm="1">
        <f t="array" ref="C43">SUM(IFERROR(A43^{6,5,4,3,2,1,0},1)*_xlfn.ANCHORARRAY(H$5))</f>
        <v>145821.4910449528</v>
      </c>
      <c r="E43" cm="1">
        <f t="array" ref="E43">SUM(IFERROR(C43^{6,5,4,3,2,1,0},1)*_xlfn.ANCHORARRAY(H$18))</f>
        <v>23.061928682873049</v>
      </c>
      <c r="F43" s="1" cm="1">
        <f t="array" ref="F43">SUM(C43^{6,5,4,3,2,1,0}*H$17:N$17)</f>
        <v>-276660039200.54114</v>
      </c>
    </row>
    <row r="44" spans="1:6" x14ac:dyDescent="0.25">
      <c r="A44">
        <v>24</v>
      </c>
      <c r="C44" cm="1">
        <f t="array" ref="C44">SUM(IFERROR(A44^{6,5,4,3,2,1,0},1)*_xlfn.ANCHORARRAY(H$5))</f>
        <v>151708.48210566773</v>
      </c>
      <c r="E44" cm="1">
        <f t="array" ref="E44">SUM(IFERROR(C44^{6,5,4,3,2,1,0},1)*_xlfn.ANCHORARRAY(H$18))</f>
        <v>24.059949275183239</v>
      </c>
      <c r="F44" s="1" cm="1">
        <f t="array" ref="F44">SUM(C44^{6,5,4,3,2,1,0}*H$17:N$17)</f>
        <v>-350813758856.77875</v>
      </c>
    </row>
    <row r="45" spans="1:6" x14ac:dyDescent="0.25">
      <c r="A45">
        <v>25</v>
      </c>
      <c r="C45" cm="1">
        <f t="array" ref="C45">SUM(IFERROR(A45^{6,5,4,3,2,1,0},1)*_xlfn.ANCHORARRAY(H$5))</f>
        <v>157477.0655422406</v>
      </c>
      <c r="E45" cm="1">
        <f t="array" ref="E45">SUM(IFERROR(C45^{6,5,4,3,2,1,0},1)*_xlfn.ANCHORARRAY(H$18))</f>
        <v>25.04821452012569</v>
      </c>
      <c r="F45" s="1" cm="1">
        <f t="array" ref="F45">SUM(C45^{6,5,4,3,2,1,0}*H$17:N$17)</f>
        <v>-438855467512.78058</v>
      </c>
    </row>
    <row r="46" spans="1:6" x14ac:dyDescent="0.25">
      <c r="A46">
        <v>26</v>
      </c>
      <c r="C46" cm="1">
        <f t="array" ref="C46">SUM(IFERROR(A46^{6,5,4,3,2,1,0},1)*_xlfn.ANCHORARRAY(H$5))</f>
        <v>163120.74222165387</v>
      </c>
      <c r="E46" cm="1">
        <f t="array" ref="E46">SUM(IFERROR(C46^{6,5,4,3,2,1,0},1)*_xlfn.ANCHORARRAY(H$18))</f>
        <v>26.027430984688664</v>
      </c>
      <c r="F46" s="1" cm="1">
        <f t="array" ref="F46">SUM(C46^{6,5,4,3,2,1,0}*H$17:N$17)</f>
        <v>-542091929565.82526</v>
      </c>
    </row>
    <row r="47" spans="1:6" x14ac:dyDescent="0.25">
      <c r="A47">
        <v>27</v>
      </c>
      <c r="C47" cm="1">
        <f t="array" ref="C47">SUM(IFERROR(A47^{6,5,4,3,2,1,0},1)*_xlfn.ANCHORARRAY(H$5))</f>
        <v>168634.03080274697</v>
      </c>
      <c r="E47" cm="1">
        <f t="array" ref="E47">SUM(IFERROR(C47^{6,5,4,3,2,1,0},1)*_xlfn.ANCHORARRAY(H$18))</f>
        <v>26.999741663495392</v>
      </c>
      <c r="F47" s="1" cm="1">
        <f t="array" ref="F47">SUM(C47^{6,5,4,3,2,1,0}*H$17:N$17)</f>
        <v>-661742906384.19971</v>
      </c>
    </row>
    <row r="48" spans="1:6" x14ac:dyDescent="0.25">
      <c r="A48">
        <v>28</v>
      </c>
      <c r="C48" cm="1">
        <f t="array" ref="C48">SUM(IFERROR(A48^{6,5,4,3,2,1,0},1)*_xlfn.ANCHORARRAY(H$5))</f>
        <v>174011.78756090329</v>
      </c>
      <c r="E48" cm="1">
        <f t="array" ref="E48">SUM(IFERROR(C48^{6,5,4,3,2,1,0},1)*_xlfn.ANCHORARRAY(H$18))</f>
        <v>27.968686605729697</v>
      </c>
      <c r="F48" s="1" cm="1">
        <f t="array" ref="F48">SUM(C48^{6,5,4,3,2,1,0}*H$17:N$17)</f>
        <v>-798895778011.8927</v>
      </c>
    </row>
    <row r="49" spans="1:6" x14ac:dyDescent="0.25">
      <c r="A49">
        <v>29</v>
      </c>
      <c r="C49" cm="1">
        <f t="array" ref="C49">SUM(IFERROR(A49^{6,5,4,3,2,1,0},1)*_xlfn.ANCHORARRAY(H$5))</f>
        <v>179248.35927306148</v>
      </c>
      <c r="E49" cm="1">
        <f t="array" ref="E49">SUM(IFERROR(C49^{6,5,4,3,2,1,0},1)*_xlfn.ANCHORARRAY(H$18))</f>
        <v>28.939013980380548</v>
      </c>
      <c r="F49" s="1" cm="1">
        <f t="array" ref="F49">SUM(C49^{6,5,4,3,2,1,0}*H$17:N$17)</f>
        <v>-954441653942.94312</v>
      </c>
    </row>
    <row r="50" spans="1:6" x14ac:dyDescent="0.25">
      <c r="A50">
        <v>30</v>
      </c>
      <c r="C50" cm="1">
        <f t="array" ref="C50">SUM(IFERROR(A50^{6,5,4,3,2,1,0},1)*_xlfn.ANCHORARRAY(H$5))</f>
        <v>184336.56916304899</v>
      </c>
      <c r="E50" cm="1">
        <f t="array" ref="E50">SUM(IFERROR(C50^{6,5,4,3,2,1,0},1)*_xlfn.ANCHORARRAY(H$18))</f>
        <v>29.91631608846739</v>
      </c>
      <c r="F50" s="1" cm="1">
        <f t="array" ref="F50">SUM(C50^{6,5,4,3,2,1,0}*H$17:N$17)</f>
        <v>-1128982927767.2749</v>
      </c>
    </row>
    <row r="51" spans="1:6" x14ac:dyDescent="0.25">
      <c r="A51">
        <v>31</v>
      </c>
      <c r="C51" cm="1">
        <f t="array" ref="C51">SUM(IFERROR(A51^{6,5,4,3,2,1,0},1)*_xlfn.ANCHORARRAY(H$5))</f>
        <v>189266.53590723753</v>
      </c>
      <c r="E51" cm="1">
        <f t="array" ref="E51">SUM(IFERROR(C51^{6,5,4,3,2,1,0},1)*_xlfn.ANCHORARRAY(H$18))</f>
        <v>30.90644821833467</v>
      </c>
      <c r="F51" s="1" cm="1">
        <f t="array" ref="F51">SUM(C51^{6,5,4,3,2,1,0}*H$17:N$17)</f>
        <v>-1322700406488.0049</v>
      </c>
    </row>
    <row r="52" spans="1:6" x14ac:dyDescent="0.25">
      <c r="A52">
        <v>32</v>
      </c>
      <c r="C52" cm="1">
        <f t="array" ref="C52">SUM(IFERROR(A52^{6,5,4,3,2,1,0},1)*_xlfn.ANCHORARRAY(H$5))</f>
        <v>194024.3257005245</v>
      </c>
      <c r="E52" cm="1">
        <f t="array" ref="E52">SUM(IFERROR(C52^{6,5,4,3,2,1,0},1)*_xlfn.ANCHORARRAY(H$18))</f>
        <v>31.914667659556535</v>
      </c>
      <c r="F52" s="1" cm="1">
        <f t="array" ref="F52">SUM(C52^{6,5,4,3,2,1,0}*H$17:N$17)</f>
        <v>-1535167214565.1646</v>
      </c>
    </row>
    <row r="53" spans="1:6" x14ac:dyDescent="0.25">
      <c r="A53">
        <v>33</v>
      </c>
      <c r="C53" cm="1">
        <f t="array" ref="C53">SUM(IFERROR(A53^{6,5,4,3,2,1,0},1)*_xlfn.ANCHORARRAY(H$5))</f>
        <v>198590.43738263502</v>
      </c>
      <c r="E53" cm="1">
        <f t="array" ref="E53">SUM(IFERROR(C53^{6,5,4,3,2,1,0},1)*_xlfn.ANCHORARRAY(H$18))</f>
        <v>32.944411793857832</v>
      </c>
      <c r="F53" s="1" cm="1">
        <f t="array" ref="F53">SUM(C53^{6,5,4,3,2,1,0}*H$17:N$17)</f>
        <v>-1765097415055.418</v>
      </c>
    </row>
    <row r="54" spans="1:6" x14ac:dyDescent="0.25">
      <c r="A54">
        <v>34</v>
      </c>
      <c r="C54" cm="1">
        <f t="array" ref="C54">SUM(IFERROR(A54^{6,5,4,3,2,1,0},1)*_xlfn.ANCHORARRAY(H$5))</f>
        <v>202938.12062474771</v>
      </c>
      <c r="E54" cm="1">
        <f t="array" ref="E54">SUM(IFERROR(C54^{6,5,4,3,2,1,0},1)*_xlfn.ANCHORARRAY(H$18))</f>
        <v>33.995628508754038</v>
      </c>
      <c r="F54" s="1" cm="1">
        <f t="array" ref="F54">SUM(C54^{6,5,4,3,2,1,0}*H$17:N$17)</f>
        <v>-2010020913782.8564</v>
      </c>
    </row>
    <row r="55" spans="1:6" x14ac:dyDescent="0.25">
      <c r="A55">
        <v>35</v>
      </c>
      <c r="C55" cm="1">
        <f t="array" ref="C55">SUM(IFERROR(A55^{6,5,4,3,2,1,0},1)*_xlfn.ANCHORARRAY(H$5))</f>
        <v>207031.52717644436</v>
      </c>
      <c r="E55" cm="1">
        <f t="array" ref="E55">SUM(IFERROR(C55^{6,5,4,3,2,1,0},1)*_xlfn.ANCHORARRAY(H$18))</f>
        <v>35.062595694461166</v>
      </c>
      <c r="F55" s="1" cm="1">
        <f t="array" ref="F55">SUM(C55^{6,5,4,3,2,1,0}*H$17:N$17)</f>
        <v>-2265884474759.5898</v>
      </c>
    </row>
    <row r="56" spans="1:6" x14ac:dyDescent="0.25">
      <c r="A56">
        <v>36</v>
      </c>
      <c r="C56" cm="1">
        <f t="array" ref="C56">SUM(IFERROR(A56^{6,5,4,3,2,1,0},1)*_xlfn.ANCHORARRAY(H$5))</f>
        <v>210823.69517297903</v>
      </c>
      <c r="E56" cm="1">
        <f t="array" ref="E56">SUM(IFERROR(C56^{6,5,4,3,2,1,0},1)*_xlfn.ANCHORARRAY(H$18))</f>
        <v>36.131242493139538</v>
      </c>
      <c r="F56" s="1" cm="1">
        <f t="array" ref="F56">SUM(C56^{6,5,4,3,2,1,0}*H$17:N$17)</f>
        <v>-2526593912374.7798</v>
      </c>
    </row>
    <row r="57" spans="1:6" x14ac:dyDescent="0.25">
      <c r="A57">
        <v>37</v>
      </c>
      <c r="C57" cm="1">
        <f t="array" ref="C57">SUM(IFERROR(A57^{6,5,4,3,2,1,0},1)*_xlfn.ANCHORARRAY(H$5))</f>
        <v>214254.36650287901</v>
      </c>
      <c r="E57" cm="1">
        <f t="array" ref="E57">SUM(IFERROR(C57^{6,5,4,3,2,1,0},1)*_xlfn.ANCHORARRAY(H$18))</f>
        <v>37.176141371171013</v>
      </c>
      <c r="F57" s="1" cm="1">
        <f t="array" ref="F57">SUM(C57^{6,5,4,3,2,1,0}*H$17:N$17)</f>
        <v>-2783537454113.8281</v>
      </c>
    </row>
    <row r="58" spans="1:6" x14ac:dyDescent="0.25">
      <c r="A58">
        <v>38</v>
      </c>
      <c r="C58" cm="1">
        <f t="array" ref="C58">SUM(IFERROR(A58^{6,5,4,3,2,1,0},1)*_xlfn.ANCHORARRAY(H$5))</f>
        <v>217247.63723585726</v>
      </c>
      <c r="E58" cm="1">
        <f t="array" ref="E58">SUM(IFERROR(C58^{6,5,4,3,2,1,0},1)*_xlfn.ANCHORARRAY(H$18))</f>
        <v>38.157602084746891</v>
      </c>
      <c r="F58" s="1" cm="1">
        <f t="array" ref="F58">SUM(C58^{6,5,4,3,2,1,0}*H$17:N$17)</f>
        <v>-3025167332796.1709</v>
      </c>
    </row>
    <row r="59" spans="1:6" x14ac:dyDescent="0.25">
      <c r="A59">
        <v>39</v>
      </c>
      <c r="C59" cm="1">
        <f t="array" ref="C59">SUM(IFERROR(A59^{6,5,4,3,2,1,0},1)*_xlfn.ANCHORARRAY(H$5))</f>
        <v>219709.44111105613</v>
      </c>
      <c r="E59" cm="1">
        <f t="array" ref="E59">SUM(IFERROR(C59^{6,5,4,3,2,1,0},1)*_xlfn.ANCHORARRAY(H$18))</f>
        <v>39.019669700039927</v>
      </c>
      <c r="F59" s="1" cm="1">
        <f t="array" ref="F59">SUM(C59^{6,5,4,3,2,1,0}*H$17:N$17)</f>
        <v>-3236766634109.0386</v>
      </c>
    </row>
    <row r="60" spans="1:6" x14ac:dyDescent="0.25">
      <c r="A60">
        <v>40</v>
      </c>
      <c r="C60" cm="1">
        <f t="array" ref="C60">SUM(IFERROR(A60^{6,5,4,3,2,1,0},1)*_xlfn.ANCHORARRAY(H$5))</f>
        <v>221524.86608560977</v>
      </c>
      <c r="E60" cm="1">
        <f t="array" ref="E60">SUM(IFERROR(C60^{6,5,4,3,2,1,0},1)*_xlfn.ANCHORARRAY(H$18))</f>
        <v>39.690257018903921</v>
      </c>
      <c r="F60" s="1" cm="1">
        <f t="array" ref="F60">SUM(C60^{6,5,4,3,2,1,0}*H$17:N$17)</f>
        <v>-3400587847911.127</v>
      </c>
    </row>
    <row r="61" spans="1:6" x14ac:dyDescent="0.25">
      <c r="A61">
        <v>41</v>
      </c>
      <c r="C61" cm="1">
        <f t="array" ref="C61">SUM(IFERROR(A61^{6,5,4,3,2,1,0},1)*_xlfn.ANCHORARRAY(H$5))</f>
        <v>222555.30394353642</v>
      </c>
      <c r="E61" cm="1">
        <f t="array" ref="E61">SUM(IFERROR(C61^{6,5,4,3,2,1,0},1)*_xlfn.ANCHORARRAY(H$18))</f>
        <v>40.084970557028321</v>
      </c>
      <c r="F61" s="1" cm="1">
        <f t="array" ref="F61">SUM(C61^{6,5,4,3,2,1,0}*H$17:N$17)</f>
        <v>-3496606916141.0894</v>
      </c>
    </row>
    <row r="62" spans="1:6" x14ac:dyDescent="0.25">
      <c r="A62">
        <v>42</v>
      </c>
      <c r="C62" cm="1">
        <f t="array" ref="C62">SUM(IFERROR(A62^{6,5,4,3,2,1,0},1)*_xlfn.ANCHORARRAY(H$5))</f>
        <v>222635.4329649448</v>
      </c>
      <c r="E62" cm="1">
        <f t="array" ref="E62">SUM(IFERROR(C62^{6,5,4,3,2,1,0},1)*_xlfn.ANCHORARRAY(H$18))</f>
        <v>40.116107785581832</v>
      </c>
      <c r="F62" s="1" cm="1">
        <f t="array" ref="F62">SUM(C62^{6,5,4,3,2,1,0}*H$17:N$17)</f>
        <v>-3504167258701.0576</v>
      </c>
    </row>
    <row r="63" spans="1:6" x14ac:dyDescent="0.25">
      <c r="A63">
        <v>43</v>
      </c>
      <c r="C63" cm="1">
        <f t="array" ref="C63">SUM(IFERROR(A63^{6,5,4,3,2,1,0},1)*_xlfn.ANCHORARRAY(H$5))</f>
        <v>221570.03365556232</v>
      </c>
      <c r="E63" cm="1">
        <f t="array" ref="E63">SUM(IFERROR(C63^{6,5,4,3,2,1,0},1)*_xlfn.ANCHORARRAY(H$18))</f>
        <v>39.70733981940203</v>
      </c>
      <c r="F63" s="1" cm="1">
        <f t="array" ref="F63">SUM(C63^{6,5,4,3,2,1,0}*H$17:N$17)</f>
        <v>-3404750129647.6616</v>
      </c>
    </row>
    <row r="64" spans="1:6" x14ac:dyDescent="0.25">
      <c r="A64">
        <v>44</v>
      </c>
      <c r="C64" cm="1">
        <f t="array" ref="C64">SUM(IFERROR(A64^{6,5,4,3,2,1,0},1)*_xlfn.ANCHORARRAY(H$5))</f>
        <v>219130.63753660698</v>
      </c>
      <c r="E64" cm="1">
        <f t="array" ref="E64">SUM(IFERROR(C64^{6,5,4,3,2,1,0},1)*_xlfn.ANCHORARRAY(H$18))</f>
        <v>38.812242384970915</v>
      </c>
      <c r="F64" s="1" cm="1">
        <f t="array" ref="F64">SUM(C64^{6,5,4,3,2,1,0}*H$17:N$17)</f>
        <v>-3185940615430.3169</v>
      </c>
    </row>
    <row r="65" spans="1:6" x14ac:dyDescent="0.25">
      <c r="A65">
        <v>45</v>
      </c>
      <c r="C65" cm="1">
        <f t="array" ref="C65">SUM(IFERROR(A65^{6,5,4,3,2,1,0},1)*_xlfn.ANCHORARRAY(H$5))</f>
        <v>215052.00899494876</v>
      </c>
      <c r="E65" cm="1">
        <f t="array" ref="E65">SUM(IFERROR(C65^{6,5,4,3,2,1,0},1)*_xlfn.ANCHORARRAY(H$18))</f>
        <v>37.430956613308226</v>
      </c>
      <c r="F65" s="1" cm="1">
        <f t="array" ref="F65">SUM(C65^{6,5,4,3,2,1,0}*H$17:N$17)</f>
        <v>-2846295707730.9121</v>
      </c>
    </row>
    <row r="66" spans="1:6" x14ac:dyDescent="0.25">
      <c r="A66">
        <v>46</v>
      </c>
      <c r="C66" cm="1">
        <f t="array" ref="C66">SUM(IFERROR(A66^{6,5,4,3,2,1,0},1)*_xlfn.ANCHORARRAY(H$5))</f>
        <v>209028.46019362606</v>
      </c>
      <c r="E66" cm="1">
        <f t="array" ref="E66">SUM(IFERROR(C66^{6,5,4,3,2,1,0},1)*_xlfn.ANCHORARRAY(H$18))</f>
        <v>35.614854346781627</v>
      </c>
      <c r="F66" s="1" cm="1">
        <f t="array" ref="F66">SUM(C66^{6,5,4,3,2,1,0}*H$17:N$17)</f>
        <v>-2400222012676.6079</v>
      </c>
    </row>
    <row r="67" spans="1:6" x14ac:dyDescent="0.25">
      <c r="A67">
        <v>47</v>
      </c>
      <c r="C67" cm="1">
        <f t="array" ref="C67">SUM(IFERROR(A67^{6,5,4,3,2,1,0},1)*_xlfn.ANCHORARRAY(H$5))</f>
        <v>200709.99904266733</v>
      </c>
      <c r="E67" cm="1">
        <f t="array" ref="E67">SUM(IFERROR(C67^{6,5,4,3,2,1,0},1)*_xlfn.ANCHORARRAY(H$18))</f>
        <v>33.447337813822102</v>
      </c>
      <c r="F67" s="1" cm="1">
        <f t="array" ref="F67">SUM(C67^{6,5,4,3,2,1,0}*H$17:N$17)</f>
        <v>-1881190516865.855</v>
      </c>
    </row>
    <row r="68" spans="1:6" x14ac:dyDescent="0.25">
      <c r="A68">
        <v>48</v>
      </c>
      <c r="C68" cm="1">
        <f t="array" ref="C68">SUM(IFERROR(A68^{6,5,4,3,2,1,0},1)*_xlfn.ANCHORARRAY(H$5))</f>
        <v>189698.31023023446</v>
      </c>
      <c r="E68" cm="1">
        <f t="array" ref="E68">SUM(IFERROR(C68^{6,5,4,3,2,1,0},1)*_xlfn.ANCHORARRAY(H$18))</f>
        <v>30.995608242716344</v>
      </c>
      <c r="F68" s="1" cm="1">
        <f t="array" ref="F68">SUM(C68^{6,5,4,3,2,1,0}*H$17:N$17)</f>
        <v>-1340908890359.2004</v>
      </c>
    </row>
    <row r="69" spans="1:6" x14ac:dyDescent="0.25">
      <c r="A69">
        <v>49</v>
      </c>
      <c r="C69" cm="1">
        <f t="array" ref="C69">SUM(IFERROR(A69^{6,5,4,3,2,1,0},1)*_xlfn.ANCHORARRAY(H$5))</f>
        <v>175542.56931409909</v>
      </c>
      <c r="E69" cm="1">
        <f t="array" ref="E69">SUM(IFERROR(C69^{6,5,4,3,2,1,0},1)*_xlfn.ANCHORARRAY(H$18))</f>
        <v>28.249217979512078</v>
      </c>
      <c r="F69" s="1" cm="1">
        <f t="array" ref="F69">SUM(C69^{6,5,4,3,2,1,0}*H$17:N$17)</f>
        <v>-842001488522.81299</v>
      </c>
    </row>
    <row r="70" spans="1:6" x14ac:dyDescent="0.25">
      <c r="A70">
        <v>50</v>
      </c>
      <c r="C70" cm="1">
        <f t="array" ref="C70">SUM(IFERROR(A70^{6,5,4,3,2,1,0},1)*_xlfn.ANCHORARRAY(H$5))</f>
        <v>157735.08987344475</v>
      </c>
      <c r="E70" cm="1">
        <f t="array" ref="E70">SUM(IFERROR(C70^{6,5,4,3,2,1,0},1)*_xlfn.ANCHORARRAY(H$18))</f>
        <v>25.092692472832862</v>
      </c>
      <c r="F70" s="1" cm="1">
        <f t="array" ref="F70">SUM(C70^{6,5,4,3,2,1,0}*H$17:N$17)</f>
        <v>-443187544538.23962</v>
      </c>
    </row>
    <row r="71" spans="1:6" x14ac:dyDescent="0.25">
      <c r="A71">
        <v>51</v>
      </c>
      <c r="C71" cm="1">
        <f t="array" ref="C71">SUM(IFERROR(A71^{6,5,4,3,2,1,0},1)*_xlfn.ANCHORARRAY(H$5))</f>
        <v>135706.80372097099</v>
      </c>
    </row>
    <row r="72" spans="1:6" x14ac:dyDescent="0.25">
      <c r="A72">
        <v>52</v>
      </c>
      <c r="C72" cm="1">
        <f t="array" ref="C72">SUM(IFERROR(A72^{6,5,4,3,2,1,0},1)*_xlfn.ANCHORARRAY(H$5))</f>
        <v>108822.57417534274</v>
      </c>
    </row>
    <row r="73" spans="1:6" x14ac:dyDescent="0.25">
      <c r="A73">
        <v>53</v>
      </c>
      <c r="C73" cm="1">
        <f t="array" ref="C73">SUM(IFERROR(A73^{6,5,4,3,2,1,0},1)*_xlfn.ANCHORARRAY(H$5))</f>
        <v>76376.342393953993</v>
      </c>
    </row>
    <row r="74" spans="1:6" x14ac:dyDescent="0.25">
      <c r="A74">
        <v>54</v>
      </c>
      <c r="C74" cm="1">
        <f t="array" ref="C74">SUM(IFERROR(A74^{6,5,4,3,2,1,0},1)*_xlfn.ANCHORARRAY(H$5))</f>
        <v>37586.106766012614</v>
      </c>
    </row>
    <row r="75" spans="1:6" x14ac:dyDescent="0.25">
      <c r="A75">
        <v>55</v>
      </c>
      <c r="C75" cm="1">
        <f t="array" ref="C75">SUM(IFERROR(A75^{6,5,4,3,2,1,0},1)*_xlfn.ANCHORARRAY(H$5))</f>
        <v>-8411.2646340494975</v>
      </c>
    </row>
    <row r="76" spans="1:6" x14ac:dyDescent="0.25">
      <c r="A76">
        <v>56</v>
      </c>
      <c r="C76" cm="1">
        <f t="array" ref="C76">SUM(IFERROR(A76^{6,5,4,3,2,1,0},1)*_xlfn.ANCHORARRAY(H$5))</f>
        <v>-62565.388532837445</v>
      </c>
    </row>
    <row r="77" spans="1:6" x14ac:dyDescent="0.25">
      <c r="A77">
        <v>57</v>
      </c>
      <c r="C77" cm="1">
        <f t="array" ref="C77">SUM(IFERROR(A77^{6,5,4,3,2,1,0},1)*_xlfn.ANCHORARRAY(H$5))</f>
        <v>-125917.88788394135</v>
      </c>
    </row>
    <row r="78" spans="1:6" x14ac:dyDescent="0.25">
      <c r="A78">
        <v>58</v>
      </c>
      <c r="C78" cm="1">
        <f t="array" ref="C78">SUM(IFERROR(A78^{6,5,4,3,2,1,0},1)*_xlfn.ANCHORARRAY(H$5))</f>
        <v>-199608.0802335639</v>
      </c>
    </row>
    <row r="79" spans="1:6" x14ac:dyDescent="0.25">
      <c r="A79">
        <v>59</v>
      </c>
      <c r="C79" cm="1">
        <f t="array" ref="C79">SUM(IFERROR(A79^{6,5,4,3,2,1,0},1)*_xlfn.ANCHORARRAY(H$5))</f>
        <v>-284878.83302580041</v>
      </c>
    </row>
    <row r="80" spans="1:6" x14ac:dyDescent="0.25">
      <c r="A80">
        <v>60</v>
      </c>
      <c r="C80" cm="1">
        <f t="array" ref="C80">SUM(IFERROR(A80^{6,5,4,3,2,1,0},1)*_xlfn.ANCHORARRAY(H$5))</f>
        <v>-383082.58584762638</v>
      </c>
    </row>
    <row r="81" spans="1:3" x14ac:dyDescent="0.25">
      <c r="A81">
        <v>61</v>
      </c>
      <c r="C81" cm="1">
        <f t="array" ref="C81">SUM(IFERROR(A81^{6,5,4,3,2,1,0},1)*_xlfn.ANCHORARRAY(H$5))</f>
        <v>-495687.53961356339</v>
      </c>
    </row>
    <row r="82" spans="1:3" x14ac:dyDescent="0.25">
      <c r="A82">
        <v>62</v>
      </c>
      <c r="C82" cm="1">
        <f t="array" ref="C82">SUM(IFERROR(A82^{6,5,4,3,2,1,0},1)*_xlfn.ANCHORARRAY(H$5))</f>
        <v>-624284.0126899532</v>
      </c>
    </row>
    <row r="83" spans="1:3" x14ac:dyDescent="0.25">
      <c r="A83">
        <v>63</v>
      </c>
      <c r="C83" cm="1">
        <f t="array" ref="C83">SUM(IFERROR(A83^{6,5,4,3,2,1,0},1)*_xlfn.ANCHORARRAY(H$5))</f>
        <v>-770590.963959035</v>
      </c>
    </row>
    <row r="84" spans="1:3" x14ac:dyDescent="0.25">
      <c r="A84">
        <v>64</v>
      </c>
      <c r="C84" cm="1">
        <f t="array" ref="C84">SUM(IFERROR(A84^{6,5,4,3,2,1,0},1)*_xlfn.ANCHORARRAY(H$5))</f>
        <v>-936462.68282257207</v>
      </c>
    </row>
    <row r="85" spans="1:3" x14ac:dyDescent="0.25">
      <c r="A85">
        <v>65</v>
      </c>
      <c r="C85" cm="1">
        <f t="array" ref="C85">SUM(IFERROR(A85^{6,5,4,3,2,1,0},1)*_xlfn.ANCHORARRAY(H$5))</f>
        <v>-1123895.6461452378</v>
      </c>
    </row>
    <row r="86" spans="1:3" x14ac:dyDescent="0.25">
      <c r="A86">
        <v>66</v>
      </c>
      <c r="C86" cm="1">
        <f t="array" ref="C86">SUM(IFERROR(A86^{6,5,4,3,2,1,0},1)*_xlfn.ANCHORARRAY(H$5))</f>
        <v>-1335035.5421376459</v>
      </c>
    </row>
    <row r="87" spans="1:3" x14ac:dyDescent="0.25">
      <c r="A87">
        <v>67</v>
      </c>
      <c r="C87" cm="1">
        <f t="array" ref="C87">SUM(IFERROR(A87^{6,5,4,3,2,1,0},1)*_xlfn.ANCHORARRAY(H$5))</f>
        <v>-1572184.4611790513</v>
      </c>
    </row>
    <row r="88" spans="1:3" x14ac:dyDescent="0.25">
      <c r="A88">
        <v>68</v>
      </c>
      <c r="C88" cm="1">
        <f t="array" ref="C88">SUM(IFERROR(A88^{6,5,4,3,2,1,0},1)*_xlfn.ANCHORARRAY(H$5))</f>
        <v>-1837808.2535797758</v>
      </c>
    </row>
    <row r="89" spans="1:3" x14ac:dyDescent="0.25">
      <c r="A89">
        <v>69</v>
      </c>
      <c r="C89" cm="1">
        <f t="array" ref="C89">SUM(IFERROR(A89^{6,5,4,3,2,1,0},1)*_xlfn.ANCHORARRAY(H$5))</f>
        <v>-2134544.0542832119</v>
      </c>
    </row>
    <row r="90" spans="1:3" x14ac:dyDescent="0.25">
      <c r="A90">
        <v>70</v>
      </c>
      <c r="C90" cm="1">
        <f t="array" ref="C90">SUM(IFERROR(A90^{6,5,4,3,2,1,0},1)*_xlfn.ANCHORARRAY(H$5))</f>
        <v>-2465207.9745076373</v>
      </c>
    </row>
    <row r="91" spans="1:3" x14ac:dyDescent="0.25">
      <c r="A91">
        <v>71</v>
      </c>
      <c r="C91" cm="1">
        <f t="array" ref="C91">SUM(IFERROR(A91^{6,5,4,3,2,1,0},1)*_xlfn.ANCHORARRAY(H$5))</f>
        <v>-2832802.9603276108</v>
      </c>
    </row>
    <row r="92" spans="1:3" x14ac:dyDescent="0.25">
      <c r="A92">
        <v>72</v>
      </c>
      <c r="C92" cm="1">
        <f t="array" ref="C92">SUM(IFERROR(A92^{6,5,4,3,2,1,0},1)*_xlfn.ANCHORARRAY(H$5))</f>
        <v>-3240526.8181950077</v>
      </c>
    </row>
    <row r="93" spans="1:3" x14ac:dyDescent="0.25">
      <c r="A93">
        <v>73</v>
      </c>
      <c r="C93" cm="1">
        <f t="array" ref="C93">SUM(IFERROR(A93^{6,5,4,3,2,1,0},1)*_xlfn.ANCHORARRAY(H$5))</f>
        <v>-3691780.4073999082</v>
      </c>
    </row>
    <row r="94" spans="1:3" x14ac:dyDescent="0.25">
      <c r="A94">
        <v>74</v>
      </c>
      <c r="C94" cm="1">
        <f t="array" ref="C94">SUM(IFERROR(A94^{6,5,4,3,2,1,0},1)*_xlfn.ANCHORARRAY(H$5))</f>
        <v>-4190175.9994709571</v>
      </c>
    </row>
    <row r="95" spans="1:3" x14ac:dyDescent="0.25">
      <c r="A95">
        <v>75</v>
      </c>
      <c r="C95" cm="1">
        <f t="array" ref="C95">SUM(IFERROR(A95^{6,5,4,3,2,1,0},1)*_xlfn.ANCHORARRAY(H$5))</f>
        <v>-4739545.8045155238</v>
      </c>
    </row>
    <row r="96" spans="1:3" x14ac:dyDescent="0.25">
      <c r="A96">
        <v>76</v>
      </c>
      <c r="C96" cm="1">
        <f t="array" ref="C96">SUM(IFERROR(A96^{6,5,4,3,2,1,0},1)*_xlfn.ANCHORARRAY(H$5))</f>
        <v>-5343950.6644995427</v>
      </c>
    </row>
    <row r="97" spans="1:3" x14ac:dyDescent="0.25">
      <c r="A97">
        <v>77</v>
      </c>
      <c r="C97" cm="1">
        <f t="array" ref="C97">SUM(IFERROR(A97^{6,5,4,3,2,1,0},1)*_xlfn.ANCHORARRAY(H$5))</f>
        <v>-6007688.9134669146</v>
      </c>
    </row>
    <row r="98" spans="1:3" x14ac:dyDescent="0.25">
      <c r="A98">
        <v>78</v>
      </c>
      <c r="C98" cm="1">
        <f t="array" ref="C98">SUM(IFERROR(A98^{6,5,4,3,2,1,0},1)*_xlfn.ANCHORARRAY(H$5))</f>
        <v>-6735305.4046987221</v>
      </c>
    </row>
    <row r="99" spans="1:3" x14ac:dyDescent="0.25">
      <c r="A99">
        <v>79</v>
      </c>
      <c r="C99" cm="1">
        <f t="array" ref="C99">SUM(IFERROR(A99^{6,5,4,3,2,1,0},1)*_xlfn.ANCHORARRAY(H$5))</f>
        <v>-7531600.7048121141</v>
      </c>
    </row>
    <row r="100" spans="1:3" x14ac:dyDescent="0.25">
      <c r="A100">
        <v>80</v>
      </c>
      <c r="C100" cm="1">
        <f t="array" ref="C100">SUM(IFERROR(A100^{6,5,4,3,2,1,0},1)*_xlfn.ANCHORARRAY(H$5))</f>
        <v>-8401640.4547986593</v>
      </c>
    </row>
    <row r="101" spans="1:3" x14ac:dyDescent="0.25">
      <c r="A101">
        <v>81</v>
      </c>
      <c r="C101" cm="1">
        <f t="array" ref="C101">SUM(IFERROR(A101^{6,5,4,3,2,1,0},1)*_xlfn.ANCHORARRAY(H$5))</f>
        <v>-9350764.8980027083</v>
      </c>
    </row>
    <row r="102" spans="1:3" x14ac:dyDescent="0.25">
      <c r="A102">
        <v>82</v>
      </c>
      <c r="C102" cm="1">
        <f t="array" ref="C102">SUM(IFERROR(A102^{6,5,4,3,2,1,0},1)*_xlfn.ANCHORARRAY(H$5))</f>
        <v>-10384598.5750392</v>
      </c>
    </row>
    <row r="103" spans="1:3" x14ac:dyDescent="0.25">
      <c r="A103">
        <v>83</v>
      </c>
      <c r="C103" cm="1">
        <f t="array" ref="C103">SUM(IFERROR(A103^{6,5,4,3,2,1,0},1)*_xlfn.ANCHORARRAY(H$5))</f>
        <v>-11509060.18565111</v>
      </c>
    </row>
    <row r="104" spans="1:3" x14ac:dyDescent="0.25">
      <c r="A104">
        <v>84</v>
      </c>
      <c r="C104" cm="1">
        <f t="array" ref="C104">SUM(IFERROR(A104^{6,5,4,3,2,1,0},1)*_xlfn.ANCHORARRAY(H$5))</f>
        <v>-12730372.617506871</v>
      </c>
    </row>
    <row r="105" spans="1:3" x14ac:dyDescent="0.25">
      <c r="A105">
        <v>85</v>
      </c>
      <c r="C105" cm="1">
        <f t="array" ref="C105">SUM(IFERROR(A105^{6,5,4,3,2,1,0},1)*_xlfn.ANCHORARRAY(H$5))</f>
        <v>-14055073.141937101</v>
      </c>
    </row>
    <row r="106" spans="1:3" x14ac:dyDescent="0.25">
      <c r="A106">
        <v>86</v>
      </c>
      <c r="C106" cm="1">
        <f t="array" ref="C106">SUM(IFERROR(A106^{6,5,4,3,2,1,0},1)*_xlfn.ANCHORARRAY(H$5))</f>
        <v>-15490023.776611211</v>
      </c>
    </row>
    <row r="107" spans="1:3" x14ac:dyDescent="0.25">
      <c r="A107">
        <v>87</v>
      </c>
      <c r="C107" cm="1">
        <f t="array" ref="C107">SUM(IFERROR(A107^{6,5,4,3,2,1,0},1)*_xlfn.ANCHORARRAY(H$5))</f>
        <v>-17042421.815153658</v>
      </c>
    </row>
    <row r="108" spans="1:3" x14ac:dyDescent="0.25">
      <c r="A108">
        <v>88</v>
      </c>
      <c r="C108" cm="1">
        <f t="array" ref="C108">SUM(IFERROR(A108^{6,5,4,3,2,1,0},1)*_xlfn.ANCHORARRAY(H$5))</f>
        <v>-18719810.52370001</v>
      </c>
    </row>
    <row r="109" spans="1:3" x14ac:dyDescent="0.25">
      <c r="A109">
        <v>89</v>
      </c>
      <c r="C109" cm="1">
        <f t="array" ref="C109">SUM(IFERROR(A109^{6,5,4,3,2,1,0},1)*_xlfn.ANCHORARRAY(H$5))</f>
        <v>-20530090.004392341</v>
      </c>
    </row>
    <row r="110" spans="1:3" x14ac:dyDescent="0.25">
      <c r="A110">
        <v>90</v>
      </c>
      <c r="C110" cm="1">
        <f t="array" ref="C110">SUM(IFERROR(A110^{6,5,4,3,2,1,0},1)*_xlfn.ANCHORARRAY(H$5))</f>
        <v>-22481528.225814607</v>
      </c>
    </row>
    <row r="111" spans="1:3" x14ac:dyDescent="0.25">
      <c r="A111">
        <v>91</v>
      </c>
      <c r="C111" cm="1">
        <f t="array" ref="C111">SUM(IFERROR(A111^{6,5,4,3,2,1,0},1)*_xlfn.ANCHORARRAY(H$5))</f>
        <v>-24582772.220367663</v>
      </c>
    </row>
    <row r="112" spans="1:3" x14ac:dyDescent="0.25">
      <c r="A112">
        <v>92</v>
      </c>
      <c r="C112" cm="1">
        <f t="array" ref="C112">SUM(IFERROR(A112^{6,5,4,3,2,1,0},1)*_xlfn.ANCHORARRAY(H$5))</f>
        <v>-26842859.448583804</v>
      </c>
    </row>
    <row r="113" spans="1:3" x14ac:dyDescent="0.25">
      <c r="A113">
        <v>93</v>
      </c>
      <c r="C113" cm="1">
        <f t="array" ref="C113">SUM(IFERROR(A113^{6,5,4,3,2,1,0},1)*_xlfn.ANCHORARRAY(H$5))</f>
        <v>-29271229.330381054</v>
      </c>
    </row>
    <row r="114" spans="1:3" x14ac:dyDescent="0.25">
      <c r="A114">
        <v>94</v>
      </c>
      <c r="C114" cm="1">
        <f t="array" ref="C114">SUM(IFERROR(A114^{6,5,4,3,2,1,0},1)*_xlfn.ANCHORARRAY(H$5))</f>
        <v>-31877734.943257362</v>
      </c>
    </row>
    <row r="115" spans="1:3" x14ac:dyDescent="0.25">
      <c r="A115">
        <v>95</v>
      </c>
      <c r="C115" cm="1">
        <f t="array" ref="C115">SUM(IFERROR(A115^{6,5,4,3,2,1,0},1)*_xlfn.ANCHORARRAY(H$5))</f>
        <v>-34672654.887424067</v>
      </c>
    </row>
    <row r="116" spans="1:3" x14ac:dyDescent="0.25">
      <c r="A116">
        <v>96</v>
      </c>
      <c r="C116" cm="1">
        <f t="array" ref="C116">SUM(IFERROR(A116^{6,5,4,3,2,1,0},1)*_xlfn.ANCHORARRAY(H$5))</f>
        <v>-37666705.317879222</v>
      </c>
    </row>
    <row r="117" spans="1:3" x14ac:dyDescent="0.25">
      <c r="A117">
        <v>97</v>
      </c>
      <c r="C117" cm="1">
        <f t="array" ref="C117">SUM(IFERROR(A117^{6,5,4,3,2,1,0},1)*_xlfn.ANCHORARRAY(H$5))</f>
        <v>-40871052.143420815</v>
      </c>
    </row>
    <row r="118" spans="1:3" x14ac:dyDescent="0.25">
      <c r="A118">
        <v>98</v>
      </c>
      <c r="C118" cm="1">
        <f t="array" ref="C118">SUM(IFERROR(A118^{6,5,4,3,2,1,0},1)*_xlfn.ANCHORARRAY(H$5))</f>
        <v>-44297323.392599255</v>
      </c>
    </row>
    <row r="119" spans="1:3" x14ac:dyDescent="0.25">
      <c r="A119">
        <v>99</v>
      </c>
      <c r="C119" cm="1">
        <f t="array" ref="C119">SUM(IFERROR(A119^{6,5,4,3,2,1,0},1)*_xlfn.ANCHORARRAY(H$5))</f>
        <v>-47957621.746609852</v>
      </c>
    </row>
    <row r="120" spans="1:3" x14ac:dyDescent="0.25">
      <c r="A120">
        <v>100</v>
      </c>
      <c r="C120" cm="1">
        <f t="array" ref="C120">SUM(IFERROR(A120^{6,5,4,3,2,1,0},1)*_xlfn.ANCHORARRAY(H$5))</f>
        <v>-51864537.239124969</v>
      </c>
    </row>
  </sheetData>
  <autoFilter ref="A1:B16" xr:uid="{FD9A0E4F-CE2C-4E22-9536-CBDF9CAF2677}">
    <sortState xmlns:xlrd2="http://schemas.microsoft.com/office/spreadsheetml/2017/richdata2" ref="A2:B16">
      <sortCondition ref="A1:A1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H3PO4_conductivity_curve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Carruthers</cp:lastModifiedBy>
  <dcterms:created xsi:type="dcterms:W3CDTF">2026-05-04T11:53:48Z</dcterms:created>
  <dcterms:modified xsi:type="dcterms:W3CDTF">2026-05-04T16:23:19Z</dcterms:modified>
</cp:coreProperties>
</file>