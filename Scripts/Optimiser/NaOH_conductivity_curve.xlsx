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rruther\bin\Scripts\Optimiser\"/>
    </mc:Choice>
  </mc:AlternateContent>
  <xr:revisionPtr revIDLastSave="0" documentId="13_ncr:1_{B04C7E8B-0C30-40ED-9773-55A4C648FD1D}" xr6:coauthVersionLast="47" xr6:coauthVersionMax="47" xr10:uidLastSave="{00000000-0000-0000-0000-000000000000}"/>
  <bookViews>
    <workbookView xWindow="28680" yWindow="-120" windowWidth="29040" windowHeight="15720" xr2:uid="{BEBCA005-CAE2-4B40-AA60-B08F636C9CB5}"/>
  </bookViews>
  <sheets>
    <sheet name="NaOH_conductivity_curve" sheetId="1" r:id="rId1"/>
  </sheets>
  <definedNames>
    <definedName name="_xlnm._FilterDatabase" localSheetId="0" hidden="1">NaOH_conductivity_curve!$A$1:$B$14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 a="1"/>
  <c r="H20" i="1"/>
  <c r="D19" i="1" a="1"/>
  <c r="D19" i="1" s="1"/>
  <c r="L6" i="1" a="1"/>
  <c r="L6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2" i="1" a="1"/>
  <c r="D2" i="1" s="1"/>
  <c r="L4" i="1" a="1"/>
  <c r="L4" i="1" s="1"/>
  <c r="C3" i="1"/>
  <c r="C4" i="1"/>
  <c r="C5" i="1"/>
  <c r="C6" i="1"/>
  <c r="C7" i="1"/>
  <c r="C2" i="1"/>
  <c r="F6" i="1" l="1" a="1"/>
  <c r="F6" i="1" s="1"/>
  <c r="H47" i="1" a="1"/>
  <c r="H47" i="1" s="1"/>
  <c r="H36" i="1" a="1"/>
  <c r="H36" i="1" s="1"/>
  <c r="F3" i="1" a="1"/>
  <c r="F3" i="1" s="1"/>
  <c r="H34" i="1" a="1"/>
  <c r="H34" i="1" s="1"/>
  <c r="H63" i="1" a="1"/>
  <c r="H63" i="1" s="1"/>
  <c r="H53" i="1" a="1"/>
  <c r="H53" i="1" s="1"/>
  <c r="H41" i="1" a="1"/>
  <c r="H41" i="1" s="1"/>
  <c r="H40" i="1" a="1"/>
  <c r="H40" i="1" s="1"/>
  <c r="H29" i="1" a="1"/>
  <c r="H29" i="1" s="1"/>
  <c r="H25" i="1" a="1"/>
  <c r="H25" i="1" s="1"/>
  <c r="H24" i="1" a="1"/>
  <c r="H24" i="1" s="1"/>
  <c r="H23" i="1" a="1"/>
  <c r="H23" i="1" s="1"/>
  <c r="H22" i="1" a="1"/>
  <c r="H22" i="1" s="1"/>
  <c r="H49" i="1" a="1"/>
  <c r="H49" i="1" s="1"/>
  <c r="H59" i="1" a="1"/>
  <c r="H59" i="1" s="1"/>
  <c r="H58" i="1" a="1"/>
  <c r="H58" i="1" s="1"/>
  <c r="H46" i="1" a="1"/>
  <c r="H46" i="1" s="1"/>
  <c r="H57" i="1" a="1"/>
  <c r="H57" i="1" s="1"/>
  <c r="H45" i="1" a="1"/>
  <c r="H45" i="1" s="1"/>
  <c r="H44" i="1" a="1"/>
  <c r="H44" i="1" s="1"/>
  <c r="H64" i="1" a="1"/>
  <c r="H64" i="1" s="1"/>
  <c r="H32" i="1" a="1"/>
  <c r="H32" i="1" s="1"/>
  <c r="H21" i="1" a="1"/>
  <c r="H21" i="1" s="1"/>
  <c r="D12" i="1" a="1"/>
  <c r="D12" i="1" s="1"/>
  <c r="D5" i="1" a="1"/>
  <c r="D5" i="1" s="1"/>
  <c r="D4" i="1" a="1"/>
  <c r="D4" i="1" s="1"/>
  <c r="D3" i="1" a="1"/>
  <c r="D3" i="1" s="1"/>
  <c r="D11" i="1" a="1"/>
  <c r="D11" i="1" s="1"/>
  <c r="D10" i="1" a="1"/>
  <c r="D10" i="1" s="1"/>
  <c r="D9" i="1" a="1"/>
  <c r="D9" i="1" s="1"/>
  <c r="D8" i="1" a="1"/>
  <c r="D8" i="1" s="1"/>
  <c r="D7" i="1" a="1"/>
  <c r="D7" i="1" s="1"/>
  <c r="D6" i="1" a="1"/>
  <c r="D6" i="1" s="1"/>
  <c r="D14" i="1" a="1"/>
  <c r="D14" i="1" s="1"/>
  <c r="D13" i="1" a="1"/>
  <c r="D13" i="1" s="1"/>
  <c r="H33" i="1" l="1" a="1"/>
  <c r="H33" i="1" s="1"/>
  <c r="H37" i="1" a="1"/>
  <c r="H37" i="1" s="1"/>
  <c r="H35" i="1" a="1"/>
  <c r="H35" i="1" s="1"/>
  <c r="H26" i="1" a="1"/>
  <c r="H26" i="1" s="1"/>
  <c r="H43" i="1" a="1"/>
  <c r="H43" i="1" s="1"/>
  <c r="F7" i="1" a="1"/>
  <c r="F7" i="1" s="1"/>
  <c r="H27" i="1" a="1"/>
  <c r="H27" i="1" s="1"/>
  <c r="H55" i="1" a="1"/>
  <c r="H55" i="1" s="1"/>
  <c r="H38" i="1" a="1"/>
  <c r="H38" i="1" s="1"/>
  <c r="H28" i="1" a="1"/>
  <c r="H28" i="1" s="1"/>
  <c r="H60" i="1" a="1"/>
  <c r="H60" i="1" s="1"/>
  <c r="H61" i="1" a="1"/>
  <c r="H61" i="1" s="1"/>
  <c r="H48" i="1" a="1"/>
  <c r="H48" i="1" s="1"/>
  <c r="H30" i="1" a="1"/>
  <c r="H30" i="1" s="1"/>
  <c r="H56" i="1" a="1"/>
  <c r="H56" i="1" s="1"/>
  <c r="H39" i="1" a="1"/>
  <c r="H39" i="1" s="1"/>
  <c r="H51" i="1" a="1"/>
  <c r="H51" i="1" s="1"/>
  <c r="H31" i="1" a="1"/>
  <c r="H31" i="1" s="1"/>
  <c r="H42" i="1" a="1"/>
  <c r="H42" i="1" s="1"/>
  <c r="F2" i="1" a="1"/>
  <c r="F2" i="1" s="1"/>
  <c r="H52" i="1" a="1"/>
  <c r="H52" i="1" s="1"/>
  <c r="F4" i="1" a="1"/>
  <c r="F4" i="1" s="1"/>
  <c r="H54" i="1" a="1"/>
  <c r="H54" i="1" s="1"/>
  <c r="H50" i="1" a="1"/>
  <c r="H50" i="1" s="1"/>
  <c r="H62" i="1" a="1"/>
  <c r="H62" i="1" s="1"/>
  <c r="F5" i="1" a="1"/>
  <c r="F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<sst xmlns="http://schemas.openxmlformats.org/spreadsheetml/2006/main" count="23" uniqueCount="16">
  <si>
    <t>Weight%</t>
  </si>
  <si>
    <t>microS/cm</t>
  </si>
  <si>
    <t>a1</t>
  </si>
  <si>
    <t>a2</t>
  </si>
  <si>
    <t>a3</t>
  </si>
  <si>
    <t>a4</t>
  </si>
  <si>
    <t>b1</t>
  </si>
  <si>
    <t>b2</t>
  </si>
  <si>
    <t>b3</t>
  </si>
  <si>
    <t>exponential fit</t>
  </si>
  <si>
    <t>polyfit order 8</t>
  </si>
  <si>
    <t>Inverse function poly fit 8</t>
  </si>
  <si>
    <t>a5</t>
  </si>
  <si>
    <t>weight %</t>
  </si>
  <si>
    <t>mS/cm</t>
  </si>
  <si>
    <t>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</si>
</sst>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NaOH_conductivity_curve!$B$1</c:f>
              <c:strCache>
                <c:ptCount val="1"/>
                <c:pt idx="0">
                  <c:v>microS/cm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NaOH_conductivity_curve!$A$2:$A$14</c:f>
              <c:numCache>
                <c:formatCode>General</c:formatCode>
                <c:ptCount val="13"/>
                <c:pt idx="0">
                  <c:v>0</c:v>
                </c:pt>
                <c:pt idx="1">
                  <c:v>0.56306306299999997</c:v>
                </c:pt>
                <c:pt idx="2">
                  <c:v>2.2522522519999999</c:v>
                </c:pt>
                <c:pt idx="3">
                  <c:v>4.8423423420000002</c:v>
                </c:pt>
                <c:pt idx="4">
                  <c:v>9.7972972970000001</c:v>
                </c:pt>
                <c:pt idx="5">
                  <c:v>14.75225225</c:v>
                </c:pt>
                <c:pt idx="6">
                  <c:v>19.70720721</c:v>
                </c:pt>
                <c:pt idx="7">
                  <c:v>24.662162160000001</c:v>
                </c:pt>
                <c:pt idx="8">
                  <c:v>29.61711712</c:v>
                </c:pt>
                <c:pt idx="9">
                  <c:v>34.909909910000003</c:v>
                </c:pt>
                <c:pt idx="10">
                  <c:v>39.864864859999997</c:v>
                </c:pt>
                <c:pt idx="11">
                  <c:v>44.819819819999999</c:v>
                </c:pt>
                <c:pt idx="12">
                  <c:v>49.887387390000001</c:v>
                </c:pt>
              </c:numCache>
            </c:numRef>
          </c:xVal>
          <c:yVal>
            <c:numRef>
              <c:f>NaOH_conductivity_curve!$B$2:$B$14</c:f>
              <c:numCache>
                <c:formatCode>General</c:formatCode>
                <c:ptCount val="13"/>
                <c:pt idx="0">
                  <c:v>0</c:v>
                </c:pt>
                <c:pt idx="1">
                  <c:v>32024.53988</c:v>
                </c:pt>
                <c:pt idx="2">
                  <c:v>120368.09819999999</c:v>
                </c:pt>
                <c:pt idx="3">
                  <c:v>221963.19020000001</c:v>
                </c:pt>
                <c:pt idx="4">
                  <c:v>357791.41100000002</c:v>
                </c:pt>
                <c:pt idx="5">
                  <c:v>413006.13500000001</c:v>
                </c:pt>
                <c:pt idx="6">
                  <c:v>380981.59509999998</c:v>
                </c:pt>
                <c:pt idx="7">
                  <c:v>315828.22090000001</c:v>
                </c:pt>
                <c:pt idx="8">
                  <c:v>248466.25769999999</c:v>
                </c:pt>
                <c:pt idx="9">
                  <c:v>188834.35579999999</c:v>
                </c:pt>
                <c:pt idx="10">
                  <c:v>139141.10430000001</c:v>
                </c:pt>
                <c:pt idx="11">
                  <c:v>110429.4479</c:v>
                </c:pt>
                <c:pt idx="12">
                  <c:v>87239.263800000001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1E-4F2F-B6A0-F227971F24C6}"/>
            </c:ext>
          </c:extLst>
        </c:ser>
        <c:ser>
          <c:idx val="1"/>
          <c:order val="1"/>
          <c:tx>
            <c:strRef>
              <c:f>NaOH_conductivity_curve!$D$1</c:f>
              <c:strCache>
                <c:ptCount val="1"/>
                <c:pt idx="0">
                  <c:v>polyfit order 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NaOH_conductivity_curve!$A$2:$A$14</c:f>
              <c:numCache>
                <c:formatCode>General</c:formatCode>
                <c:ptCount val="13"/>
                <c:pt idx="0">
                  <c:v>0</c:v>
                </c:pt>
                <c:pt idx="1">
                  <c:v>0.56306306299999997</c:v>
                </c:pt>
                <c:pt idx="2">
                  <c:v>2.2522522519999999</c:v>
                </c:pt>
                <c:pt idx="3">
                  <c:v>4.8423423420000002</c:v>
                </c:pt>
                <c:pt idx="4">
                  <c:v>9.7972972970000001</c:v>
                </c:pt>
                <c:pt idx="5">
                  <c:v>14.75225225</c:v>
                </c:pt>
                <c:pt idx="6">
                  <c:v>19.70720721</c:v>
                </c:pt>
                <c:pt idx="7">
                  <c:v>24.662162160000001</c:v>
                </c:pt>
                <c:pt idx="8">
                  <c:v>29.61711712</c:v>
                </c:pt>
                <c:pt idx="9">
                  <c:v>34.909909910000003</c:v>
                </c:pt>
                <c:pt idx="10">
                  <c:v>39.864864859999997</c:v>
                </c:pt>
                <c:pt idx="11">
                  <c:v>44.819819819999999</c:v>
                </c:pt>
                <c:pt idx="12">
                  <c:v>49.887387390000001</c:v>
                </c:pt>
              </c:numCache>
            </c:numRef>
          </c:xVal>
          <c:yVal>
            <c:numRef>
              <c:f>NaOH_conductivity_curve!$D$2:$D$14</c:f>
              <c:numCache>
                <c:formatCode>General</c:formatCode>
                <c:ptCount val="13"/>
                <c:pt idx="0">
                  <c:v>0</c:v>
                </c:pt>
                <c:pt idx="1">
                  <c:v>33559.13799289806</c:v>
                </c:pt>
                <c:pt idx="2">
                  <c:v>119661.79790142772</c:v>
                </c:pt>
                <c:pt idx="3">
                  <c:v>221802.99405512755</c:v>
                </c:pt>
                <c:pt idx="4">
                  <c:v>358720.29943446547</c:v>
                </c:pt>
                <c:pt idx="5">
                  <c:v>411417.04426911043</c:v>
                </c:pt>
                <c:pt idx="6">
                  <c:v>382643.4881517333</c:v>
                </c:pt>
                <c:pt idx="7">
                  <c:v>314861.04231875786</c:v>
                </c:pt>
                <c:pt idx="8">
                  <c:v>248583.69523558486</c:v>
                </c:pt>
                <c:pt idx="9">
                  <c:v>189102.76242645504</c:v>
                </c:pt>
                <c:pt idx="10">
                  <c:v>138922.80807764595</c:v>
                </c:pt>
                <c:pt idx="11">
                  <c:v>110502.28760455735</c:v>
                </c:pt>
                <c:pt idx="12">
                  <c:v>87229.950935737696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1E-4F2F-B6A0-F227971F24C6}"/>
            </c:ext>
          </c:extLst>
        </c:ser>
        <c:ser>
          <c:idx val="2"/>
          <c:order val="2"/>
          <c:tx>
            <c:strRef>
              <c:f>NaOH_conductivity_curve!$C$1</c:f>
              <c:strCache>
                <c:ptCount val="1"/>
                <c:pt idx="0">
                  <c:v>exponential fit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NaOH_conductivity_curve!$A$2:$A$14</c:f>
              <c:numCache>
                <c:formatCode>General</c:formatCode>
                <c:ptCount val="13"/>
                <c:pt idx="0">
                  <c:v>0</c:v>
                </c:pt>
                <c:pt idx="1">
                  <c:v>0.56306306299999997</c:v>
                </c:pt>
                <c:pt idx="2">
                  <c:v>2.2522522519999999</c:v>
                </c:pt>
                <c:pt idx="3">
                  <c:v>4.8423423420000002</c:v>
                </c:pt>
                <c:pt idx="4">
                  <c:v>9.7972972970000001</c:v>
                </c:pt>
                <c:pt idx="5">
                  <c:v>14.75225225</c:v>
                </c:pt>
                <c:pt idx="6">
                  <c:v>19.70720721</c:v>
                </c:pt>
                <c:pt idx="7">
                  <c:v>24.662162160000001</c:v>
                </c:pt>
                <c:pt idx="8">
                  <c:v>29.61711712</c:v>
                </c:pt>
                <c:pt idx="9">
                  <c:v>34.909909910000003</c:v>
                </c:pt>
                <c:pt idx="10">
                  <c:v>39.864864859999997</c:v>
                </c:pt>
                <c:pt idx="11">
                  <c:v>44.819819819999999</c:v>
                </c:pt>
                <c:pt idx="12">
                  <c:v>49.887387390000001</c:v>
                </c:pt>
              </c:numCache>
            </c:numRef>
          </c:xVal>
          <c:yVal>
            <c:numRef>
              <c:f>NaOH_conductivity_curve!$C$2:$C$14</c:f>
              <c:numCache>
                <c:formatCode>General</c:formatCode>
                <c:ptCount val="13"/>
                <c:pt idx="0">
                  <c:v>1.8620820500000016E-7</c:v>
                </c:pt>
                <c:pt idx="1">
                  <c:v>3.066233200187387E-7</c:v>
                </c:pt>
                <c:pt idx="2">
                  <c:v>1.3689567529408876E-6</c:v>
                </c:pt>
                <c:pt idx="3">
                  <c:v>1.3570412336342883E-5</c:v>
                </c:pt>
                <c:pt idx="4">
                  <c:v>1.0904529905483736E-3</c:v>
                </c:pt>
                <c:pt idx="5">
                  <c:v>8.72134277687725E-2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01E-4F2F-B6A0-F227971F24C6}"/>
            </c:ext>
          </c:extLst>
        </c:ser>
        <c:ser>
          <c:idx val="3"/>
          <c:order val="3"/>
          <c:tx>
            <c:v>Check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NaOH_conductivity_curve!$A$19:$A$69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NaOH_conductivity_curve!$D$19:$D$69</c:f>
              <c:numCache>
                <c:formatCode>General</c:formatCode>
                <c:ptCount val="51"/>
                <c:pt idx="0">
                  <c:v>0</c:v>
                </c:pt>
                <c:pt idx="1">
                  <c:v>58028.772176176179</c:v>
                </c:pt>
                <c:pt idx="2">
                  <c:v>108095.70433088788</c:v>
                </c:pt>
                <c:pt idx="3">
                  <c:v>151953.28428468702</c:v>
                </c:pt>
                <c:pt idx="4">
                  <c:v>191336.1679438728</c:v>
                </c:pt>
                <c:pt idx="5">
                  <c:v>227262.97777276835</c:v>
                </c:pt>
                <c:pt idx="6">
                  <c:v>260233.49649006623</c:v>
                </c:pt>
                <c:pt idx="7">
                  <c:v>290391.36762066936</c:v>
                </c:pt>
                <c:pt idx="8">
                  <c:v>317655.92528355378</c:v>
                </c:pt>
                <c:pt idx="9">
                  <c:v>341826.59772239713</c:v>
                </c:pt>
                <c:pt idx="10">
                  <c:v>362663.15121193539</c:v>
                </c:pt>
                <c:pt idx="11">
                  <c:v>379944.86309922754</c:v>
                </c:pt>
                <c:pt idx="12">
                  <c:v>393511.53486523009</c:v>
                </c:pt>
                <c:pt idx="13">
                  <c:v>403289.07821829279</c:v>
                </c:pt>
                <c:pt idx="14">
                  <c:v>409302.22935741837</c:v>
                </c:pt>
                <c:pt idx="15">
                  <c:v>411676.76866933249</c:v>
                </c:pt>
                <c:pt idx="16">
                  <c:v>410633.44524964341</c:v>
                </c:pt>
                <c:pt idx="17">
                  <c:v>406475.62776456936</c:v>
                </c:pt>
                <c:pt idx="18">
                  <c:v>399572.52529596281</c:v>
                </c:pt>
                <c:pt idx="19">
                  <c:v>390339.64393852837</c:v>
                </c:pt>
                <c:pt idx="20">
                  <c:v>379217.9670444082</c:v>
                </c:pt>
                <c:pt idx="21">
                  <c:v>366653.16913648811</c:v>
                </c:pt>
                <c:pt idx="22">
                  <c:v>353075.99563798215</c:v>
                </c:pt>
                <c:pt idx="23">
                  <c:v>338884.76269215113</c:v>
                </c:pt>
                <c:pt idx="24">
                  <c:v>324430.75347208465</c:v>
                </c:pt>
                <c:pt idx="25">
                  <c:v>310007.10950691043</c:v>
                </c:pt>
                <c:pt idx="26">
                  <c:v>295841.63767673378</c:v>
                </c:pt>
                <c:pt idx="27">
                  <c:v>282093.77565510757</c:v>
                </c:pt>
                <c:pt idx="28">
                  <c:v>268855.7807038296</c:v>
                </c:pt>
                <c:pt idx="29">
                  <c:v>256158.02885130118</c:v>
                </c:pt>
                <c:pt idx="30">
                  <c:v>243978.13361153076</c:v>
                </c:pt>
                <c:pt idx="31">
                  <c:v>232253.41552773165</c:v>
                </c:pt>
                <c:pt idx="32">
                  <c:v>220896.0759497215</c:v>
                </c:pt>
                <c:pt idx="33">
                  <c:v>209810.25058176415</c:v>
                </c:pt>
                <c:pt idx="34">
                  <c:v>198909.94046245189</c:v>
                </c:pt>
                <c:pt idx="35">
                  <c:v>188136.6401653178</c:v>
                </c:pt>
                <c:pt idx="36">
                  <c:v>177475.30513502005</c:v>
                </c:pt>
                <c:pt idx="37">
                  <c:v>166967.12219939474</c:v>
                </c:pt>
                <c:pt idx="38">
                  <c:v>156717.36942515336</c:v>
                </c:pt>
                <c:pt idx="39">
                  <c:v>146896.47360984096</c:v>
                </c:pt>
                <c:pt idx="40">
                  <c:v>137732.1958301398</c:v>
                </c:pt>
                <c:pt idx="41">
                  <c:v>129490.69759165728</c:v>
                </c:pt>
                <c:pt idx="42">
                  <c:v>122444.06225262536</c:v>
                </c:pt>
                <c:pt idx="43">
                  <c:v>116821.66851986991</c:v>
                </c:pt>
                <c:pt idx="44">
                  <c:v>112742.63494056184</c:v>
                </c:pt>
                <c:pt idx="45">
                  <c:v>110126.37644100748</c:v>
                </c:pt>
                <c:pt idx="46">
                  <c:v>108578.13608903904</c:v>
                </c:pt>
                <c:pt idx="47">
                  <c:v>107246.17738369666</c:v>
                </c:pt>
                <c:pt idx="48">
                  <c:v>104647.1445005266</c:v>
                </c:pt>
                <c:pt idx="49">
                  <c:v>98455.920048359316</c:v>
                </c:pt>
                <c:pt idx="50">
                  <c:v>85256.132018710021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02-4A1E-82DD-855378E02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479055"/>
        <c:axId val="990392799"/>
      </c:scatterChart>
      <c:valAx>
        <c:axId val="90047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Weight%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392799"/>
        <c:crosses val="autoZero"/>
        <c:crossBetween val="midCat"/>
      </c:valAx>
      <c:valAx>
        <c:axId val="99039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microS/cm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47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Inverse</a:t>
            </a:r>
            <a:r>
              <a:rPr lang="en-US" baseline="0"/>
              <a:t> Function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NaOH_conductivity_curve!$B$1</c:f>
              <c:strCache>
                <c:ptCount val="1"/>
                <c:pt idx="0">
                  <c:v>microS/cm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NaOH_conductivity_curve!$B$2:$B$14</c:f>
              <c:numCache>
                <c:formatCode>General</c:formatCode>
                <c:ptCount val="13"/>
                <c:pt idx="0">
                  <c:v>0</c:v>
                </c:pt>
                <c:pt idx="1">
                  <c:v>32024.53988</c:v>
                </c:pt>
                <c:pt idx="2">
                  <c:v>120368.09819999999</c:v>
                </c:pt>
                <c:pt idx="3">
                  <c:v>221963.19020000001</c:v>
                </c:pt>
                <c:pt idx="4">
                  <c:v>357791.41100000002</c:v>
                </c:pt>
                <c:pt idx="5">
                  <c:v>413006.13500000001</c:v>
                </c:pt>
                <c:pt idx="6">
                  <c:v>380981.59509999998</c:v>
                </c:pt>
                <c:pt idx="7">
                  <c:v>315828.22090000001</c:v>
                </c:pt>
                <c:pt idx="8">
                  <c:v>248466.25769999999</c:v>
                </c:pt>
                <c:pt idx="9">
                  <c:v>188834.35579999999</c:v>
                </c:pt>
                <c:pt idx="10">
                  <c:v>139141.10430000001</c:v>
                </c:pt>
                <c:pt idx="11">
                  <c:v>110429.4479</c:v>
                </c:pt>
                <c:pt idx="12">
                  <c:v>87239.263800000001</c:v>
                </c:pt>
              </c:numCache>
            </c:numRef>
          </c:xVal>
          <c:yVal>
            <c:numRef>
              <c:f>NaOH_conductivity_curve!$A$2:$A$14</c:f>
              <c:numCache>
                <c:formatCode>General</c:formatCode>
                <c:ptCount val="13"/>
                <c:pt idx="0">
                  <c:v>0</c:v>
                </c:pt>
                <c:pt idx="1">
                  <c:v>0.56306306299999997</c:v>
                </c:pt>
                <c:pt idx="2">
                  <c:v>2.2522522519999999</c:v>
                </c:pt>
                <c:pt idx="3">
                  <c:v>4.8423423420000002</c:v>
                </c:pt>
                <c:pt idx="4">
                  <c:v>9.7972972970000001</c:v>
                </c:pt>
                <c:pt idx="5">
                  <c:v>14.75225225</c:v>
                </c:pt>
                <c:pt idx="6">
                  <c:v>19.70720721</c:v>
                </c:pt>
                <c:pt idx="7">
                  <c:v>24.662162160000001</c:v>
                </c:pt>
                <c:pt idx="8">
                  <c:v>29.61711712</c:v>
                </c:pt>
                <c:pt idx="9">
                  <c:v>34.909909910000003</c:v>
                </c:pt>
                <c:pt idx="10">
                  <c:v>39.864864859999997</c:v>
                </c:pt>
                <c:pt idx="11">
                  <c:v>44.819819819999999</c:v>
                </c:pt>
                <c:pt idx="12">
                  <c:v>49.887387390000001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60-4DB3-8C03-36BB5F65906E}"/>
            </c:ext>
          </c:extLst>
        </c:ser>
        <c:ser>
          <c:idx val="1"/>
          <c:order val="1"/>
          <c:tx>
            <c:strRef>
              <c:f>NaOH_conductivity_curve!$F$1</c:f>
              <c:strCache>
                <c:ptCount val="1"/>
                <c:pt idx="0">
                  <c:v>Inverse function poly fit 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NaOH_conductivity_curve!$B$2:$B$14</c:f>
              <c:numCache>
                <c:formatCode>General</c:formatCode>
                <c:ptCount val="13"/>
                <c:pt idx="0">
                  <c:v>0</c:v>
                </c:pt>
                <c:pt idx="1">
                  <c:v>32024.53988</c:v>
                </c:pt>
                <c:pt idx="2">
                  <c:v>120368.09819999999</c:v>
                </c:pt>
                <c:pt idx="3">
                  <c:v>221963.19020000001</c:v>
                </c:pt>
                <c:pt idx="4">
                  <c:v>357791.41100000002</c:v>
                </c:pt>
                <c:pt idx="5">
                  <c:v>413006.13500000001</c:v>
                </c:pt>
                <c:pt idx="6">
                  <c:v>380981.59509999998</c:v>
                </c:pt>
                <c:pt idx="7">
                  <c:v>315828.22090000001</c:v>
                </c:pt>
                <c:pt idx="8">
                  <c:v>248466.25769999999</c:v>
                </c:pt>
                <c:pt idx="9">
                  <c:v>188834.35579999999</c:v>
                </c:pt>
                <c:pt idx="10">
                  <c:v>139141.10430000001</c:v>
                </c:pt>
                <c:pt idx="11">
                  <c:v>110429.4479</c:v>
                </c:pt>
                <c:pt idx="12">
                  <c:v>87239.263800000001</c:v>
                </c:pt>
              </c:numCache>
            </c:numRef>
          </c:xVal>
          <c:yVal>
            <c:numRef>
              <c:f>NaOH_conductivity_curve!$F$2:$F$14</c:f>
              <c:numCache>
                <c:formatCode>General</c:formatCode>
                <c:ptCount val="13"/>
                <c:pt idx="0">
                  <c:v>0</c:v>
                </c:pt>
                <c:pt idx="1">
                  <c:v>0.42781626109390086</c:v>
                </c:pt>
                <c:pt idx="2">
                  <c:v>2.3724222077635542</c:v>
                </c:pt>
                <c:pt idx="3">
                  <c:v>4.761186273236893</c:v>
                </c:pt>
                <c:pt idx="4">
                  <c:v>9.8407587203745717</c:v>
                </c:pt>
                <c:pt idx="5">
                  <c:v>14.733681396321861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60-4DB3-8C03-36BB5F65906E}"/>
            </c:ext>
          </c:extLst>
        </c:ser>
        <c:ser>
          <c:idx val="2"/>
          <c:order val="2"/>
          <c:tx>
            <c:v>inbetween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NaOH_conductivity_curve!$G$20:$G$64</c:f>
              <c:numCache>
                <c:formatCode>General</c:formatCode>
                <c:ptCount val="45"/>
                <c:pt idx="0">
                  <c:v>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40000</c:v>
                </c:pt>
                <c:pt idx="5">
                  <c:v>50000</c:v>
                </c:pt>
                <c:pt idx="6">
                  <c:v>60000</c:v>
                </c:pt>
                <c:pt idx="7">
                  <c:v>70000</c:v>
                </c:pt>
                <c:pt idx="8">
                  <c:v>80000</c:v>
                </c:pt>
                <c:pt idx="9">
                  <c:v>90000</c:v>
                </c:pt>
                <c:pt idx="10">
                  <c:v>100000</c:v>
                </c:pt>
                <c:pt idx="11">
                  <c:v>110000</c:v>
                </c:pt>
                <c:pt idx="12">
                  <c:v>120000</c:v>
                </c:pt>
                <c:pt idx="13">
                  <c:v>130000</c:v>
                </c:pt>
                <c:pt idx="14">
                  <c:v>140000</c:v>
                </c:pt>
                <c:pt idx="15">
                  <c:v>150000</c:v>
                </c:pt>
                <c:pt idx="16">
                  <c:v>160000</c:v>
                </c:pt>
                <c:pt idx="17">
                  <c:v>170000</c:v>
                </c:pt>
                <c:pt idx="18">
                  <c:v>180000</c:v>
                </c:pt>
                <c:pt idx="19">
                  <c:v>190000</c:v>
                </c:pt>
                <c:pt idx="20">
                  <c:v>200000</c:v>
                </c:pt>
                <c:pt idx="21">
                  <c:v>210000</c:v>
                </c:pt>
                <c:pt idx="22">
                  <c:v>220000</c:v>
                </c:pt>
                <c:pt idx="23">
                  <c:v>230000</c:v>
                </c:pt>
                <c:pt idx="24">
                  <c:v>240000</c:v>
                </c:pt>
                <c:pt idx="25">
                  <c:v>250000</c:v>
                </c:pt>
                <c:pt idx="26">
                  <c:v>260000</c:v>
                </c:pt>
                <c:pt idx="27">
                  <c:v>270000</c:v>
                </c:pt>
                <c:pt idx="28">
                  <c:v>280000</c:v>
                </c:pt>
                <c:pt idx="29">
                  <c:v>290000</c:v>
                </c:pt>
                <c:pt idx="30">
                  <c:v>300000</c:v>
                </c:pt>
                <c:pt idx="31">
                  <c:v>310000</c:v>
                </c:pt>
                <c:pt idx="32">
                  <c:v>320000</c:v>
                </c:pt>
                <c:pt idx="33">
                  <c:v>330000</c:v>
                </c:pt>
                <c:pt idx="34">
                  <c:v>340000</c:v>
                </c:pt>
                <c:pt idx="35">
                  <c:v>350000</c:v>
                </c:pt>
                <c:pt idx="36">
                  <c:v>360000</c:v>
                </c:pt>
                <c:pt idx="37">
                  <c:v>370000</c:v>
                </c:pt>
                <c:pt idx="38">
                  <c:v>380000</c:v>
                </c:pt>
                <c:pt idx="39">
                  <c:v>390000</c:v>
                </c:pt>
                <c:pt idx="40">
                  <c:v>400000</c:v>
                </c:pt>
                <c:pt idx="41">
                  <c:v>410000</c:v>
                </c:pt>
                <c:pt idx="42">
                  <c:v>420000</c:v>
                </c:pt>
                <c:pt idx="43">
                  <c:v>430000</c:v>
                </c:pt>
                <c:pt idx="44">
                  <c:v>440000</c:v>
                </c:pt>
              </c:numCache>
            </c:numRef>
          </c:xVal>
          <c:yVal>
            <c:numRef>
              <c:f>NaOH_conductivity_curve!$H$20:$H$64</c:f>
              <c:numCache>
                <c:formatCode>General</c:formatCode>
                <c:ptCount val="45"/>
                <c:pt idx="0">
                  <c:v>0</c:v>
                </c:pt>
                <c:pt idx="1">
                  <c:v>0.1461241583828605</c:v>
                </c:pt>
                <c:pt idx="2">
                  <c:v>0.25607885906787708</c:v>
                </c:pt>
                <c:pt idx="3">
                  <c:v>0.39619886160285311</c:v>
                </c:pt>
                <c:pt idx="4">
                  <c:v>0.56183002342168575</c:v>
                </c:pt>
                <c:pt idx="5">
                  <c:v>0.74867164505358352</c:v>
                </c:pt>
                <c:pt idx="6">
                  <c:v>0.9527764701230661</c:v>
                </c:pt>
                <c:pt idx="7">
                  <c:v>1.1705506853499643</c:v>
                </c:pt>
                <c:pt idx="8">
                  <c:v>1.3987539205494199</c:v>
                </c:pt>
                <c:pt idx="9">
                  <c:v>1.6344992486318866</c:v>
                </c:pt>
                <c:pt idx="10">
                  <c:v>1.8752531856031278</c:v>
                </c:pt>
                <c:pt idx="11">
                  <c:v>2.1188356905642203</c:v>
                </c:pt>
                <c:pt idx="12">
                  <c:v>2.3634201657115494</c:v>
                </c:pt>
                <c:pt idx="13">
                  <c:v>2.6075334563368142</c:v>
                </c:pt>
                <c:pt idx="14">
                  <c:v>2.8500558508270233</c:v>
                </c:pt>
                <c:pt idx="15">
                  <c:v>3.0902210806644965</c:v>
                </c:pt>
                <c:pt idx="16">
                  <c:v>3.3276163204268663</c:v>
                </c:pt>
                <c:pt idx="17">
                  <c:v>3.5621821877870747</c:v>
                </c:pt>
                <c:pt idx="18">
                  <c:v>3.7942127435133752</c:v>
                </c:pt>
                <c:pt idx="19">
                  <c:v>4.0243554914693345</c:v>
                </c:pt>
                <c:pt idx="20">
                  <c:v>4.2536113786138241</c:v>
                </c:pt>
                <c:pt idx="21">
                  <c:v>4.4833347950010367</c:v>
                </c:pt>
                <c:pt idx="22">
                  <c:v>4.7152335737804689</c:v>
                </c:pt>
                <c:pt idx="23">
                  <c:v>4.9513689911969312</c:v>
                </c:pt>
                <c:pt idx="24">
                  <c:v>5.1941557665905407</c:v>
                </c:pt>
                <c:pt idx="25">
                  <c:v>5.4463620623967346</c:v>
                </c:pt>
                <c:pt idx="26">
                  <c:v>5.7111094841462506</c:v>
                </c:pt>
                <c:pt idx="27">
                  <c:v>5.9918730804651492</c:v>
                </c:pt>
                <c:pt idx="28">
                  <c:v>6.292481343074793</c:v>
                </c:pt>
                <c:pt idx="29">
                  <c:v>6.6171162067918576</c:v>
                </c:pt>
                <c:pt idx="30">
                  <c:v>6.9703130495283334</c:v>
                </c:pt>
                <c:pt idx="31">
                  <c:v>7.3569606922915192</c:v>
                </c:pt>
                <c:pt idx="32">
                  <c:v>7.7823013991840231</c:v>
                </c:pt>
                <c:pt idx="33">
                  <c:v>8.251930877403769</c:v>
                </c:pt>
                <c:pt idx="34">
                  <c:v>8.7717982772439864</c:v>
                </c:pt>
                <c:pt idx="35">
                  <c:v>9.348206192093226</c:v>
                </c:pt>
                <c:pt idx="36">
                  <c:v>9.9878106584353326</c:v>
                </c:pt>
                <c:pt idx="37">
                  <c:v>10.697621155849481</c:v>
                </c:pt>
                <c:pt idx="38">
                  <c:v>11.485000607010146</c:v>
                </c:pt>
                <c:pt idx="39">
                  <c:v>12.357665377687116</c:v>
                </c:pt>
                <c:pt idx="40">
                  <c:v>13.323685276745485</c:v>
                </c:pt>
                <c:pt idx="41">
                  <c:v>14.391483556145676</c:v>
                </c:pt>
                <c:pt idx="42">
                  <c:v>15.569836910943405</c:v>
                </c:pt>
                <c:pt idx="43">
                  <c:v>16.867875479289705</c:v>
                </c:pt>
                <c:pt idx="44">
                  <c:v>18.295082842430915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60-4DB3-8C03-36BB5F659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213167"/>
        <c:axId val="543213647"/>
      </c:scatterChart>
      <c:valAx>
        <c:axId val="54321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213647"/>
        <c:crosses val="autoZero"/>
        <c:crossBetween val="midCat"/>
      </c:valAx>
      <c:valAx>
        <c:axId val="54321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21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14</xdr:row>
      <xdr:rowOff>47624</xdr:rowOff>
    </xdr:from>
    <xdr:to>
      <xdr:col>21</xdr:col>
      <xdr:colOff>219075</xdr:colOff>
      <xdr:row>29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FF3E43-1379-3E5D-1E75-3816B6418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47625</xdr:colOff>
      <xdr:row>30</xdr:row>
      <xdr:rowOff>23811</xdr:rowOff>
    </xdr:from>
    <xdr:to>
      <xdr:col>21</xdr:col>
      <xdr:colOff>285750</xdr:colOff>
      <xdr:row>49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BC075A-D2BB-715A-5212-7F8638E3E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114300</xdr:colOff>
      <xdr:row>13</xdr:row>
      <xdr:rowOff>123825</xdr:rowOff>
    </xdr:from>
    <xdr:ext cx="5788957" cy="7810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B8D5F5-0100-25DA-9340-5DFF69075740}"/>
            </a:ext>
          </a:extLst>
        </xdr:cNvPr>
        <xdr:cNvSpPr txBox="1"/>
      </xdr:nvSpPr>
      <xdr:spPr>
        <a:xfrm>
          <a:off x="114300" y="2600325"/>
          <a:ext cx="5788957" cy="7810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/>
            <a:t>Because</a:t>
          </a:r>
          <a:r>
            <a:rPr lang="en-GB" sz="1100" baseline="0"/>
            <a:t> of the nature of this curve the inverse function is only valid for concentrations less than 14%</a:t>
          </a:r>
        </a:p>
        <a:p>
          <a:endParaRPr lang="en-GB" sz="1100" baseline="0"/>
        </a:p>
        <a:p>
          <a:r>
            <a:rPr lang="en-GB" sz="1100" baseline="0"/>
            <a:t>This should remain valid for use in the Additional wash tank given that the conductivity range is from 0-160mS/cm</a:t>
          </a:r>
        </a:p>
        <a:p>
          <a:r>
            <a:rPr lang="en-GB" sz="1100" baseline="0"/>
            <a:t>which is well below the </a:t>
          </a:r>
        </a:p>
        <a:p>
          <a:endParaRPr lang="en-GB" sz="1100" baseline="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DBE7-3FDB-4E20-85FE-64ADFAAC800F}">
  <dimension ref="A1:T69"/>
  <sheetViews>
    <sheetView tabSelected="1" workbookViewId="0">
      <selection activeCell="D3" sqref="D3"/>
    </sheetView>
  </sheetViews>
  <sheetFormatPr defaultRowHeight="15" x14ac:dyDescent="0.25"/>
  <cols>
    <col min="4" max="4" width="13.140625" bestFit="1" customWidth="1"/>
    <col min="12" max="12" width="12.7109375" bestFit="1" customWidth="1"/>
  </cols>
  <sheetData>
    <row r="1" spans="1:20" x14ac:dyDescent="0.25">
      <c r="A1" t="s">
        <v>0</v>
      </c>
      <c r="B1" t="s">
        <v>1</v>
      </c>
      <c r="C1" t="s">
        <v>9</v>
      </c>
      <c r="D1" t="s">
        <v>10</v>
      </c>
      <c r="F1" t="s">
        <v>11</v>
      </c>
      <c r="L1" t="s">
        <v>2</v>
      </c>
      <c r="M1" t="s">
        <v>3</v>
      </c>
      <c r="N1" t="s">
        <v>4</v>
      </c>
      <c r="O1" t="s">
        <v>6</v>
      </c>
      <c r="P1" t="s">
        <v>7</v>
      </c>
      <c r="Q1" t="s">
        <v>8</v>
      </c>
    </row>
    <row r="2" spans="1:20" x14ac:dyDescent="0.25">
      <c r="A2">
        <v>0</v>
      </c>
      <c r="B2">
        <v>0</v>
      </c>
      <c r="C2">
        <f>$L$2*EXP(A2*$O$2)+$M$2*EXP(A2*$P$2)+$N$2*EXP(A2*$Q$2)</f>
        <v>1.8620820500000016E-7</v>
      </c>
      <c r="D2" cm="1">
        <f t="array" ref="D2">SUM(IFERROR(_xlfn.ANCHORARRAY($L$4)*A2^{8,7,6,5,4,3,2,1,0},0))</f>
        <v>0</v>
      </c>
      <c r="F2" cm="1">
        <f t="array" ref="F2">SUM(IFERROR(_xlfn.ANCHORARRAY($L$6)*B2^{4,3,2,1,0},0))</f>
        <v>0</v>
      </c>
      <c r="L2" s="1">
        <v>-2.2180133300000001E-6</v>
      </c>
      <c r="M2" s="1">
        <v>2.2177890900000002E-6</v>
      </c>
      <c r="N2" s="1">
        <v>1.8643244500000001E-7</v>
      </c>
      <c r="O2" s="1">
        <v>1.0777650400000001</v>
      </c>
      <c r="P2" s="1">
        <v>1.07776695</v>
      </c>
      <c r="Q2" s="1">
        <v>0.88600668199999999</v>
      </c>
    </row>
    <row r="3" spans="1:20" x14ac:dyDescent="0.25">
      <c r="A3">
        <v>0.56306306299999997</v>
      </c>
      <c r="B3">
        <v>32024.53988</v>
      </c>
      <c r="C3">
        <f t="shared" ref="C3:C7" si="0">$L$2*EXP(A3*$O$2)+$M$2*EXP(A3*$P$2)+$N$2*EXP(A3*$Q$2)</f>
        <v>3.066233200187387E-7</v>
      </c>
      <c r="D3" cm="1">
        <f t="array" ref="D3">SUM(IFERROR(_xlfn.ANCHORARRAY($L$4)*A3^{8,7,6,5,4,3,2,1,0},0))</f>
        <v>33559.13799289806</v>
      </c>
      <c r="F3" cm="1">
        <f t="array" ref="F3">SUM(IFERROR(_xlfn.ANCHORARRAY($L$6)*B3^{4,3,2,1,0},0))</f>
        <v>0.42781626109390086</v>
      </c>
    </row>
    <row r="4" spans="1:20" x14ac:dyDescent="0.25">
      <c r="A4">
        <v>2.2522522519999999</v>
      </c>
      <c r="B4">
        <v>120368.09819999999</v>
      </c>
      <c r="C4">
        <f t="shared" si="0"/>
        <v>1.3689567529408876E-6</v>
      </c>
      <c r="D4" cm="1">
        <f t="array" ref="D4">SUM(IFERROR(_xlfn.ANCHORARRAY($L$4)*A4^{8,7,6,5,4,3,2,1,0},0))</f>
        <v>119661.79790142772</v>
      </c>
      <c r="F4" cm="1">
        <f t="array" ref="F4">SUM(IFERROR(_xlfn.ANCHORARRAY($L$6)*B4^{4,3,2,1,0},0))</f>
        <v>2.3724222077635542</v>
      </c>
      <c r="L4" cm="1">
        <f t="array" ref="L4:T4">LINEST($B$2:$B$14,$A$2:$A$14^{1,2,3,4,5,6,7,8},TRUE,FALSE)</f>
        <v>-4.411552127078591E-6</v>
      </c>
      <c r="M4">
        <v>8.7754217140045029E-4</v>
      </c>
      <c r="N4">
        <v>-7.0440188861390557E-2</v>
      </c>
      <c r="O4">
        <v>2.9007715183032903</v>
      </c>
      <c r="P4">
        <v>-64.37542766409176</v>
      </c>
      <c r="Q4">
        <v>767.5090902956988</v>
      </c>
      <c r="R4">
        <v>-6341.046251220585</v>
      </c>
      <c r="S4">
        <v>64597.542183185826</v>
      </c>
      <c r="T4">
        <v>-933.68862288072705</v>
      </c>
    </row>
    <row r="5" spans="1:20" x14ac:dyDescent="0.25">
      <c r="A5">
        <v>4.8423423420000002</v>
      </c>
      <c r="B5">
        <v>221963.19020000001</v>
      </c>
      <c r="C5">
        <f t="shared" si="0"/>
        <v>1.3570412336342883E-5</v>
      </c>
      <c r="D5" cm="1">
        <f t="array" ref="D5">SUM(IFERROR(_xlfn.ANCHORARRAY($L$4)*A5^{8,7,6,5,4,3,2,1,0},0))</f>
        <v>221802.99405512755</v>
      </c>
      <c r="F5" cm="1">
        <f t="array" ref="F5">SUM(IFERROR(_xlfn.ANCHORARRAY($L$6)*B5^{4,3,2,1,0},0))</f>
        <v>4.761186273236893</v>
      </c>
      <c r="L5" t="s">
        <v>2</v>
      </c>
      <c r="M5" t="s">
        <v>3</v>
      </c>
      <c r="N5" t="s">
        <v>4</v>
      </c>
      <c r="O5" t="s">
        <v>5</v>
      </c>
      <c r="P5" t="s">
        <v>12</v>
      </c>
    </row>
    <row r="6" spans="1:20" x14ac:dyDescent="0.25">
      <c r="A6">
        <v>9.7972972970000001</v>
      </c>
      <c r="B6">
        <v>357791.41100000002</v>
      </c>
      <c r="C6">
        <f t="shared" si="0"/>
        <v>1.0904529905483736E-3</v>
      </c>
      <c r="D6" cm="1">
        <f t="array" ref="D6">SUM(IFERROR(_xlfn.ANCHORARRAY($L$4)*A6^{8,7,6,5,4,3,2,1,0},0))</f>
        <v>358720.29943446547</v>
      </c>
      <c r="F6" cm="1">
        <f t="array" ref="F6">SUM(IFERROR(_xlfn.ANCHORARRAY($L$6)*B6^{4,3,2,1,0},0))</f>
        <v>9.8407587203745717</v>
      </c>
      <c r="L6" cm="1">
        <f t="array" ref="L6:P6">LINEST($A$2:$A$7,$B$2:$B$7^{1,2,3,4},TRUE,FALSE)</f>
        <v>1.4726795637965857E-21</v>
      </c>
      <c r="M6">
        <v>-9.2295838406344699E-16</v>
      </c>
      <c r="N6">
        <v>2.0252231338411241E-10</v>
      </c>
      <c r="O6">
        <v>5.543781342365751E-6</v>
      </c>
      <c r="P6">
        <v>7.1342345209217228E-2</v>
      </c>
    </row>
    <row r="7" spans="1:20" x14ac:dyDescent="0.25">
      <c r="A7">
        <v>14.75225225</v>
      </c>
      <c r="B7">
        <v>413006.13500000001</v>
      </c>
      <c r="C7">
        <f t="shared" si="0"/>
        <v>8.72134277687725E-2</v>
      </c>
      <c r="D7" cm="1">
        <f t="array" ref="D7">SUM(IFERROR(_xlfn.ANCHORARRAY($L$4)*A7^{8,7,6,5,4,3,2,1,0},0))</f>
        <v>411417.04426911043</v>
      </c>
      <c r="F7" cm="1">
        <f t="array" ref="F7">SUM(IFERROR(_xlfn.ANCHORARRAY($L$6)*B7^{4,3,2,1,0},0))</f>
        <v>14.733681396321861</v>
      </c>
    </row>
    <row r="8" spans="1:20" x14ac:dyDescent="0.25">
      <c r="A8">
        <v>19.70720721</v>
      </c>
      <c r="B8">
        <v>380981.59509999998</v>
      </c>
      <c r="D8" cm="1">
        <f t="array" ref="D8">SUM(IFERROR(_xlfn.ANCHORARRAY($L$4)*A8^{8,7,6,5,4,3,2,1,0},0))</f>
        <v>382643.4881517333</v>
      </c>
      <c r="L8" t="s">
        <v>15</v>
      </c>
      <c r="M8" t="s">
        <v>2</v>
      </c>
      <c r="N8" t="s">
        <v>3</v>
      </c>
      <c r="O8" t="s">
        <v>4</v>
      </c>
      <c r="P8" t="s">
        <v>5</v>
      </c>
    </row>
    <row r="9" spans="1:20" x14ac:dyDescent="0.25">
      <c r="A9">
        <v>24.662162160000001</v>
      </c>
      <c r="B9">
        <v>315828.22090000001</v>
      </c>
      <c r="D9" cm="1">
        <f t="array" ref="D9">SUM(IFERROR(_xlfn.ANCHORARRAY($L$4)*A9^{8,7,6,5,4,3,2,1,0},0))</f>
        <v>314861.04231875786</v>
      </c>
      <c r="L9">
        <v>-624.97523259976401</v>
      </c>
      <c r="M9">
        <v>62279.687650107102</v>
      </c>
      <c r="N9">
        <v>-4499.4631416409702</v>
      </c>
      <c r="O9">
        <v>278.20915737789102</v>
      </c>
      <c r="P9">
        <v>-8.8490541347200207</v>
      </c>
    </row>
    <row r="10" spans="1:20" x14ac:dyDescent="0.25">
      <c r="A10">
        <v>29.61711712</v>
      </c>
      <c r="B10">
        <v>248466.25769999999</v>
      </c>
      <c r="D10" cm="1">
        <f t="array" ref="D10">SUM(IFERROR(_xlfn.ANCHORARRAY($L$4)*A10^{8,7,6,5,4,3,2,1,0},0))</f>
        <v>248583.69523558486</v>
      </c>
    </row>
    <row r="11" spans="1:20" x14ac:dyDescent="0.25">
      <c r="A11">
        <v>34.909909910000003</v>
      </c>
      <c r="B11">
        <v>188834.35579999999</v>
      </c>
      <c r="D11" cm="1">
        <f t="array" ref="D11">SUM(IFERROR(_xlfn.ANCHORARRAY($L$4)*A11^{8,7,6,5,4,3,2,1,0},0))</f>
        <v>189102.76242645504</v>
      </c>
    </row>
    <row r="12" spans="1:20" x14ac:dyDescent="0.25">
      <c r="A12">
        <v>39.864864859999997</v>
      </c>
      <c r="B12">
        <v>139141.10430000001</v>
      </c>
      <c r="D12" cm="1">
        <f t="array" ref="D12">SUM(IFERROR(_xlfn.ANCHORARRAY($L$4)*A12^{8,7,6,5,4,3,2,1,0},0))</f>
        <v>138922.80807764595</v>
      </c>
    </row>
    <row r="13" spans="1:20" x14ac:dyDescent="0.25">
      <c r="A13">
        <v>44.819819819999999</v>
      </c>
      <c r="B13">
        <v>110429.4479</v>
      </c>
      <c r="D13" cm="1">
        <f t="array" ref="D13">SUM(IFERROR(_xlfn.ANCHORARRAY($L$4)*A13^{8,7,6,5,4,3,2,1,0},0))</f>
        <v>110502.28760455735</v>
      </c>
    </row>
    <row r="14" spans="1:20" x14ac:dyDescent="0.25">
      <c r="A14">
        <v>49.887387390000001</v>
      </c>
      <c r="B14">
        <v>87239.263800000001</v>
      </c>
      <c r="D14" cm="1">
        <f t="array" ref="D14">SUM(IFERROR(_xlfn.ANCHORARRAY($L$4)*A14^{8,7,6,5,4,3,2,1,0},0))</f>
        <v>87229.950935737696</v>
      </c>
    </row>
    <row r="19" spans="1:8" x14ac:dyDescent="0.25">
      <c r="A19">
        <v>0</v>
      </c>
      <c r="D19" cm="1">
        <f t="array" ref="D19">SUM(IFERROR(_xlfn.ANCHORARRAY($L$4)*A19^{8,7,6,5,4,3,2,1,0},0))</f>
        <v>0</v>
      </c>
      <c r="G19" t="s">
        <v>14</v>
      </c>
      <c r="H19" t="s">
        <v>13</v>
      </c>
    </row>
    <row r="20" spans="1:8" x14ac:dyDescent="0.25">
      <c r="A20">
        <v>1</v>
      </c>
      <c r="D20" cm="1">
        <f t="array" ref="D20">SUM(IFERROR(_xlfn.ANCHORARRAY($L$4)*A20^{8,7,6,5,4,3,2,1,0},0))</f>
        <v>58028.772176176179</v>
      </c>
      <c r="G20">
        <v>0</v>
      </c>
      <c r="H20" cm="1">
        <f t="array" ref="H20">SUM(IFERROR(_xlfn.ANCHORARRAY($L$6)*G20^{4,3,2,1,0},0))</f>
        <v>0</v>
      </c>
    </row>
    <row r="21" spans="1:8" x14ac:dyDescent="0.25">
      <c r="A21">
        <v>2</v>
      </c>
      <c r="D21" cm="1">
        <f t="array" ref="D21">SUM(IFERROR(_xlfn.ANCHORARRAY($L$4)*A21^{8,7,6,5,4,3,2,1,0},0))</f>
        <v>108095.70433088788</v>
      </c>
      <c r="G21">
        <v>10000</v>
      </c>
      <c r="H21" cm="1">
        <f t="array" ref="H21">SUM(IFERROR(_xlfn.ANCHORARRAY($L$6)*G21^{4,3,2,1,0},0))</f>
        <v>0.1461241583828605</v>
      </c>
    </row>
    <row r="22" spans="1:8" x14ac:dyDescent="0.25">
      <c r="A22">
        <v>3</v>
      </c>
      <c r="D22" cm="1">
        <f t="array" ref="D22">SUM(IFERROR(_xlfn.ANCHORARRAY($L$4)*A22^{8,7,6,5,4,3,2,1,0},0))</f>
        <v>151953.28428468702</v>
      </c>
      <c r="G22">
        <v>20000</v>
      </c>
      <c r="H22" cm="1">
        <f t="array" ref="H22">SUM(IFERROR(_xlfn.ANCHORARRAY($L$6)*G22^{4,3,2,1,0},0))</f>
        <v>0.25607885906787708</v>
      </c>
    </row>
    <row r="23" spans="1:8" x14ac:dyDescent="0.25">
      <c r="A23">
        <v>4</v>
      </c>
      <c r="D23" cm="1">
        <f t="array" ref="D23">SUM(IFERROR(_xlfn.ANCHORARRAY($L$4)*A23^{8,7,6,5,4,3,2,1,0},0))</f>
        <v>191336.1679438728</v>
      </c>
      <c r="G23">
        <v>30000</v>
      </c>
      <c r="H23" cm="1">
        <f t="array" ref="H23">SUM(IFERROR(_xlfn.ANCHORARRAY($L$6)*G23^{4,3,2,1,0},0))</f>
        <v>0.39619886160285311</v>
      </c>
    </row>
    <row r="24" spans="1:8" x14ac:dyDescent="0.25">
      <c r="A24">
        <v>5</v>
      </c>
      <c r="D24" cm="1">
        <f t="array" ref="D24">SUM(IFERROR(_xlfn.ANCHORARRAY($L$4)*A24^{8,7,6,5,4,3,2,1,0},0))</f>
        <v>227262.97777276835</v>
      </c>
      <c r="G24">
        <v>40000</v>
      </c>
      <c r="H24" cm="1">
        <f t="array" ref="H24">SUM(IFERROR(_xlfn.ANCHORARRAY($L$6)*G24^{4,3,2,1,0},0))</f>
        <v>0.56183002342168575</v>
      </c>
    </row>
    <row r="25" spans="1:8" x14ac:dyDescent="0.25">
      <c r="A25">
        <v>6</v>
      </c>
      <c r="D25" cm="1">
        <f t="array" ref="D25">SUM(IFERROR(_xlfn.ANCHORARRAY($L$4)*A25^{8,7,6,5,4,3,2,1,0},0))</f>
        <v>260233.49649006623</v>
      </c>
      <c r="G25">
        <v>50000</v>
      </c>
      <c r="H25" cm="1">
        <f t="array" ref="H25">SUM(IFERROR(_xlfn.ANCHORARRAY($L$6)*G25^{4,3,2,1,0},0))</f>
        <v>0.74867164505358352</v>
      </c>
    </row>
    <row r="26" spans="1:8" x14ac:dyDescent="0.25">
      <c r="A26">
        <v>7</v>
      </c>
      <c r="D26" cm="1">
        <f t="array" ref="D26">SUM(IFERROR(_xlfn.ANCHORARRAY($L$4)*A26^{8,7,6,5,4,3,2,1,0},0))</f>
        <v>290391.36762066936</v>
      </c>
      <c r="G26">
        <v>60000</v>
      </c>
      <c r="H26" cm="1">
        <f t="array" ref="H26">SUM(IFERROR(_xlfn.ANCHORARRAY($L$6)*G26^{4,3,2,1,0},0))</f>
        <v>0.9527764701230661</v>
      </c>
    </row>
    <row r="27" spans="1:8" x14ac:dyDescent="0.25">
      <c r="A27">
        <v>8</v>
      </c>
      <c r="D27" cm="1">
        <f t="array" ref="D27">SUM(IFERROR(_xlfn.ANCHORARRAY($L$4)*A27^{8,7,6,5,4,3,2,1,0},0))</f>
        <v>317655.92528355378</v>
      </c>
      <c r="G27">
        <v>70000</v>
      </c>
      <c r="H27" cm="1">
        <f t="array" ref="H27">SUM(IFERROR(_xlfn.ANCHORARRAY($L$6)*G27^{4,3,2,1,0},0))</f>
        <v>1.1705506853499643</v>
      </c>
    </row>
    <row r="28" spans="1:8" x14ac:dyDescent="0.25">
      <c r="A28">
        <v>9</v>
      </c>
      <c r="D28" cm="1">
        <f t="array" ref="D28">SUM(IFERROR(_xlfn.ANCHORARRAY($L$4)*A28^{8,7,6,5,4,3,2,1,0},0))</f>
        <v>341826.59772239713</v>
      </c>
      <c r="G28">
        <v>80000</v>
      </c>
      <c r="H28" cm="1">
        <f t="array" ref="H28">SUM(IFERROR(_xlfn.ANCHORARRAY($L$6)*G28^{4,3,2,1,0},0))</f>
        <v>1.3987539205494199</v>
      </c>
    </row>
    <row r="29" spans="1:8" x14ac:dyDescent="0.25">
      <c r="A29">
        <v>10</v>
      </c>
      <c r="D29" cm="1">
        <f t="array" ref="D29">SUM(IFERROR(_xlfn.ANCHORARRAY($L$4)*A29^{8,7,6,5,4,3,2,1,0},0))</f>
        <v>362663.15121193539</v>
      </c>
      <c r="G29">
        <v>90000</v>
      </c>
      <c r="H29" cm="1">
        <f t="array" ref="H29">SUM(IFERROR(_xlfn.ANCHORARRAY($L$6)*G29^{4,3,2,1,0},0))</f>
        <v>1.6344992486318866</v>
      </c>
    </row>
    <row r="30" spans="1:8" x14ac:dyDescent="0.25">
      <c r="A30">
        <v>11</v>
      </c>
      <c r="D30" cm="1">
        <f t="array" ref="D30">SUM(IFERROR(_xlfn.ANCHORARRAY($L$4)*A30^{8,7,6,5,4,3,2,1,0},0))</f>
        <v>379944.86309922754</v>
      </c>
      <c r="G30">
        <v>100000</v>
      </c>
      <c r="H30" cm="1">
        <f t="array" ref="H30">SUM(IFERROR(_xlfn.ANCHORARRAY($L$6)*G30^{4,3,2,1,0},0))</f>
        <v>1.8752531856031278</v>
      </c>
    </row>
    <row r="31" spans="1:8" x14ac:dyDescent="0.25">
      <c r="A31">
        <v>12</v>
      </c>
      <c r="D31" cm="1">
        <f t="array" ref="D31">SUM(IFERROR(_xlfn.ANCHORARRAY($L$4)*A31^{8,7,6,5,4,3,2,1,0},0))</f>
        <v>393511.53486523009</v>
      </c>
      <c r="G31">
        <v>110000</v>
      </c>
      <c r="H31" cm="1">
        <f t="array" ref="H31">SUM(IFERROR(_xlfn.ANCHORARRAY($L$6)*G31^{4,3,2,1,0},0))</f>
        <v>2.1188356905642203</v>
      </c>
    </row>
    <row r="32" spans="1:8" x14ac:dyDescent="0.25">
      <c r="A32">
        <v>13</v>
      </c>
      <c r="D32" cm="1">
        <f t="array" ref="D32">SUM(IFERROR(_xlfn.ANCHORARRAY($L$4)*A32^{8,7,6,5,4,3,2,1,0},0))</f>
        <v>403289.07821829279</v>
      </c>
      <c r="G32">
        <v>120000</v>
      </c>
      <c r="H32" cm="1">
        <f t="array" ref="H32">SUM(IFERROR(_xlfn.ANCHORARRAY($L$6)*G32^{4,3,2,1,0},0))</f>
        <v>2.3634201657115494</v>
      </c>
    </row>
    <row r="33" spans="1:8" x14ac:dyDescent="0.25">
      <c r="A33">
        <v>14</v>
      </c>
      <c r="D33" cm="1">
        <f t="array" ref="D33">SUM(IFERROR(_xlfn.ANCHORARRAY($L$4)*A33^{8,7,6,5,4,3,2,1,0},0))</f>
        <v>409302.22935741837</v>
      </c>
      <c r="G33">
        <v>130000</v>
      </c>
      <c r="H33" cm="1">
        <f t="array" ref="H33">SUM(IFERROR(_xlfn.ANCHORARRAY($L$6)*G33^{4,3,2,1,0},0))</f>
        <v>2.6075334563368142</v>
      </c>
    </row>
    <row r="34" spans="1:8" x14ac:dyDescent="0.25">
      <c r="A34">
        <v>15</v>
      </c>
      <c r="D34" cm="1">
        <f t="array" ref="D34">SUM(IFERROR(_xlfn.ANCHORARRAY($L$4)*A34^{8,7,6,5,4,3,2,1,0},0))</f>
        <v>411676.76866933249</v>
      </c>
      <c r="G34">
        <v>140000</v>
      </c>
      <c r="H34" cm="1">
        <f t="array" ref="H34">SUM(IFERROR(_xlfn.ANCHORARRAY($L$6)*G34^{4,3,2,1,0},0))</f>
        <v>2.8500558508270233</v>
      </c>
    </row>
    <row r="35" spans="1:8" x14ac:dyDescent="0.25">
      <c r="A35">
        <v>16</v>
      </c>
      <c r="D35" cm="1">
        <f t="array" ref="D35">SUM(IFERROR(_xlfn.ANCHORARRAY($L$4)*A35^{8,7,6,5,4,3,2,1,0},0))</f>
        <v>410633.44524964341</v>
      </c>
      <c r="G35">
        <v>150000</v>
      </c>
      <c r="H35" cm="1">
        <f t="array" ref="H35">SUM(IFERROR(_xlfn.ANCHORARRAY($L$6)*G35^{4,3,2,1,0},0))</f>
        <v>3.0902210806644965</v>
      </c>
    </row>
    <row r="36" spans="1:8" x14ac:dyDescent="0.25">
      <c r="A36">
        <v>17</v>
      </c>
      <c r="D36" cm="1">
        <f t="array" ref="D36">SUM(IFERROR(_xlfn.ANCHORARRAY($L$4)*A36^{8,7,6,5,4,3,2,1,0},0))</f>
        <v>406475.62776456936</v>
      </c>
      <c r="G36">
        <v>160000</v>
      </c>
      <c r="H36" cm="1">
        <f t="array" ref="H36">SUM(IFERROR(_xlfn.ANCHORARRAY($L$6)*G36^{4,3,2,1,0},0))</f>
        <v>3.3276163204268663</v>
      </c>
    </row>
    <row r="37" spans="1:8" x14ac:dyDescent="0.25">
      <c r="A37">
        <v>18</v>
      </c>
      <c r="D37" cm="1">
        <f t="array" ref="D37">SUM(IFERROR(_xlfn.ANCHORARRAY($L$4)*A37^{8,7,6,5,4,3,2,1,0},0))</f>
        <v>399572.52529596281</v>
      </c>
      <c r="G37">
        <v>170000</v>
      </c>
      <c r="H37" cm="1">
        <f t="array" ref="H37">SUM(IFERROR(_xlfn.ANCHORARRAY($L$6)*G37^{4,3,2,1,0},0))</f>
        <v>3.5621821877870747</v>
      </c>
    </row>
    <row r="38" spans="1:8" x14ac:dyDescent="0.25">
      <c r="A38">
        <v>19</v>
      </c>
      <c r="D38" cm="1">
        <f t="array" ref="D38">SUM(IFERROR(_xlfn.ANCHORARRAY($L$4)*A38^{8,7,6,5,4,3,2,1,0},0))</f>
        <v>390339.64393852837</v>
      </c>
      <c r="G38">
        <v>180000</v>
      </c>
      <c r="H38" cm="1">
        <f t="array" ref="H38">SUM(IFERROR(_xlfn.ANCHORARRAY($L$6)*G38^{4,3,2,1,0},0))</f>
        <v>3.7942127435133752</v>
      </c>
    </row>
    <row r="39" spans="1:8" x14ac:dyDescent="0.25">
      <c r="A39">
        <v>20</v>
      </c>
      <c r="D39" cm="1">
        <f t="array" ref="D39">SUM(IFERROR(_xlfn.ANCHORARRAY($L$4)*A39^{8,7,6,5,4,3,2,1,0},0))</f>
        <v>379217.9670444082</v>
      </c>
      <c r="G39">
        <v>190000</v>
      </c>
      <c r="H39" cm="1">
        <f t="array" ref="H39">SUM(IFERROR(_xlfn.ANCHORARRAY($L$6)*G39^{4,3,2,1,0},0))</f>
        <v>4.0243554914693345</v>
      </c>
    </row>
    <row r="40" spans="1:8" x14ac:dyDescent="0.25">
      <c r="A40">
        <v>21</v>
      </c>
      <c r="D40" cm="1">
        <f t="array" ref="D40">SUM(IFERROR(_xlfn.ANCHORARRAY($L$4)*A40^{8,7,6,5,4,3,2,1,0},0))</f>
        <v>366653.16913648811</v>
      </c>
      <c r="G40">
        <v>200000</v>
      </c>
      <c r="H40" cm="1">
        <f t="array" ref="H40">SUM(IFERROR(_xlfn.ANCHORARRAY($L$6)*G40^{4,3,2,1,0},0))</f>
        <v>4.2536113786138241</v>
      </c>
    </row>
    <row r="41" spans="1:8" x14ac:dyDescent="0.25">
      <c r="A41">
        <v>22</v>
      </c>
      <c r="D41" cm="1">
        <f t="array" ref="D41">SUM(IFERROR(_xlfn.ANCHORARRAY($L$4)*A41^{8,7,6,5,4,3,2,1,0},0))</f>
        <v>353075.99563798215</v>
      </c>
      <c r="G41">
        <v>210000</v>
      </c>
      <c r="H41" cm="1">
        <f t="array" ref="H41">SUM(IFERROR(_xlfn.ANCHORARRAY($L$6)*G41^{4,3,2,1,0},0))</f>
        <v>4.4833347950010367</v>
      </c>
    </row>
    <row r="42" spans="1:8" x14ac:dyDescent="0.25">
      <c r="A42">
        <v>23</v>
      </c>
      <c r="D42" cm="1">
        <f t="array" ref="D42">SUM(IFERROR(_xlfn.ANCHORARRAY($L$4)*A42^{8,7,6,5,4,3,2,1,0},0))</f>
        <v>338884.76269215113</v>
      </c>
      <c r="G42">
        <v>220000</v>
      </c>
      <c r="H42" cm="1">
        <f t="array" ref="H42">SUM(IFERROR(_xlfn.ANCHORARRAY($L$6)*G42^{4,3,2,1,0},0))</f>
        <v>4.7152335737804689</v>
      </c>
    </row>
    <row r="43" spans="1:8" x14ac:dyDescent="0.25">
      <c r="A43">
        <v>24</v>
      </c>
      <c r="D43" cm="1">
        <f t="array" ref="D43">SUM(IFERROR(_xlfn.ANCHORARRAY($L$4)*A43^{8,7,6,5,4,3,2,1,0},0))</f>
        <v>324430.75347208465</v>
      </c>
      <c r="G43">
        <v>230000</v>
      </c>
      <c r="H43" cm="1">
        <f t="array" ref="H43">SUM(IFERROR(_xlfn.ANCHORARRAY($L$6)*G43^{4,3,2,1,0},0))</f>
        <v>4.9513689911969312</v>
      </c>
    </row>
    <row r="44" spans="1:8" x14ac:dyDescent="0.25">
      <c r="A44">
        <v>25</v>
      </c>
      <c r="D44" cm="1">
        <f t="array" ref="D44">SUM(IFERROR(_xlfn.ANCHORARRAY($L$4)*A44^{8,7,6,5,4,3,2,1,0},0))</f>
        <v>310007.10950691043</v>
      </c>
      <c r="G44">
        <v>240000</v>
      </c>
      <c r="H44" cm="1">
        <f t="array" ref="H44">SUM(IFERROR(_xlfn.ANCHORARRAY($L$6)*G44^{4,3,2,1,0},0))</f>
        <v>5.1941557665905407</v>
      </c>
    </row>
    <row r="45" spans="1:8" x14ac:dyDescent="0.25">
      <c r="A45">
        <v>26</v>
      </c>
      <c r="D45" cm="1">
        <f t="array" ref="D45">SUM(IFERROR(_xlfn.ANCHORARRAY($L$4)*A45^{8,7,6,5,4,3,2,1,0},0))</f>
        <v>295841.63767673378</v>
      </c>
      <c r="G45">
        <v>250000</v>
      </c>
      <c r="H45" cm="1">
        <f t="array" ref="H45">SUM(IFERROR(_xlfn.ANCHORARRAY($L$6)*G45^{4,3,2,1,0},0))</f>
        <v>5.4463620623967346</v>
      </c>
    </row>
    <row r="46" spans="1:8" x14ac:dyDescent="0.25">
      <c r="A46">
        <v>27</v>
      </c>
      <c r="D46" cm="1">
        <f t="array" ref="D46">SUM(IFERROR(_xlfn.ANCHORARRAY($L$4)*A46^{8,7,6,5,4,3,2,1,0},0))</f>
        <v>282093.77565510757</v>
      </c>
      <c r="G46">
        <v>260000</v>
      </c>
      <c r="H46" cm="1">
        <f t="array" ref="H46">SUM(IFERROR(_xlfn.ANCHORARRAY($L$6)*G46^{4,3,2,1,0},0))</f>
        <v>5.7111094841462506</v>
      </c>
    </row>
    <row r="47" spans="1:8" x14ac:dyDescent="0.25">
      <c r="A47">
        <v>28</v>
      </c>
      <c r="D47" cm="1">
        <f t="array" ref="D47">SUM(IFERROR(_xlfn.ANCHORARRAY($L$4)*A47^{8,7,6,5,4,3,2,1,0},0))</f>
        <v>268855.7807038296</v>
      </c>
      <c r="G47">
        <v>270000</v>
      </c>
      <c r="H47" cm="1">
        <f t="array" ref="H47">SUM(IFERROR(_xlfn.ANCHORARRAY($L$6)*G47^{4,3,2,1,0},0))</f>
        <v>5.9918730804651492</v>
      </c>
    </row>
    <row r="48" spans="1:8" x14ac:dyDescent="0.25">
      <c r="A48">
        <v>29</v>
      </c>
      <c r="D48" cm="1">
        <f t="array" ref="D48">SUM(IFERROR(_xlfn.ANCHORARRAY($L$4)*A48^{8,7,6,5,4,3,2,1,0},0))</f>
        <v>256158.02885130118</v>
      </c>
      <c r="G48">
        <v>280000</v>
      </c>
      <c r="H48" cm="1">
        <f t="array" ref="H48">SUM(IFERROR(_xlfn.ANCHORARRAY($L$6)*G48^{4,3,2,1,0},0))</f>
        <v>6.292481343074793</v>
      </c>
    </row>
    <row r="49" spans="1:8" x14ac:dyDescent="0.25">
      <c r="A49">
        <v>30</v>
      </c>
      <c r="D49" cm="1">
        <f t="array" ref="D49">SUM(IFERROR(_xlfn.ANCHORARRAY($L$4)*A49^{8,7,6,5,4,3,2,1,0},0))</f>
        <v>243978.13361153076</v>
      </c>
      <c r="G49">
        <v>290000</v>
      </c>
      <c r="H49" cm="1">
        <f t="array" ref="H49">SUM(IFERROR(_xlfn.ANCHORARRAY($L$6)*G49^{4,3,2,1,0},0))</f>
        <v>6.6171162067918576</v>
      </c>
    </row>
    <row r="50" spans="1:8" x14ac:dyDescent="0.25">
      <c r="A50">
        <v>31</v>
      </c>
      <c r="D50" cm="1">
        <f t="array" ref="D50">SUM(IFERROR(_xlfn.ANCHORARRAY($L$4)*A50^{8,7,6,5,4,3,2,1,0},0))</f>
        <v>232253.41552773165</v>
      </c>
      <c r="G50">
        <v>300000</v>
      </c>
      <c r="H50" cm="1">
        <f t="array" ref="H50">SUM(IFERROR(_xlfn.ANCHORARRAY($L$6)*G50^{4,3,2,1,0},0))</f>
        <v>6.9703130495283334</v>
      </c>
    </row>
    <row r="51" spans="1:8" x14ac:dyDescent="0.25">
      <c r="A51">
        <v>32</v>
      </c>
      <c r="D51" cm="1">
        <f t="array" ref="D51">SUM(IFERROR(_xlfn.ANCHORARRAY($L$4)*A51^{8,7,6,5,4,3,2,1,0},0))</f>
        <v>220896.0759497215</v>
      </c>
      <c r="G51">
        <v>310000</v>
      </c>
      <c r="H51" cm="1">
        <f t="array" ref="H51">SUM(IFERROR(_xlfn.ANCHORARRAY($L$6)*G51^{4,3,2,1,0},0))</f>
        <v>7.3569606922915192</v>
      </c>
    </row>
    <row r="52" spans="1:8" x14ac:dyDescent="0.25">
      <c r="A52">
        <v>33</v>
      </c>
      <c r="D52" cm="1">
        <f t="array" ref="D52">SUM(IFERROR(_xlfn.ANCHORARRAY($L$4)*A52^{8,7,6,5,4,3,2,1,0},0))</f>
        <v>209810.25058176415</v>
      </c>
      <c r="G52">
        <v>320000</v>
      </c>
      <c r="H52" cm="1">
        <f t="array" ref="H52">SUM(IFERROR(_xlfn.ANCHORARRAY($L$6)*G52^{4,3,2,1,0},0))</f>
        <v>7.7823013991840231</v>
      </c>
    </row>
    <row r="53" spans="1:8" x14ac:dyDescent="0.25">
      <c r="A53">
        <v>34</v>
      </c>
      <c r="D53" cm="1">
        <f t="array" ref="D53">SUM(IFERROR(_xlfn.ANCHORARRAY($L$4)*A53^{8,7,6,5,4,3,2,1,0},0))</f>
        <v>198909.94046245189</v>
      </c>
      <c r="G53">
        <v>330000</v>
      </c>
      <c r="H53" cm="1">
        <f t="array" ref="H53">SUM(IFERROR(_xlfn.ANCHORARRAY($L$6)*G53^{4,3,2,1,0},0))</f>
        <v>8.251930877403769</v>
      </c>
    </row>
    <row r="54" spans="1:8" x14ac:dyDescent="0.25">
      <c r="A54">
        <v>35</v>
      </c>
      <c r="D54" cm="1">
        <f t="array" ref="D54">SUM(IFERROR(_xlfn.ANCHORARRAY($L$4)*A54^{8,7,6,5,4,3,2,1,0},0))</f>
        <v>188136.6401653178</v>
      </c>
      <c r="G54">
        <v>340000</v>
      </c>
      <c r="H54" cm="1">
        <f t="array" ref="H54">SUM(IFERROR(_xlfn.ANCHORARRAY($L$6)*G54^{4,3,2,1,0},0))</f>
        <v>8.7717982772439864</v>
      </c>
    </row>
    <row r="55" spans="1:8" x14ac:dyDescent="0.25">
      <c r="A55">
        <v>36</v>
      </c>
      <c r="D55" cm="1">
        <f t="array" ref="D55">SUM(IFERROR(_xlfn.ANCHORARRAY($L$4)*A55^{8,7,6,5,4,3,2,1,0},0))</f>
        <v>177475.30513502005</v>
      </c>
      <c r="G55">
        <v>350000</v>
      </c>
      <c r="H55" cm="1">
        <f t="array" ref="H55">SUM(IFERROR(_xlfn.ANCHORARRAY($L$6)*G55^{4,3,2,1,0},0))</f>
        <v>9.348206192093226</v>
      </c>
    </row>
    <row r="56" spans="1:8" x14ac:dyDescent="0.25">
      <c r="A56">
        <v>37</v>
      </c>
      <c r="D56" cm="1">
        <f t="array" ref="D56">SUM(IFERROR(_xlfn.ANCHORARRAY($L$4)*A56^{8,7,6,5,4,3,2,1,0},0))</f>
        <v>166967.12219939474</v>
      </c>
      <c r="G56">
        <v>360000</v>
      </c>
      <c r="H56" cm="1">
        <f t="array" ref="H56">SUM(IFERROR(_xlfn.ANCHORARRAY($L$6)*G56^{4,3,2,1,0},0))</f>
        <v>9.9878106584353326</v>
      </c>
    </row>
    <row r="57" spans="1:8" x14ac:dyDescent="0.25">
      <c r="A57">
        <v>38</v>
      </c>
      <c r="D57" cm="1">
        <f t="array" ref="D57">SUM(IFERROR(_xlfn.ANCHORARRAY($L$4)*A57^{8,7,6,5,4,3,2,1,0},0))</f>
        <v>156717.36942515336</v>
      </c>
      <c r="G57">
        <v>370000</v>
      </c>
      <c r="H57" cm="1">
        <f t="array" ref="H57">SUM(IFERROR(_xlfn.ANCHORARRAY($L$6)*G57^{4,3,2,1,0},0))</f>
        <v>10.697621155849481</v>
      </c>
    </row>
    <row r="58" spans="1:8" x14ac:dyDescent="0.25">
      <c r="A58">
        <v>39</v>
      </c>
      <c r="D58" cm="1">
        <f t="array" ref="D58">SUM(IFERROR(_xlfn.ANCHORARRAY($L$4)*A58^{8,7,6,5,4,3,2,1,0},0))</f>
        <v>146896.47360984096</v>
      </c>
      <c r="G58">
        <v>380000</v>
      </c>
      <c r="H58" cm="1">
        <f t="array" ref="H58">SUM(IFERROR(_xlfn.ANCHORARRAY($L$6)*G58^{4,3,2,1,0},0))</f>
        <v>11.485000607010146</v>
      </c>
    </row>
    <row r="59" spans="1:8" x14ac:dyDescent="0.25">
      <c r="A59">
        <v>40</v>
      </c>
      <c r="D59" cm="1">
        <f t="array" ref="D59">SUM(IFERROR(_xlfn.ANCHORARRAY($L$4)*A59^{8,7,6,5,4,3,2,1,0},0))</f>
        <v>137732.1958301398</v>
      </c>
      <c r="G59">
        <v>390000</v>
      </c>
      <c r="H59" cm="1">
        <f t="array" ref="H59">SUM(IFERROR(_xlfn.ANCHORARRAY($L$6)*G59^{4,3,2,1,0},0))</f>
        <v>12.357665377687116</v>
      </c>
    </row>
    <row r="60" spans="1:8" x14ac:dyDescent="0.25">
      <c r="A60">
        <v>41</v>
      </c>
      <c r="D60" cm="1">
        <f t="array" ref="D60">SUM(IFERROR(_xlfn.ANCHORARRAY($L$4)*A60^{8,7,6,5,4,3,2,1,0},0))</f>
        <v>129490.69759165728</v>
      </c>
      <c r="G60">
        <v>400000</v>
      </c>
      <c r="H60" cm="1">
        <f t="array" ref="H60">SUM(IFERROR(_xlfn.ANCHORARRAY($L$6)*G60^{4,3,2,1,0},0))</f>
        <v>13.323685276745485</v>
      </c>
    </row>
    <row r="61" spans="1:8" x14ac:dyDescent="0.25">
      <c r="A61">
        <v>42</v>
      </c>
      <c r="D61" cm="1">
        <f t="array" ref="D61">SUM(IFERROR(_xlfn.ANCHORARRAY($L$4)*A61^{8,7,6,5,4,3,2,1,0},0))</f>
        <v>122444.06225262536</v>
      </c>
      <c r="G61">
        <v>410000</v>
      </c>
      <c r="H61" cm="1">
        <f t="array" ref="H61">SUM(IFERROR(_xlfn.ANCHORARRAY($L$6)*G61^{4,3,2,1,0},0))</f>
        <v>14.391483556145676</v>
      </c>
    </row>
    <row r="62" spans="1:8" x14ac:dyDescent="0.25">
      <c r="A62">
        <v>43</v>
      </c>
      <c r="D62" cm="1">
        <f t="array" ref="D62">SUM(IFERROR(_xlfn.ANCHORARRAY($L$4)*A62^{8,7,6,5,4,3,2,1,0},0))</f>
        <v>116821.66851986991</v>
      </c>
      <c r="G62">
        <v>420000</v>
      </c>
      <c r="H62" cm="1">
        <f t="array" ref="H62">SUM(IFERROR(_xlfn.ANCHORARRAY($L$6)*G62^{4,3,2,1,0},0))</f>
        <v>15.569836910943405</v>
      </c>
    </row>
    <row r="63" spans="1:8" x14ac:dyDescent="0.25">
      <c r="A63">
        <v>44</v>
      </c>
      <c r="D63" cm="1">
        <f t="array" ref="D63">SUM(IFERROR(_xlfn.ANCHORARRAY($L$4)*A63^{8,7,6,5,4,3,2,1,0},0))</f>
        <v>112742.63494056184</v>
      </c>
      <c r="G63">
        <v>430000</v>
      </c>
      <c r="H63" cm="1">
        <f t="array" ref="H63">SUM(IFERROR(_xlfn.ANCHORARRAY($L$6)*G63^{4,3,2,1,0},0))</f>
        <v>16.867875479289705</v>
      </c>
    </row>
    <row r="64" spans="1:8" x14ac:dyDescent="0.25">
      <c r="A64">
        <v>45</v>
      </c>
      <c r="D64" cm="1">
        <f t="array" ref="D64">SUM(IFERROR(_xlfn.ANCHORARRAY($L$4)*A64^{8,7,6,5,4,3,2,1,0},0))</f>
        <v>110126.37644100748</v>
      </c>
      <c r="G64">
        <v>440000</v>
      </c>
      <c r="H64" cm="1">
        <f t="array" ref="H64">SUM(IFERROR(_xlfn.ANCHORARRAY($L$6)*G64^{4,3,2,1,0},0))</f>
        <v>18.295082842430915</v>
      </c>
    </row>
    <row r="65" spans="1:4" x14ac:dyDescent="0.25">
      <c r="A65">
        <v>46</v>
      </c>
      <c r="D65" cm="1">
        <f t="array" ref="D65">SUM(IFERROR(_xlfn.ANCHORARRAY($L$4)*A65^{8,7,6,5,4,3,2,1,0},0))</f>
        <v>108578.13608903904</v>
      </c>
    </row>
    <row r="66" spans="1:4" x14ac:dyDescent="0.25">
      <c r="A66">
        <v>47</v>
      </c>
      <c r="D66" cm="1">
        <f t="array" ref="D66">SUM(IFERROR(_xlfn.ANCHORARRAY($L$4)*A66^{8,7,6,5,4,3,2,1,0},0))</f>
        <v>107246.17738369666</v>
      </c>
    </row>
    <row r="67" spans="1:4" x14ac:dyDescent="0.25">
      <c r="A67">
        <v>48</v>
      </c>
      <c r="D67" cm="1">
        <f t="array" ref="D67">SUM(IFERROR(_xlfn.ANCHORARRAY($L$4)*A67^{8,7,6,5,4,3,2,1,0},0))</f>
        <v>104647.1445005266</v>
      </c>
    </row>
    <row r="68" spans="1:4" x14ac:dyDescent="0.25">
      <c r="A68">
        <v>49</v>
      </c>
      <c r="D68" cm="1">
        <f t="array" ref="D68">SUM(IFERROR(_xlfn.ANCHORARRAY($L$4)*A68^{8,7,6,5,4,3,2,1,0},0))</f>
        <v>98455.920048359316</v>
      </c>
    </row>
    <row r="69" spans="1:4" x14ac:dyDescent="0.25">
      <c r="A69">
        <v>50</v>
      </c>
      <c r="D69" cm="1">
        <f t="array" ref="D69">SUM(IFERROR(_xlfn.ANCHORARRAY($L$4)*A69^{8,7,6,5,4,3,2,1,0},0))</f>
        <v>85256.132018710021</v>
      </c>
    </row>
  </sheetData>
  <autoFilter ref="A1:B14" xr:uid="{CEF4DBE7-3FDB-4E20-85FE-64ADFAAC800F}">
    <sortState xmlns:xlrd2="http://schemas.microsoft.com/office/spreadsheetml/2017/richdata2" ref="A2:B14">
      <sortCondition ref="A1:A14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NaOH_conductivity_curve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Carruthers</cp:lastModifiedBy>
  <dcterms:created xsi:type="dcterms:W3CDTF">2026-03-12T17:23:03Z</dcterms:created>
  <dcterms:modified xsi:type="dcterms:W3CDTF">2026-05-04T11:50:11Z</dcterms:modified>
</cp:coreProperties>
</file>