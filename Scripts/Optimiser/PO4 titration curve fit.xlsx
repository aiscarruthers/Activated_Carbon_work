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ruther\bin\Scripts\Optimiser\"/>
    </mc:Choice>
  </mc:AlternateContent>
  <xr:revisionPtr revIDLastSave="0" documentId="13_ncr:1_{EB3F57EB-41F8-4C59-BEED-1C9B78CCF068}" xr6:coauthVersionLast="47" xr6:coauthVersionMax="47" xr10:uidLastSave="{00000000-0000-0000-0000-000000000000}"/>
  <bookViews>
    <workbookView xWindow="-120" yWindow="-120" windowWidth="29040" windowHeight="15720" xr2:uid="{F72399A2-6D26-4563-96E8-6BDC08E274AF}"/>
  </bookViews>
  <sheets>
    <sheet name="plot-data" sheetId="1" r:id="rId1"/>
    <sheet name="pH against equivalent OH" sheetId="2" r:id="rId2"/>
    <sheet name="equivalent OH against p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5" i="1"/>
  <c r="F33" i="1"/>
  <c r="F34" i="1"/>
  <c r="F2" i="1"/>
  <c r="F9" i="1"/>
  <c r="F10" i="1"/>
  <c r="F11" i="1"/>
  <c r="F12" i="1"/>
  <c r="F13" i="1"/>
  <c r="F14" i="1"/>
  <c r="F15" i="1"/>
  <c r="F21" i="1"/>
  <c r="F22" i="1"/>
  <c r="F23" i="1"/>
  <c r="F24" i="1"/>
  <c r="F25" i="1"/>
  <c r="F26" i="1"/>
  <c r="F27" i="1"/>
  <c r="D2" i="1" a="1"/>
  <c r="D2" i="1" s="1"/>
  <c r="V13" i="1" a="1"/>
  <c r="V4" i="1" a="1"/>
  <c r="V4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F20" i="1" l="1"/>
  <c r="F8" i="1"/>
  <c r="F19" i="1"/>
  <c r="F7" i="1"/>
  <c r="F30" i="1"/>
  <c r="F18" i="1"/>
  <c r="F6" i="1"/>
  <c r="F29" i="1"/>
  <c r="F17" i="1"/>
  <c r="F5" i="1"/>
  <c r="F28" i="1"/>
  <c r="F16" i="1"/>
  <c r="F4" i="1"/>
  <c r="F3" i="1"/>
  <c r="E21" i="1" a="1"/>
  <c r="E21" i="1" s="1"/>
  <c r="E2" i="1" a="1"/>
  <c r="E2" i="1" s="1"/>
  <c r="E4" i="1" a="1"/>
  <c r="E4" i="1" s="1"/>
  <c r="E20" i="1" a="1"/>
  <c r="E20" i="1" s="1"/>
  <c r="E12" i="1" a="1"/>
  <c r="E12" i="1" s="1"/>
  <c r="E30" i="1" a="1"/>
  <c r="E30" i="1" s="1"/>
  <c r="E19" i="1" a="1"/>
  <c r="E19" i="1" s="1"/>
  <c r="E28" i="1" a="1"/>
  <c r="E28" i="1" s="1"/>
  <c r="E10" i="1" a="1"/>
  <c r="E10" i="1" s="1"/>
  <c r="E18" i="1" a="1"/>
  <c r="E18" i="1" s="1"/>
  <c r="E17" i="1" a="1"/>
  <c r="E17" i="1" s="1"/>
  <c r="E24" i="1" a="1"/>
  <c r="E24" i="1" s="1"/>
  <c r="E23" i="1" a="1"/>
  <c r="E23" i="1" s="1"/>
  <c r="E15" i="1" a="1"/>
  <c r="E15" i="1" s="1"/>
  <c r="E6" i="1" a="1"/>
  <c r="E6" i="1" s="1"/>
  <c r="E29" i="1" a="1"/>
  <c r="E29" i="1" s="1"/>
  <c r="E11" i="1" a="1"/>
  <c r="E11" i="1" s="1"/>
  <c r="E27" i="1" a="1"/>
  <c r="E27" i="1" s="1"/>
  <c r="E9" i="1" a="1"/>
  <c r="E9" i="1" s="1"/>
  <c r="E26" i="1" a="1"/>
  <c r="E26" i="1" s="1"/>
  <c r="E8" i="1" a="1"/>
  <c r="E8" i="1" s="1"/>
  <c r="E25" i="1" a="1"/>
  <c r="E25" i="1" s="1"/>
  <c r="E7" i="1" a="1"/>
  <c r="E7" i="1" s="1"/>
  <c r="E16" i="1" a="1"/>
  <c r="E16" i="1" s="1"/>
  <c r="K26" i="1" a="1"/>
  <c r="K26" i="1" s="1"/>
  <c r="E14" i="1" a="1"/>
  <c r="E14" i="1" s="1"/>
  <c r="E5" i="1" a="1"/>
  <c r="E5" i="1" s="1"/>
  <c r="E22" i="1" a="1"/>
  <c r="E22" i="1" s="1"/>
  <c r="E13" i="1" a="1"/>
  <c r="E13" i="1" s="1"/>
  <c r="E3" i="1" a="1"/>
  <c r="E3" i="1" s="1"/>
  <c r="V13" i="1"/>
  <c r="K9" i="1" s="1" a="1"/>
  <c r="K9" i="1" s="1"/>
  <c r="K2" i="1" l="1" a="1"/>
  <c r="K2" i="1" s="1"/>
  <c r="K3" i="1" a="1"/>
  <c r="K3" i="1" s="1"/>
  <c r="K19" i="1" a="1"/>
  <c r="K19" i="1" s="1"/>
  <c r="K14" i="1" a="1"/>
  <c r="K14" i="1" s="1"/>
  <c r="K27" i="1" a="1"/>
  <c r="K27" i="1" s="1"/>
  <c r="K23" i="1" a="1"/>
  <c r="K23" i="1" s="1"/>
  <c r="K11" i="1" a="1"/>
  <c r="K11" i="1" s="1"/>
  <c r="K17" i="1" a="1"/>
  <c r="K17" i="1" s="1"/>
  <c r="K25" i="1" a="1"/>
  <c r="K25" i="1" s="1"/>
  <c r="K28" i="1" a="1"/>
  <c r="K28" i="1" s="1"/>
  <c r="K21" i="1" a="1"/>
  <c r="K21" i="1" s="1"/>
  <c r="K24" i="1" a="1"/>
  <c r="K24" i="1" s="1"/>
  <c r="K20" i="1" a="1"/>
  <c r="K20" i="1" s="1"/>
  <c r="K10" i="1" a="1"/>
  <c r="K10" i="1" s="1"/>
  <c r="K18" i="1" a="1"/>
  <c r="K18" i="1" s="1"/>
  <c r="K13" i="1" a="1"/>
  <c r="K13" i="1" s="1"/>
  <c r="K7" i="1" a="1"/>
  <c r="K7" i="1" s="1"/>
  <c r="K6" i="1" a="1"/>
  <c r="K6" i="1" s="1"/>
  <c r="K22" i="1" a="1"/>
  <c r="K22" i="1" s="1"/>
  <c r="K8" i="1" a="1"/>
  <c r="K8" i="1" s="1"/>
  <c r="K4" i="1" a="1"/>
  <c r="K4" i="1" s="1"/>
  <c r="K15" i="1" a="1"/>
  <c r="K15" i="1" s="1"/>
  <c r="K12" i="1" a="1"/>
  <c r="K12" i="1" s="1"/>
  <c r="K5" i="1" a="1"/>
  <c r="K5" i="1" s="1"/>
  <c r="K16" i="1" a="1"/>
  <c r="K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<sst xmlns="http://schemas.openxmlformats.org/spreadsheetml/2006/main" count="18" uniqueCount="15">
  <si>
    <t>Equivalent OH-</t>
  </si>
  <si>
    <t>pH</t>
  </si>
  <si>
    <t>pH is x</t>
  </si>
  <si>
    <t>OH is x</t>
  </si>
  <si>
    <t>sigmoidal fit</t>
  </si>
  <si>
    <t>A1</t>
  </si>
  <si>
    <t>A2</t>
  </si>
  <si>
    <t>A3</t>
  </si>
  <si>
    <t>k1</t>
  </si>
  <si>
    <t>k2</t>
  </si>
  <si>
    <t>k3</t>
  </si>
  <si>
    <t>OH</t>
  </si>
  <si>
    <t>pK1</t>
  </si>
  <si>
    <t>pK2</t>
  </si>
  <si>
    <t>pK3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</si>
</sst>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Raw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'plot-data'!$B$2:$B$53</c:f>
              <c:numCache>
                <c:formatCode>General</c:formatCode>
                <c:ptCount val="52"/>
                <c:pt idx="0">
                  <c:v>0.29166666666666602</c:v>
                </c:pt>
                <c:pt idx="1">
                  <c:v>0.52083333333333304</c:v>
                </c:pt>
                <c:pt idx="2">
                  <c:v>0.75</c:v>
                </c:pt>
                <c:pt idx="3">
                  <c:v>1.2708333333333299</c:v>
                </c:pt>
                <c:pt idx="4">
                  <c:v>1.5</c:v>
                </c:pt>
                <c:pt idx="5">
                  <c:v>1.75</c:v>
                </c:pt>
                <c:pt idx="6">
                  <c:v>2.0625</c:v>
                </c:pt>
                <c:pt idx="7">
                  <c:v>2.2291666666666599</c:v>
                </c:pt>
                <c:pt idx="8">
                  <c:v>2.5</c:v>
                </c:pt>
                <c:pt idx="9">
                  <c:v>2.7708333333333299</c:v>
                </c:pt>
                <c:pt idx="10">
                  <c:v>3.0208333333333299</c:v>
                </c:pt>
                <c:pt idx="11">
                  <c:v>3.25</c:v>
                </c:pt>
                <c:pt idx="12">
                  <c:v>3.5208333333333299</c:v>
                </c:pt>
                <c:pt idx="13">
                  <c:v>3.7916666666666599</c:v>
                </c:pt>
                <c:pt idx="14">
                  <c:v>4.0208333333333304</c:v>
                </c:pt>
                <c:pt idx="15">
                  <c:v>4.2708333333333304</c:v>
                </c:pt>
                <c:pt idx="16">
                  <c:v>4.75</c:v>
                </c:pt>
                <c:pt idx="17">
                  <c:v>5.25</c:v>
                </c:pt>
                <c:pt idx="18">
                  <c:v>5.5208333333333304</c:v>
                </c:pt>
                <c:pt idx="19">
                  <c:v>5.75</c:v>
                </c:pt>
                <c:pt idx="20">
                  <c:v>6.0208333333333304</c:v>
                </c:pt>
                <c:pt idx="21">
                  <c:v>6.2708333333333304</c:v>
                </c:pt>
                <c:pt idx="22">
                  <c:v>6.5416666666666599</c:v>
                </c:pt>
                <c:pt idx="23">
                  <c:v>6.75</c:v>
                </c:pt>
                <c:pt idx="24">
                  <c:v>7.0208333333333304</c:v>
                </c:pt>
                <c:pt idx="25">
                  <c:v>7.1875</c:v>
                </c:pt>
                <c:pt idx="26">
                  <c:v>7.4791666666666599</c:v>
                </c:pt>
                <c:pt idx="27">
                  <c:v>7.7708333333333304</c:v>
                </c:pt>
                <c:pt idx="28">
                  <c:v>8.0208333333333304</c:v>
                </c:pt>
                <c:pt idx="29">
                  <c:v>8.2916666666666607</c:v>
                </c:pt>
                <c:pt idx="30">
                  <c:v>8.5</c:v>
                </c:pt>
                <c:pt idx="31">
                  <c:v>8.7708333333333304</c:v>
                </c:pt>
                <c:pt idx="32">
                  <c:v>9.0625</c:v>
                </c:pt>
                <c:pt idx="33">
                  <c:v>9.25</c:v>
                </c:pt>
                <c:pt idx="34">
                  <c:v>9.5416666666666607</c:v>
                </c:pt>
                <c:pt idx="35">
                  <c:v>9.9583333333333304</c:v>
                </c:pt>
                <c:pt idx="36">
                  <c:v>10.3125</c:v>
                </c:pt>
                <c:pt idx="37">
                  <c:v>10.5416666666666</c:v>
                </c:pt>
                <c:pt idx="38">
                  <c:v>10.8125</c:v>
                </c:pt>
                <c:pt idx="39">
                  <c:v>11.0208333333333</c:v>
                </c:pt>
                <c:pt idx="40">
                  <c:v>11.2916666666666</c:v>
                </c:pt>
                <c:pt idx="41">
                  <c:v>11.5416666666666</c:v>
                </c:pt>
                <c:pt idx="42">
                  <c:v>11.8125</c:v>
                </c:pt>
                <c:pt idx="43">
                  <c:v>12.0416666666666</c:v>
                </c:pt>
                <c:pt idx="44">
                  <c:v>12.2916666666666</c:v>
                </c:pt>
                <c:pt idx="45">
                  <c:v>12.375</c:v>
                </c:pt>
                <c:pt idx="46">
                  <c:v>12.5625</c:v>
                </c:pt>
                <c:pt idx="47">
                  <c:v>12.75</c:v>
                </c:pt>
                <c:pt idx="48">
                  <c:v>13.0208333333333</c:v>
                </c:pt>
                <c:pt idx="49">
                  <c:v>13.2916666666666</c:v>
                </c:pt>
                <c:pt idx="50">
                  <c:v>13.5625</c:v>
                </c:pt>
                <c:pt idx="51">
                  <c:v>13.8958333333333</c:v>
                </c:pt>
              </c:numCache>
            </c:numRef>
          </c:xVal>
          <c:yVal>
            <c:numRef>
              <c:f>'plot-data'!$A$2:$A$53</c:f>
              <c:numCache>
                <c:formatCode>General</c:formatCode>
                <c:ptCount val="52"/>
                <c:pt idx="0">
                  <c:v>5.76368876080691E-3</c:v>
                </c:pt>
                <c:pt idx="1">
                  <c:v>1.44092219020172E-2</c:v>
                </c:pt>
                <c:pt idx="2">
                  <c:v>2.8818443804034501E-2</c:v>
                </c:pt>
                <c:pt idx="3">
                  <c:v>0.103746397694524</c:v>
                </c:pt>
                <c:pt idx="4">
                  <c:v>0.17867435158501399</c:v>
                </c:pt>
                <c:pt idx="5">
                  <c:v>0.28242074927953797</c:v>
                </c:pt>
                <c:pt idx="6">
                  <c:v>0.43227665706051799</c:v>
                </c:pt>
                <c:pt idx="7">
                  <c:v>0.55907780979827004</c:v>
                </c:pt>
                <c:pt idx="8">
                  <c:v>0.68587896253602298</c:v>
                </c:pt>
                <c:pt idx="9">
                  <c:v>0.79538904899135399</c:v>
                </c:pt>
                <c:pt idx="10">
                  <c:v>0.87319884726224695</c:v>
                </c:pt>
                <c:pt idx="11">
                  <c:v>0.92219020172910604</c:v>
                </c:pt>
                <c:pt idx="12">
                  <c:v>0.95389048991354397</c:v>
                </c:pt>
                <c:pt idx="13">
                  <c:v>0.96829971181556096</c:v>
                </c:pt>
                <c:pt idx="14">
                  <c:v>0.97694524495677204</c:v>
                </c:pt>
                <c:pt idx="15">
                  <c:v>0.98559077809798201</c:v>
                </c:pt>
                <c:pt idx="16">
                  <c:v>0.99711815561959605</c:v>
                </c:pt>
                <c:pt idx="17">
                  <c:v>1.0028818443804</c:v>
                </c:pt>
                <c:pt idx="18">
                  <c:v>1.0086455331412101</c:v>
                </c:pt>
                <c:pt idx="19">
                  <c:v>1.02593659942363</c:v>
                </c:pt>
                <c:pt idx="20">
                  <c:v>1.05475504322766</c:v>
                </c:pt>
                <c:pt idx="21">
                  <c:v>1.09798270893371</c:v>
                </c:pt>
                <c:pt idx="22">
                  <c:v>1.1613832853025901</c:v>
                </c:pt>
                <c:pt idx="23">
                  <c:v>1.2536023054754999</c:v>
                </c:pt>
                <c:pt idx="24">
                  <c:v>1.3804034582132501</c:v>
                </c:pt>
                <c:pt idx="25">
                  <c:v>1.49279538904899</c:v>
                </c:pt>
                <c:pt idx="26">
                  <c:v>1.65994236311239</c:v>
                </c:pt>
                <c:pt idx="27">
                  <c:v>1.7752161383285301</c:v>
                </c:pt>
                <c:pt idx="28">
                  <c:v>1.8587896253602301</c:v>
                </c:pt>
                <c:pt idx="29">
                  <c:v>1.9193083573487</c:v>
                </c:pt>
                <c:pt idx="30">
                  <c:v>1.94812680115273</c:v>
                </c:pt>
                <c:pt idx="31">
                  <c:v>1.97118155619596</c:v>
                </c:pt>
                <c:pt idx="32">
                  <c:v>1.9798270893371701</c:v>
                </c:pt>
                <c:pt idx="33">
                  <c:v>1.98847262247838</c:v>
                </c:pt>
                <c:pt idx="34">
                  <c:v>1.9942363112391901</c:v>
                </c:pt>
                <c:pt idx="35">
                  <c:v>1.99999999999999</c:v>
                </c:pt>
                <c:pt idx="36">
                  <c:v>2.0028818443804002</c:v>
                </c:pt>
                <c:pt idx="37">
                  <c:v>2.0086455331412099</c:v>
                </c:pt>
                <c:pt idx="38">
                  <c:v>2.0201729106628199</c:v>
                </c:pt>
                <c:pt idx="39">
                  <c:v>2.0374639769452401</c:v>
                </c:pt>
                <c:pt idx="40">
                  <c:v>2.05763688760806</c:v>
                </c:pt>
                <c:pt idx="41">
                  <c:v>2.1066282420749198</c:v>
                </c:pt>
                <c:pt idx="42">
                  <c:v>2.1757925072046098</c:v>
                </c:pt>
                <c:pt idx="43">
                  <c:v>2.2766570605187302</c:v>
                </c:pt>
                <c:pt idx="44">
                  <c:v>2.4149855907780902</c:v>
                </c:pt>
                <c:pt idx="45">
                  <c:v>2.46397694524495</c:v>
                </c:pt>
                <c:pt idx="46">
                  <c:v>2.5504322766570602</c:v>
                </c:pt>
                <c:pt idx="47">
                  <c:v>2.6887608069164202</c:v>
                </c:pt>
                <c:pt idx="48">
                  <c:v>2.7953890489913502</c:v>
                </c:pt>
                <c:pt idx="49">
                  <c:v>2.8703170028818401</c:v>
                </c:pt>
                <c:pt idx="50">
                  <c:v>2.9250720461095101</c:v>
                </c:pt>
                <c:pt idx="51">
                  <c:v>2.9740634005763602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57-4E28-BD80-23C1E66E2083}"/>
            </c:ext>
          </c:extLst>
        </c:ser>
        <c:ser>
          <c:idx val="1"/>
          <c:order val="1"/>
          <c:tx>
            <c:v>OH is x regression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'plot-data'!$K$2:$K$28</c:f>
              <c:numCache>
                <c:formatCode>General</c:formatCode>
                <c:ptCount val="27"/>
                <c:pt idx="0">
                  <c:v>0</c:v>
                </c:pt>
                <c:pt idx="1">
                  <c:v>0.91434817155223969</c:v>
                </c:pt>
                <c:pt idx="2">
                  <c:v>1.9862143711176059</c:v>
                </c:pt>
                <c:pt idx="3">
                  <c:v>2.4010125830000377</c:v>
                </c:pt>
                <c:pt idx="4">
                  <c:v>2.1452182935772113</c:v>
                </c:pt>
                <c:pt idx="5">
                  <c:v>1.7960800858567127</c:v>
                </c:pt>
                <c:pt idx="6">
                  <c:v>1.8942589465451505</c:v>
                </c:pt>
                <c:pt idx="7">
                  <c:v>2.6448619011718737</c:v>
                </c:pt>
                <c:pt idx="8">
                  <c:v>3.892856093454629</c:v>
                </c:pt>
                <c:pt idx="9">
                  <c:v>5.2677431615797587</c:v>
                </c:pt>
                <c:pt idx="10">
                  <c:v>6.3854849507327263</c:v>
                </c:pt>
                <c:pt idx="11">
                  <c:v>7.0170270177836809</c:v>
                </c:pt>
                <c:pt idx="12">
                  <c:v>7.1688676246685077</c:v>
                </c:pt>
                <c:pt idx="13">
                  <c:v>7.0609433903942964</c:v>
                </c:pt>
                <c:pt idx="14">
                  <c:v>7.0220997007716512</c:v>
                </c:pt>
                <c:pt idx="15">
                  <c:v>7.3475103975608675</c:v>
                </c:pt>
                <c:pt idx="16">
                  <c:v>8.1720080366157291</c:v>
                </c:pt>
                <c:pt idx="17">
                  <c:v>9.4072587846855278</c:v>
                </c:pt>
                <c:pt idx="18">
                  <c:v>10.770415296614743</c:v>
                </c:pt>
                <c:pt idx="19">
                  <c:v>11.901131976282979</c:v>
                </c:pt>
                <c:pt idx="20">
                  <c:v>12.528929982865765</c:v>
                </c:pt>
                <c:pt idx="21">
                  <c:v>12.622629125595395</c:v>
                </c:pt>
                <c:pt idx="22">
                  <c:v>12.4391701322735</c:v>
                </c:pt>
                <c:pt idx="23">
                  <c:v>12.404358232695021</c:v>
                </c:pt>
                <c:pt idx="24">
                  <c:v>12.819066942903987</c:v>
                </c:pt>
                <c:pt idx="25">
                  <c:v>13.509923521932816</c:v>
                </c:pt>
                <c:pt idx="26">
                  <c:v>13.754603865415781</c:v>
                </c:pt>
              </c:numCache>
            </c:numRef>
          </c:xVal>
          <c:yVal>
            <c:numRef>
              <c:f>'plot-data'!$J$2:$J$28</c:f>
              <c:numCache>
                <c:formatCode>General</c:formatCode>
                <c:ptCount val="27"/>
                <c:pt idx="0">
                  <c:v>0</c:v>
                </c:pt>
                <c:pt idx="1">
                  <c:v>0.11538461538461539</c:v>
                </c:pt>
                <c:pt idx="2">
                  <c:v>0.23076923076923078</c:v>
                </c:pt>
                <c:pt idx="3">
                  <c:v>0.34615384615384615</c:v>
                </c:pt>
                <c:pt idx="4">
                  <c:v>0.46153846153846156</c:v>
                </c:pt>
                <c:pt idx="5">
                  <c:v>0.57692307692307698</c:v>
                </c:pt>
                <c:pt idx="6">
                  <c:v>0.6923076923076924</c:v>
                </c:pt>
                <c:pt idx="7">
                  <c:v>0.80769230769230782</c:v>
                </c:pt>
                <c:pt idx="8">
                  <c:v>0.92307692307692324</c:v>
                </c:pt>
                <c:pt idx="9">
                  <c:v>1.0384615384615385</c:v>
                </c:pt>
                <c:pt idx="10">
                  <c:v>1.153846153846154</c:v>
                </c:pt>
                <c:pt idx="11">
                  <c:v>1.2692307692307694</c:v>
                </c:pt>
                <c:pt idx="12">
                  <c:v>1.3846153846153848</c:v>
                </c:pt>
                <c:pt idx="13">
                  <c:v>1.5000000000000002</c:v>
                </c:pt>
                <c:pt idx="14">
                  <c:v>1.6153846153846156</c:v>
                </c:pt>
                <c:pt idx="15">
                  <c:v>1.7307692307692311</c:v>
                </c:pt>
                <c:pt idx="16">
                  <c:v>1.8461538461538465</c:v>
                </c:pt>
                <c:pt idx="17">
                  <c:v>1.9615384615384619</c:v>
                </c:pt>
                <c:pt idx="18">
                  <c:v>2.0769230769230771</c:v>
                </c:pt>
                <c:pt idx="19">
                  <c:v>2.1923076923076925</c:v>
                </c:pt>
                <c:pt idx="20">
                  <c:v>2.3076923076923079</c:v>
                </c:pt>
                <c:pt idx="21">
                  <c:v>2.4230769230769234</c:v>
                </c:pt>
                <c:pt idx="22">
                  <c:v>2.5384615384615388</c:v>
                </c:pt>
                <c:pt idx="23">
                  <c:v>2.6538461538461542</c:v>
                </c:pt>
                <c:pt idx="24">
                  <c:v>2.7692307692307696</c:v>
                </c:pt>
                <c:pt idx="25">
                  <c:v>2.884615384615385</c:v>
                </c:pt>
                <c:pt idx="2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57-4E28-BD80-23C1E66E2083}"/>
            </c:ext>
          </c:extLst>
        </c:ser>
        <c:ser>
          <c:idx val="2"/>
          <c:order val="2"/>
          <c:tx>
            <c:strRef>
              <c:f>'plot-data'!$E$1</c:f>
              <c:strCache>
                <c:ptCount val="1"/>
                <c:pt idx="0">
                  <c:v>pH is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'plot-data'!$D$2:$D$30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xVal>
          <c:yVal>
            <c:numRef>
              <c:f>'plot-data'!$E$2:$E$30</c:f>
              <c:numCache>
                <c:formatCode>General</c:formatCode>
                <c:ptCount val="29"/>
                <c:pt idx="0">
                  <c:v>0</c:v>
                </c:pt>
                <c:pt idx="1">
                  <c:v>1.8518041904911187E-2</c:v>
                </c:pt>
                <c:pt idx="2">
                  <c:v>4.4932396896920967E-2</c:v>
                </c:pt>
                <c:pt idx="3">
                  <c:v>0.18210369417200223</c:v>
                </c:pt>
                <c:pt idx="4">
                  <c:v>0.41700577883367873</c:v>
                </c:pt>
                <c:pt idx="5">
                  <c:v>0.668405872452281</c:v>
                </c:pt>
                <c:pt idx="6">
                  <c:v>0.86401362724456821</c:v>
                </c:pt>
                <c:pt idx="7">
                  <c:v>0.97063975509331479</c:v>
                </c:pt>
                <c:pt idx="8">
                  <c:v>0.9959538699008994</c:v>
                </c:pt>
                <c:pt idx="9">
                  <c:v>0.97564320310469954</c:v>
                </c:pt>
                <c:pt idx="10">
                  <c:v>0.95570965954280496</c:v>
                </c:pt>
                <c:pt idx="11">
                  <c:v>0.97625594247837721</c:v>
                </c:pt>
                <c:pt idx="12">
                  <c:v>1.0603558606999837</c:v>
                </c:pt>
                <c:pt idx="13">
                  <c:v>1.2094331054471761</c:v>
                </c:pt>
                <c:pt idx="14">
                  <c:v>1.4049404186983141</c:v>
                </c:pt>
                <c:pt idx="15">
                  <c:v>1.6149908353187712</c:v>
                </c:pt>
                <c:pt idx="16">
                  <c:v>1.8038982379742405</c:v>
                </c:pt>
                <c:pt idx="17">
                  <c:v>1.9422894837201721</c:v>
                </c:pt>
                <c:pt idx="18">
                  <c:v>2.0155085131344288</c:v>
                </c:pt>
                <c:pt idx="19">
                  <c:v>2.0283978048445777</c:v>
                </c:pt>
                <c:pt idx="20">
                  <c:v>2.0051679587043338</c:v>
                </c:pt>
                <c:pt idx="21">
                  <c:v>1.9839057478143713</c:v>
                </c:pt>
                <c:pt idx="22">
                  <c:v>2.0062783413408933</c:v>
                </c:pt>
                <c:pt idx="23">
                  <c:v>2.1041202348128829</c:v>
                </c:pt>
                <c:pt idx="24">
                  <c:v>2.2857934008245415</c:v>
                </c:pt>
                <c:pt idx="25">
                  <c:v>2.5264439583393923</c:v>
                </c:pt>
                <c:pt idx="26">
                  <c:v>2.7674939224133102</c:v>
                </c:pt>
                <c:pt idx="27">
                  <c:v>2.9318580052304082</c:v>
                </c:pt>
                <c:pt idx="28">
                  <c:v>2.9624166626168122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57-4E28-BD80-23C1E66E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40256"/>
        <c:axId val="259546976"/>
      </c:scatterChart>
      <c:valAx>
        <c:axId val="259540256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6976"/>
        <c:crosses val="autoZero"/>
        <c:crossBetween val="midCat"/>
      </c:valAx>
      <c:valAx>
        <c:axId val="25954697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equivalent</a:t>
                </a:r>
                <a:r>
                  <a:rPr lang="en-GB" baseline="0"/>
                  <a:t> OH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Raw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'plot-data'!$A$2:$A$53</c:f>
              <c:numCache>
                <c:formatCode>General</c:formatCode>
                <c:ptCount val="52"/>
                <c:pt idx="0">
                  <c:v>5.76368876080691E-3</c:v>
                </c:pt>
                <c:pt idx="1">
                  <c:v>1.44092219020172E-2</c:v>
                </c:pt>
                <c:pt idx="2">
                  <c:v>2.8818443804034501E-2</c:v>
                </c:pt>
                <c:pt idx="3">
                  <c:v>0.103746397694524</c:v>
                </c:pt>
                <c:pt idx="4">
                  <c:v>0.17867435158501399</c:v>
                </c:pt>
                <c:pt idx="5">
                  <c:v>0.28242074927953797</c:v>
                </c:pt>
                <c:pt idx="6">
                  <c:v>0.43227665706051799</c:v>
                </c:pt>
                <c:pt idx="7">
                  <c:v>0.55907780979827004</c:v>
                </c:pt>
                <c:pt idx="8">
                  <c:v>0.68587896253602298</c:v>
                </c:pt>
                <c:pt idx="9">
                  <c:v>0.79538904899135399</c:v>
                </c:pt>
                <c:pt idx="10">
                  <c:v>0.87319884726224695</c:v>
                </c:pt>
                <c:pt idx="11">
                  <c:v>0.92219020172910604</c:v>
                </c:pt>
                <c:pt idx="12">
                  <c:v>0.95389048991354397</c:v>
                </c:pt>
                <c:pt idx="13">
                  <c:v>0.96829971181556096</c:v>
                </c:pt>
                <c:pt idx="14">
                  <c:v>0.97694524495677204</c:v>
                </c:pt>
                <c:pt idx="15">
                  <c:v>0.98559077809798201</c:v>
                </c:pt>
                <c:pt idx="16">
                  <c:v>0.99711815561959605</c:v>
                </c:pt>
                <c:pt idx="17">
                  <c:v>1.0028818443804</c:v>
                </c:pt>
                <c:pt idx="18">
                  <c:v>1.0086455331412101</c:v>
                </c:pt>
                <c:pt idx="19">
                  <c:v>1.02593659942363</c:v>
                </c:pt>
                <c:pt idx="20">
                  <c:v>1.05475504322766</c:v>
                </c:pt>
                <c:pt idx="21">
                  <c:v>1.09798270893371</c:v>
                </c:pt>
                <c:pt idx="22">
                  <c:v>1.1613832853025901</c:v>
                </c:pt>
                <c:pt idx="23">
                  <c:v>1.2536023054754999</c:v>
                </c:pt>
                <c:pt idx="24">
                  <c:v>1.3804034582132501</c:v>
                </c:pt>
                <c:pt idx="25">
                  <c:v>1.49279538904899</c:v>
                </c:pt>
                <c:pt idx="26">
                  <c:v>1.65994236311239</c:v>
                </c:pt>
                <c:pt idx="27">
                  <c:v>1.7752161383285301</c:v>
                </c:pt>
                <c:pt idx="28">
                  <c:v>1.8587896253602301</c:v>
                </c:pt>
                <c:pt idx="29">
                  <c:v>1.9193083573487</c:v>
                </c:pt>
                <c:pt idx="30">
                  <c:v>1.94812680115273</c:v>
                </c:pt>
                <c:pt idx="31">
                  <c:v>1.97118155619596</c:v>
                </c:pt>
                <c:pt idx="32">
                  <c:v>1.9798270893371701</c:v>
                </c:pt>
                <c:pt idx="33">
                  <c:v>1.98847262247838</c:v>
                </c:pt>
                <c:pt idx="34">
                  <c:v>1.9942363112391901</c:v>
                </c:pt>
                <c:pt idx="35">
                  <c:v>1.99999999999999</c:v>
                </c:pt>
                <c:pt idx="36">
                  <c:v>2.0028818443804002</c:v>
                </c:pt>
                <c:pt idx="37">
                  <c:v>2.0086455331412099</c:v>
                </c:pt>
                <c:pt idx="38">
                  <c:v>2.0201729106628199</c:v>
                </c:pt>
                <c:pt idx="39">
                  <c:v>2.0374639769452401</c:v>
                </c:pt>
                <c:pt idx="40">
                  <c:v>2.05763688760806</c:v>
                </c:pt>
                <c:pt idx="41">
                  <c:v>2.1066282420749198</c:v>
                </c:pt>
                <c:pt idx="42">
                  <c:v>2.1757925072046098</c:v>
                </c:pt>
                <c:pt idx="43">
                  <c:v>2.2766570605187302</c:v>
                </c:pt>
                <c:pt idx="44">
                  <c:v>2.4149855907780902</c:v>
                </c:pt>
                <c:pt idx="45">
                  <c:v>2.46397694524495</c:v>
                </c:pt>
                <c:pt idx="46">
                  <c:v>2.5504322766570602</c:v>
                </c:pt>
                <c:pt idx="47">
                  <c:v>2.6887608069164202</c:v>
                </c:pt>
                <c:pt idx="48">
                  <c:v>2.7953890489913502</c:v>
                </c:pt>
                <c:pt idx="49">
                  <c:v>2.8703170028818401</c:v>
                </c:pt>
                <c:pt idx="50">
                  <c:v>2.9250720461095101</c:v>
                </c:pt>
                <c:pt idx="51">
                  <c:v>2.9740634005763602</c:v>
                </c:pt>
              </c:numCache>
            </c:numRef>
          </c:xVal>
          <c:yVal>
            <c:numRef>
              <c:f>'plot-data'!$B$2:$B$53</c:f>
              <c:numCache>
                <c:formatCode>General</c:formatCode>
                <c:ptCount val="52"/>
                <c:pt idx="0">
                  <c:v>0.29166666666666602</c:v>
                </c:pt>
                <c:pt idx="1">
                  <c:v>0.52083333333333304</c:v>
                </c:pt>
                <c:pt idx="2">
                  <c:v>0.75</c:v>
                </c:pt>
                <c:pt idx="3">
                  <c:v>1.2708333333333299</c:v>
                </c:pt>
                <c:pt idx="4">
                  <c:v>1.5</c:v>
                </c:pt>
                <c:pt idx="5">
                  <c:v>1.75</c:v>
                </c:pt>
                <c:pt idx="6">
                  <c:v>2.0625</c:v>
                </c:pt>
                <c:pt idx="7">
                  <c:v>2.2291666666666599</c:v>
                </c:pt>
                <c:pt idx="8">
                  <c:v>2.5</c:v>
                </c:pt>
                <c:pt idx="9">
                  <c:v>2.7708333333333299</c:v>
                </c:pt>
                <c:pt idx="10">
                  <c:v>3.0208333333333299</c:v>
                </c:pt>
                <c:pt idx="11">
                  <c:v>3.25</c:v>
                </c:pt>
                <c:pt idx="12">
                  <c:v>3.5208333333333299</c:v>
                </c:pt>
                <c:pt idx="13">
                  <c:v>3.7916666666666599</c:v>
                </c:pt>
                <c:pt idx="14">
                  <c:v>4.0208333333333304</c:v>
                </c:pt>
                <c:pt idx="15">
                  <c:v>4.2708333333333304</c:v>
                </c:pt>
                <c:pt idx="16">
                  <c:v>4.75</c:v>
                </c:pt>
                <c:pt idx="17">
                  <c:v>5.25</c:v>
                </c:pt>
                <c:pt idx="18">
                  <c:v>5.5208333333333304</c:v>
                </c:pt>
                <c:pt idx="19">
                  <c:v>5.75</c:v>
                </c:pt>
                <c:pt idx="20">
                  <c:v>6.0208333333333304</c:v>
                </c:pt>
                <c:pt idx="21">
                  <c:v>6.2708333333333304</c:v>
                </c:pt>
                <c:pt idx="22">
                  <c:v>6.5416666666666599</c:v>
                </c:pt>
                <c:pt idx="23">
                  <c:v>6.75</c:v>
                </c:pt>
                <c:pt idx="24">
                  <c:v>7.0208333333333304</c:v>
                </c:pt>
                <c:pt idx="25">
                  <c:v>7.1875</c:v>
                </c:pt>
                <c:pt idx="26">
                  <c:v>7.4791666666666599</c:v>
                </c:pt>
                <c:pt idx="27">
                  <c:v>7.7708333333333304</c:v>
                </c:pt>
                <c:pt idx="28">
                  <c:v>8.0208333333333304</c:v>
                </c:pt>
                <c:pt idx="29">
                  <c:v>8.2916666666666607</c:v>
                </c:pt>
                <c:pt idx="30">
                  <c:v>8.5</c:v>
                </c:pt>
                <c:pt idx="31">
                  <c:v>8.7708333333333304</c:v>
                </c:pt>
                <c:pt idx="32">
                  <c:v>9.0625</c:v>
                </c:pt>
                <c:pt idx="33">
                  <c:v>9.25</c:v>
                </c:pt>
                <c:pt idx="34">
                  <c:v>9.5416666666666607</c:v>
                </c:pt>
                <c:pt idx="35">
                  <c:v>9.9583333333333304</c:v>
                </c:pt>
                <c:pt idx="36">
                  <c:v>10.3125</c:v>
                </c:pt>
                <c:pt idx="37">
                  <c:v>10.5416666666666</c:v>
                </c:pt>
                <c:pt idx="38">
                  <c:v>10.8125</c:v>
                </c:pt>
                <c:pt idx="39">
                  <c:v>11.0208333333333</c:v>
                </c:pt>
                <c:pt idx="40">
                  <c:v>11.2916666666666</c:v>
                </c:pt>
                <c:pt idx="41">
                  <c:v>11.5416666666666</c:v>
                </c:pt>
                <c:pt idx="42">
                  <c:v>11.8125</c:v>
                </c:pt>
                <c:pt idx="43">
                  <c:v>12.0416666666666</c:v>
                </c:pt>
                <c:pt idx="44">
                  <c:v>12.2916666666666</c:v>
                </c:pt>
                <c:pt idx="45">
                  <c:v>12.375</c:v>
                </c:pt>
                <c:pt idx="46">
                  <c:v>12.5625</c:v>
                </c:pt>
                <c:pt idx="47">
                  <c:v>12.75</c:v>
                </c:pt>
                <c:pt idx="48">
                  <c:v>13.0208333333333</c:v>
                </c:pt>
                <c:pt idx="49">
                  <c:v>13.2916666666666</c:v>
                </c:pt>
                <c:pt idx="50">
                  <c:v>13.5625</c:v>
                </c:pt>
                <c:pt idx="51">
                  <c:v>13.8958333333333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2-49F5-AF8A-D7ADADED71D3}"/>
            </c:ext>
          </c:extLst>
        </c:ser>
        <c:ser>
          <c:idx val="1"/>
          <c:order val="1"/>
          <c:tx>
            <c:v>ph is x regression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'plot-data'!$E$2:$E$30</c:f>
              <c:numCache>
                <c:formatCode>General</c:formatCode>
                <c:ptCount val="29"/>
                <c:pt idx="0">
                  <c:v>0</c:v>
                </c:pt>
                <c:pt idx="1">
                  <c:v>1.8518041904911187E-2</c:v>
                </c:pt>
                <c:pt idx="2">
                  <c:v>4.4932396896920967E-2</c:v>
                </c:pt>
                <c:pt idx="3">
                  <c:v>0.18210369417200223</c:v>
                </c:pt>
                <c:pt idx="4">
                  <c:v>0.41700577883367873</c:v>
                </c:pt>
                <c:pt idx="5">
                  <c:v>0.668405872452281</c:v>
                </c:pt>
                <c:pt idx="6">
                  <c:v>0.86401362724456821</c:v>
                </c:pt>
                <c:pt idx="7">
                  <c:v>0.97063975509331479</c:v>
                </c:pt>
                <c:pt idx="8">
                  <c:v>0.9959538699008994</c:v>
                </c:pt>
                <c:pt idx="9">
                  <c:v>0.97564320310469954</c:v>
                </c:pt>
                <c:pt idx="10">
                  <c:v>0.95570965954280496</c:v>
                </c:pt>
                <c:pt idx="11">
                  <c:v>0.97625594247837721</c:v>
                </c:pt>
                <c:pt idx="12">
                  <c:v>1.0603558606999837</c:v>
                </c:pt>
                <c:pt idx="13">
                  <c:v>1.2094331054471761</c:v>
                </c:pt>
                <c:pt idx="14">
                  <c:v>1.4049404186983141</c:v>
                </c:pt>
                <c:pt idx="15">
                  <c:v>1.6149908353187712</c:v>
                </c:pt>
                <c:pt idx="16">
                  <c:v>1.8038982379742405</c:v>
                </c:pt>
                <c:pt idx="17">
                  <c:v>1.9422894837201721</c:v>
                </c:pt>
                <c:pt idx="18">
                  <c:v>2.0155085131344288</c:v>
                </c:pt>
                <c:pt idx="19">
                  <c:v>2.0283978048445777</c:v>
                </c:pt>
                <c:pt idx="20">
                  <c:v>2.0051679587043338</c:v>
                </c:pt>
                <c:pt idx="21">
                  <c:v>1.9839057478143713</c:v>
                </c:pt>
                <c:pt idx="22">
                  <c:v>2.0062783413408933</c:v>
                </c:pt>
                <c:pt idx="23">
                  <c:v>2.1041202348128829</c:v>
                </c:pt>
                <c:pt idx="24">
                  <c:v>2.2857934008245415</c:v>
                </c:pt>
                <c:pt idx="25">
                  <c:v>2.5264439583393923</c:v>
                </c:pt>
                <c:pt idx="26">
                  <c:v>2.7674939224133102</c:v>
                </c:pt>
                <c:pt idx="27">
                  <c:v>2.9318580052304082</c:v>
                </c:pt>
                <c:pt idx="28">
                  <c:v>2.9624166626168122</c:v>
                </c:pt>
              </c:numCache>
            </c:numRef>
          </c:xVal>
          <c:yVal>
            <c:numRef>
              <c:f>'plot-data'!$D$2:$D$30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92-49F5-AF8A-D7ADADED71D3}"/>
            </c:ext>
          </c:extLst>
        </c:ser>
        <c:ser>
          <c:idx val="2"/>
          <c:order val="2"/>
          <c:tx>
            <c:v>OH is x regression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'plot-data'!$J$2:$J$28</c:f>
              <c:numCache>
                <c:formatCode>General</c:formatCode>
                <c:ptCount val="27"/>
                <c:pt idx="0">
                  <c:v>0</c:v>
                </c:pt>
                <c:pt idx="1">
                  <c:v>0.11538461538461539</c:v>
                </c:pt>
                <c:pt idx="2">
                  <c:v>0.23076923076923078</c:v>
                </c:pt>
                <c:pt idx="3">
                  <c:v>0.34615384615384615</c:v>
                </c:pt>
                <c:pt idx="4">
                  <c:v>0.46153846153846156</c:v>
                </c:pt>
                <c:pt idx="5">
                  <c:v>0.57692307692307698</c:v>
                </c:pt>
                <c:pt idx="6">
                  <c:v>0.6923076923076924</c:v>
                </c:pt>
                <c:pt idx="7">
                  <c:v>0.80769230769230782</c:v>
                </c:pt>
                <c:pt idx="8">
                  <c:v>0.92307692307692324</c:v>
                </c:pt>
                <c:pt idx="9">
                  <c:v>1.0384615384615385</c:v>
                </c:pt>
                <c:pt idx="10">
                  <c:v>1.153846153846154</c:v>
                </c:pt>
                <c:pt idx="11">
                  <c:v>1.2692307692307694</c:v>
                </c:pt>
                <c:pt idx="12">
                  <c:v>1.3846153846153848</c:v>
                </c:pt>
                <c:pt idx="13">
                  <c:v>1.5000000000000002</c:v>
                </c:pt>
                <c:pt idx="14">
                  <c:v>1.6153846153846156</c:v>
                </c:pt>
                <c:pt idx="15">
                  <c:v>1.7307692307692311</c:v>
                </c:pt>
                <c:pt idx="16">
                  <c:v>1.8461538461538465</c:v>
                </c:pt>
                <c:pt idx="17">
                  <c:v>1.9615384615384619</c:v>
                </c:pt>
                <c:pt idx="18">
                  <c:v>2.0769230769230771</c:v>
                </c:pt>
                <c:pt idx="19">
                  <c:v>2.1923076923076925</c:v>
                </c:pt>
                <c:pt idx="20">
                  <c:v>2.3076923076923079</c:v>
                </c:pt>
                <c:pt idx="21">
                  <c:v>2.4230769230769234</c:v>
                </c:pt>
                <c:pt idx="22">
                  <c:v>2.5384615384615388</c:v>
                </c:pt>
                <c:pt idx="23">
                  <c:v>2.6538461538461542</c:v>
                </c:pt>
                <c:pt idx="24">
                  <c:v>2.7692307692307696</c:v>
                </c:pt>
                <c:pt idx="25">
                  <c:v>2.884615384615385</c:v>
                </c:pt>
                <c:pt idx="26">
                  <c:v>3</c:v>
                </c:pt>
              </c:numCache>
            </c:numRef>
          </c:xVal>
          <c:yVal>
            <c:numRef>
              <c:f>'plot-data'!$K$2:$K$28</c:f>
              <c:numCache>
                <c:formatCode>General</c:formatCode>
                <c:ptCount val="27"/>
                <c:pt idx="0">
                  <c:v>0</c:v>
                </c:pt>
                <c:pt idx="1">
                  <c:v>0.91434817155223969</c:v>
                </c:pt>
                <c:pt idx="2">
                  <c:v>1.9862143711176059</c:v>
                </c:pt>
                <c:pt idx="3">
                  <c:v>2.4010125830000377</c:v>
                </c:pt>
                <c:pt idx="4">
                  <c:v>2.1452182935772113</c:v>
                </c:pt>
                <c:pt idx="5">
                  <c:v>1.7960800858567127</c:v>
                </c:pt>
                <c:pt idx="6">
                  <c:v>1.8942589465451505</c:v>
                </c:pt>
                <c:pt idx="7">
                  <c:v>2.6448619011718737</c:v>
                </c:pt>
                <c:pt idx="8">
                  <c:v>3.892856093454629</c:v>
                </c:pt>
                <c:pt idx="9">
                  <c:v>5.2677431615797587</c:v>
                </c:pt>
                <c:pt idx="10">
                  <c:v>6.3854849507327263</c:v>
                </c:pt>
                <c:pt idx="11">
                  <c:v>7.0170270177836809</c:v>
                </c:pt>
                <c:pt idx="12">
                  <c:v>7.1688676246685077</c:v>
                </c:pt>
                <c:pt idx="13">
                  <c:v>7.0609433903942964</c:v>
                </c:pt>
                <c:pt idx="14">
                  <c:v>7.0220997007716512</c:v>
                </c:pt>
                <c:pt idx="15">
                  <c:v>7.3475103975608675</c:v>
                </c:pt>
                <c:pt idx="16">
                  <c:v>8.1720080366157291</c:v>
                </c:pt>
                <c:pt idx="17">
                  <c:v>9.4072587846855278</c:v>
                </c:pt>
                <c:pt idx="18">
                  <c:v>10.770415296614743</c:v>
                </c:pt>
                <c:pt idx="19">
                  <c:v>11.901131976282979</c:v>
                </c:pt>
                <c:pt idx="20">
                  <c:v>12.528929982865765</c:v>
                </c:pt>
                <c:pt idx="21">
                  <c:v>12.622629125595395</c:v>
                </c:pt>
                <c:pt idx="22">
                  <c:v>12.4391701322735</c:v>
                </c:pt>
                <c:pt idx="23">
                  <c:v>12.404358232695021</c:v>
                </c:pt>
                <c:pt idx="24">
                  <c:v>12.819066942903987</c:v>
                </c:pt>
                <c:pt idx="25">
                  <c:v>13.509923521932816</c:v>
                </c:pt>
                <c:pt idx="26">
                  <c:v>13.754603865415781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2-49F5-AF8A-D7ADADED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07136"/>
        <c:axId val="259503296"/>
      </c:scatterChart>
      <c:valAx>
        <c:axId val="25950713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equivalent</a:t>
                </a:r>
                <a:r>
                  <a:rPr lang="en-GB" baseline="0"/>
                  <a:t> OH-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03296"/>
        <c:crosses val="autoZero"/>
        <c:crossBetween val="midCat"/>
      </c:valAx>
      <c:valAx>
        <c:axId val="259503296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0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raw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'plot-data'!$A$2:$A$53</c:f>
              <c:numCache>
                <c:formatCode>General</c:formatCode>
                <c:ptCount val="52"/>
                <c:pt idx="0">
                  <c:v>5.76368876080691E-3</c:v>
                </c:pt>
                <c:pt idx="1">
                  <c:v>1.44092219020172E-2</c:v>
                </c:pt>
                <c:pt idx="2">
                  <c:v>2.8818443804034501E-2</c:v>
                </c:pt>
                <c:pt idx="3">
                  <c:v>0.103746397694524</c:v>
                </c:pt>
                <c:pt idx="4">
                  <c:v>0.17867435158501399</c:v>
                </c:pt>
                <c:pt idx="5">
                  <c:v>0.28242074927953797</c:v>
                </c:pt>
                <c:pt idx="6">
                  <c:v>0.43227665706051799</c:v>
                </c:pt>
                <c:pt idx="7">
                  <c:v>0.55907780979827004</c:v>
                </c:pt>
                <c:pt idx="8">
                  <c:v>0.68587896253602298</c:v>
                </c:pt>
                <c:pt idx="9">
                  <c:v>0.79538904899135399</c:v>
                </c:pt>
                <c:pt idx="10">
                  <c:v>0.87319884726224695</c:v>
                </c:pt>
                <c:pt idx="11">
                  <c:v>0.92219020172910604</c:v>
                </c:pt>
                <c:pt idx="12">
                  <c:v>0.95389048991354397</c:v>
                </c:pt>
                <c:pt idx="13">
                  <c:v>0.96829971181556096</c:v>
                </c:pt>
                <c:pt idx="14">
                  <c:v>0.97694524495677204</c:v>
                </c:pt>
                <c:pt idx="15">
                  <c:v>0.98559077809798201</c:v>
                </c:pt>
                <c:pt idx="16">
                  <c:v>0.99711815561959605</c:v>
                </c:pt>
                <c:pt idx="17">
                  <c:v>1.0028818443804</c:v>
                </c:pt>
                <c:pt idx="18">
                  <c:v>1.0086455331412101</c:v>
                </c:pt>
                <c:pt idx="19">
                  <c:v>1.02593659942363</c:v>
                </c:pt>
                <c:pt idx="20">
                  <c:v>1.05475504322766</c:v>
                </c:pt>
                <c:pt idx="21">
                  <c:v>1.09798270893371</c:v>
                </c:pt>
                <c:pt idx="22">
                  <c:v>1.1613832853025901</c:v>
                </c:pt>
                <c:pt idx="23">
                  <c:v>1.2536023054754999</c:v>
                </c:pt>
                <c:pt idx="24">
                  <c:v>1.3804034582132501</c:v>
                </c:pt>
                <c:pt idx="25">
                  <c:v>1.49279538904899</c:v>
                </c:pt>
                <c:pt idx="26">
                  <c:v>1.65994236311239</c:v>
                </c:pt>
                <c:pt idx="27">
                  <c:v>1.7752161383285301</c:v>
                </c:pt>
                <c:pt idx="28">
                  <c:v>1.8587896253602301</c:v>
                </c:pt>
                <c:pt idx="29">
                  <c:v>1.9193083573487</c:v>
                </c:pt>
                <c:pt idx="30">
                  <c:v>1.94812680115273</c:v>
                </c:pt>
                <c:pt idx="31">
                  <c:v>1.97118155619596</c:v>
                </c:pt>
                <c:pt idx="32">
                  <c:v>1.9798270893371701</c:v>
                </c:pt>
                <c:pt idx="33">
                  <c:v>1.98847262247838</c:v>
                </c:pt>
                <c:pt idx="34">
                  <c:v>1.9942363112391901</c:v>
                </c:pt>
                <c:pt idx="35">
                  <c:v>1.99999999999999</c:v>
                </c:pt>
                <c:pt idx="36">
                  <c:v>2.0028818443804002</c:v>
                </c:pt>
                <c:pt idx="37">
                  <c:v>2.0086455331412099</c:v>
                </c:pt>
                <c:pt idx="38">
                  <c:v>2.0201729106628199</c:v>
                </c:pt>
                <c:pt idx="39">
                  <c:v>2.0374639769452401</c:v>
                </c:pt>
                <c:pt idx="40">
                  <c:v>2.05763688760806</c:v>
                </c:pt>
                <c:pt idx="41">
                  <c:v>2.1066282420749198</c:v>
                </c:pt>
                <c:pt idx="42">
                  <c:v>2.1757925072046098</c:v>
                </c:pt>
                <c:pt idx="43">
                  <c:v>2.2766570605187302</c:v>
                </c:pt>
                <c:pt idx="44">
                  <c:v>2.4149855907780902</c:v>
                </c:pt>
                <c:pt idx="45">
                  <c:v>2.46397694524495</c:v>
                </c:pt>
                <c:pt idx="46">
                  <c:v>2.5504322766570602</c:v>
                </c:pt>
                <c:pt idx="47">
                  <c:v>2.6887608069164202</c:v>
                </c:pt>
                <c:pt idx="48">
                  <c:v>2.7953890489913502</c:v>
                </c:pt>
                <c:pt idx="49">
                  <c:v>2.8703170028818401</c:v>
                </c:pt>
                <c:pt idx="50">
                  <c:v>2.9250720461095101</c:v>
                </c:pt>
                <c:pt idx="51">
                  <c:v>2.9740634005763602</c:v>
                </c:pt>
              </c:numCache>
            </c:numRef>
          </c:xVal>
          <c:yVal>
            <c:numRef>
              <c:f>'plot-data'!$B$2:$B$53</c:f>
              <c:numCache>
                <c:formatCode>General</c:formatCode>
                <c:ptCount val="52"/>
                <c:pt idx="0">
                  <c:v>0.29166666666666602</c:v>
                </c:pt>
                <c:pt idx="1">
                  <c:v>0.52083333333333304</c:v>
                </c:pt>
                <c:pt idx="2">
                  <c:v>0.75</c:v>
                </c:pt>
                <c:pt idx="3">
                  <c:v>1.2708333333333299</c:v>
                </c:pt>
                <c:pt idx="4">
                  <c:v>1.5</c:v>
                </c:pt>
                <c:pt idx="5">
                  <c:v>1.75</c:v>
                </c:pt>
                <c:pt idx="6">
                  <c:v>2.0625</c:v>
                </c:pt>
                <c:pt idx="7">
                  <c:v>2.2291666666666599</c:v>
                </c:pt>
                <c:pt idx="8">
                  <c:v>2.5</c:v>
                </c:pt>
                <c:pt idx="9">
                  <c:v>2.7708333333333299</c:v>
                </c:pt>
                <c:pt idx="10">
                  <c:v>3.0208333333333299</c:v>
                </c:pt>
                <c:pt idx="11">
                  <c:v>3.25</c:v>
                </c:pt>
                <c:pt idx="12">
                  <c:v>3.5208333333333299</c:v>
                </c:pt>
                <c:pt idx="13">
                  <c:v>3.7916666666666599</c:v>
                </c:pt>
                <c:pt idx="14">
                  <c:v>4.0208333333333304</c:v>
                </c:pt>
                <c:pt idx="15">
                  <c:v>4.2708333333333304</c:v>
                </c:pt>
                <c:pt idx="16">
                  <c:v>4.75</c:v>
                </c:pt>
                <c:pt idx="17">
                  <c:v>5.25</c:v>
                </c:pt>
                <c:pt idx="18">
                  <c:v>5.5208333333333304</c:v>
                </c:pt>
                <c:pt idx="19">
                  <c:v>5.75</c:v>
                </c:pt>
                <c:pt idx="20">
                  <c:v>6.0208333333333304</c:v>
                </c:pt>
                <c:pt idx="21">
                  <c:v>6.2708333333333304</c:v>
                </c:pt>
                <c:pt idx="22">
                  <c:v>6.5416666666666599</c:v>
                </c:pt>
                <c:pt idx="23">
                  <c:v>6.75</c:v>
                </c:pt>
                <c:pt idx="24">
                  <c:v>7.0208333333333304</c:v>
                </c:pt>
                <c:pt idx="25">
                  <c:v>7.1875</c:v>
                </c:pt>
                <c:pt idx="26">
                  <c:v>7.4791666666666599</c:v>
                </c:pt>
                <c:pt idx="27">
                  <c:v>7.7708333333333304</c:v>
                </c:pt>
                <c:pt idx="28">
                  <c:v>8.0208333333333304</c:v>
                </c:pt>
                <c:pt idx="29">
                  <c:v>8.2916666666666607</c:v>
                </c:pt>
                <c:pt idx="30">
                  <c:v>8.5</c:v>
                </c:pt>
                <c:pt idx="31">
                  <c:v>8.7708333333333304</c:v>
                </c:pt>
                <c:pt idx="32">
                  <c:v>9.0625</c:v>
                </c:pt>
                <c:pt idx="33">
                  <c:v>9.25</c:v>
                </c:pt>
                <c:pt idx="34">
                  <c:v>9.5416666666666607</c:v>
                </c:pt>
                <c:pt idx="35">
                  <c:v>9.9583333333333304</c:v>
                </c:pt>
                <c:pt idx="36">
                  <c:v>10.3125</c:v>
                </c:pt>
                <c:pt idx="37">
                  <c:v>10.5416666666666</c:v>
                </c:pt>
                <c:pt idx="38">
                  <c:v>10.8125</c:v>
                </c:pt>
                <c:pt idx="39">
                  <c:v>11.0208333333333</c:v>
                </c:pt>
                <c:pt idx="40">
                  <c:v>11.2916666666666</c:v>
                </c:pt>
                <c:pt idx="41">
                  <c:v>11.5416666666666</c:v>
                </c:pt>
                <c:pt idx="42">
                  <c:v>11.8125</c:v>
                </c:pt>
                <c:pt idx="43">
                  <c:v>12.0416666666666</c:v>
                </c:pt>
                <c:pt idx="44">
                  <c:v>12.2916666666666</c:v>
                </c:pt>
                <c:pt idx="45">
                  <c:v>12.375</c:v>
                </c:pt>
                <c:pt idx="46">
                  <c:v>12.5625</c:v>
                </c:pt>
                <c:pt idx="47">
                  <c:v>12.75</c:v>
                </c:pt>
                <c:pt idx="48">
                  <c:v>13.0208333333333</c:v>
                </c:pt>
                <c:pt idx="49">
                  <c:v>13.2916666666666</c:v>
                </c:pt>
                <c:pt idx="50">
                  <c:v>13.5625</c:v>
                </c:pt>
                <c:pt idx="51">
                  <c:v>13.8958333333333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A-4D9C-BB2E-A2D0DC378B1A}"/>
            </c:ext>
          </c:extLst>
        </c:ser>
        <c:ser>
          <c:idx val="1"/>
          <c:order val="1"/>
          <c:tx>
            <c:strRef>
              <c:f>'plot-data'!$F$1</c:f>
              <c:strCache>
                <c:ptCount val="1"/>
                <c:pt idx="0">
                  <c:v>sigmoidal 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'plot-data'!$F$2:$F$30</c:f>
              <c:numCache>
                <c:formatCode>General</c:formatCode>
                <c:ptCount val="29"/>
                <c:pt idx="0">
                  <c:v>6.4845365524424563E-3</c:v>
                </c:pt>
                <c:pt idx="1">
                  <c:v>2.0869442011863283E-2</c:v>
                </c:pt>
                <c:pt idx="2">
                  <c:v>6.5048001667529456E-2</c:v>
                </c:pt>
                <c:pt idx="3">
                  <c:v>0.18485444040396709</c:v>
                </c:pt>
                <c:pt idx="4">
                  <c:v>0.42387344881036404</c:v>
                </c:pt>
                <c:pt idx="5">
                  <c:v>0.70163169473607656</c:v>
                </c:pt>
                <c:pt idx="6">
                  <c:v>0.87775337285663513</c:v>
                </c:pt>
                <c:pt idx="7">
                  <c:v>0.95093946772224947</c:v>
                </c:pt>
                <c:pt idx="8">
                  <c:v>0.97622833915097851</c:v>
                </c:pt>
                <c:pt idx="9">
                  <c:v>0.98545285640842406</c:v>
                </c:pt>
                <c:pt idx="10">
                  <c:v>0.9921304780028164</c:v>
                </c:pt>
                <c:pt idx="11">
                  <c:v>1.0060356500407437</c:v>
                </c:pt>
                <c:pt idx="12">
                  <c:v>1.0456155524445843</c:v>
                </c:pt>
                <c:pt idx="13">
                  <c:v>1.1516221087409779</c:v>
                </c:pt>
                <c:pt idx="14">
                  <c:v>1.3712352720921741</c:v>
                </c:pt>
                <c:pt idx="15">
                  <c:v>1.6523505982279945</c:v>
                </c:pt>
                <c:pt idx="16">
                  <c:v>1.8530918552835938</c:v>
                </c:pt>
                <c:pt idx="17">
                  <c:v>1.9446519535114015</c:v>
                </c:pt>
                <c:pt idx="18">
                  <c:v>1.9779454030159984</c:v>
                </c:pt>
                <c:pt idx="19">
                  <c:v>1.9893864900015983</c:v>
                </c:pt>
                <c:pt idx="20">
                  <c:v>1.9945575263542228</c:v>
                </c:pt>
                <c:pt idx="21">
                  <c:v>2.0016369603161634</c:v>
                </c:pt>
                <c:pt idx="22">
                  <c:v>2.023196098879128</c:v>
                </c:pt>
                <c:pt idx="23">
                  <c:v>2.0934222889180094</c:v>
                </c:pt>
                <c:pt idx="24">
                  <c:v>2.2783846665528529</c:v>
                </c:pt>
                <c:pt idx="25">
                  <c:v>2.5705823032461086</c:v>
                </c:pt>
                <c:pt idx="26">
                  <c:v>2.7949603093215307</c:v>
                </c:pt>
                <c:pt idx="27">
                  <c:v>2.8900449915490438</c:v>
                </c:pt>
                <c:pt idx="28">
                  <c:v>2.9200225923706289</c:v>
                </c:pt>
              </c:numCache>
            </c:numRef>
          </c:xVal>
          <c:yVal>
            <c:numRef>
              <c:f>'plot-data'!$D$2:$D$30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A-4D9C-BB2E-A2D0DC378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588271"/>
        <c:axId val="147323344"/>
      </c:scatterChart>
      <c:valAx>
        <c:axId val="2146588271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3344"/>
        <c:crosses val="autoZero"/>
        <c:crossBetween val="midCat"/>
      </c:valAx>
      <c:valAx>
        <c:axId val="147323344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8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Raw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'plot-data'!$A$2:$A$53</c:f>
              <c:numCache>
                <c:formatCode>General</c:formatCode>
                <c:ptCount val="52"/>
                <c:pt idx="0">
                  <c:v>5.76368876080691E-3</c:v>
                </c:pt>
                <c:pt idx="1">
                  <c:v>1.44092219020172E-2</c:v>
                </c:pt>
                <c:pt idx="2">
                  <c:v>2.8818443804034501E-2</c:v>
                </c:pt>
                <c:pt idx="3">
                  <c:v>0.103746397694524</c:v>
                </c:pt>
                <c:pt idx="4">
                  <c:v>0.17867435158501399</c:v>
                </c:pt>
                <c:pt idx="5">
                  <c:v>0.28242074927953797</c:v>
                </c:pt>
                <c:pt idx="6">
                  <c:v>0.43227665706051799</c:v>
                </c:pt>
                <c:pt idx="7">
                  <c:v>0.55907780979827004</c:v>
                </c:pt>
                <c:pt idx="8">
                  <c:v>0.68587896253602298</c:v>
                </c:pt>
                <c:pt idx="9">
                  <c:v>0.79538904899135399</c:v>
                </c:pt>
                <c:pt idx="10">
                  <c:v>0.87319884726224695</c:v>
                </c:pt>
                <c:pt idx="11">
                  <c:v>0.92219020172910604</c:v>
                </c:pt>
                <c:pt idx="12">
                  <c:v>0.95389048991354397</c:v>
                </c:pt>
                <c:pt idx="13">
                  <c:v>0.96829971181556096</c:v>
                </c:pt>
                <c:pt idx="14">
                  <c:v>0.97694524495677204</c:v>
                </c:pt>
                <c:pt idx="15">
                  <c:v>0.98559077809798201</c:v>
                </c:pt>
                <c:pt idx="16">
                  <c:v>0.99711815561959605</c:v>
                </c:pt>
                <c:pt idx="17">
                  <c:v>1.0028818443804</c:v>
                </c:pt>
                <c:pt idx="18">
                  <c:v>1.0086455331412101</c:v>
                </c:pt>
                <c:pt idx="19">
                  <c:v>1.02593659942363</c:v>
                </c:pt>
                <c:pt idx="20">
                  <c:v>1.05475504322766</c:v>
                </c:pt>
                <c:pt idx="21">
                  <c:v>1.09798270893371</c:v>
                </c:pt>
                <c:pt idx="22">
                  <c:v>1.1613832853025901</c:v>
                </c:pt>
                <c:pt idx="23">
                  <c:v>1.2536023054754999</c:v>
                </c:pt>
                <c:pt idx="24">
                  <c:v>1.3804034582132501</c:v>
                </c:pt>
                <c:pt idx="25">
                  <c:v>1.49279538904899</c:v>
                </c:pt>
                <c:pt idx="26">
                  <c:v>1.65994236311239</c:v>
                </c:pt>
                <c:pt idx="27">
                  <c:v>1.7752161383285301</c:v>
                </c:pt>
                <c:pt idx="28">
                  <c:v>1.8587896253602301</c:v>
                </c:pt>
                <c:pt idx="29">
                  <c:v>1.9193083573487</c:v>
                </c:pt>
                <c:pt idx="30">
                  <c:v>1.94812680115273</c:v>
                </c:pt>
                <c:pt idx="31">
                  <c:v>1.97118155619596</c:v>
                </c:pt>
                <c:pt idx="32">
                  <c:v>1.9798270893371701</c:v>
                </c:pt>
                <c:pt idx="33">
                  <c:v>1.98847262247838</c:v>
                </c:pt>
                <c:pt idx="34">
                  <c:v>1.9942363112391901</c:v>
                </c:pt>
                <c:pt idx="35">
                  <c:v>1.99999999999999</c:v>
                </c:pt>
                <c:pt idx="36">
                  <c:v>2.0028818443804002</c:v>
                </c:pt>
                <c:pt idx="37">
                  <c:v>2.0086455331412099</c:v>
                </c:pt>
                <c:pt idx="38">
                  <c:v>2.0201729106628199</c:v>
                </c:pt>
                <c:pt idx="39">
                  <c:v>2.0374639769452401</c:v>
                </c:pt>
                <c:pt idx="40">
                  <c:v>2.05763688760806</c:v>
                </c:pt>
                <c:pt idx="41">
                  <c:v>2.1066282420749198</c:v>
                </c:pt>
                <c:pt idx="42">
                  <c:v>2.1757925072046098</c:v>
                </c:pt>
                <c:pt idx="43">
                  <c:v>2.2766570605187302</c:v>
                </c:pt>
                <c:pt idx="44">
                  <c:v>2.4149855907780902</c:v>
                </c:pt>
                <c:pt idx="45">
                  <c:v>2.46397694524495</c:v>
                </c:pt>
                <c:pt idx="46">
                  <c:v>2.5504322766570602</c:v>
                </c:pt>
                <c:pt idx="47">
                  <c:v>2.6887608069164202</c:v>
                </c:pt>
                <c:pt idx="48">
                  <c:v>2.7953890489913502</c:v>
                </c:pt>
                <c:pt idx="49">
                  <c:v>2.8703170028818401</c:v>
                </c:pt>
                <c:pt idx="50">
                  <c:v>2.9250720461095101</c:v>
                </c:pt>
                <c:pt idx="51">
                  <c:v>2.9740634005763602</c:v>
                </c:pt>
              </c:numCache>
            </c:numRef>
          </c:xVal>
          <c:yVal>
            <c:numRef>
              <c:f>'plot-data'!$B$2:$B$53</c:f>
              <c:numCache>
                <c:formatCode>General</c:formatCode>
                <c:ptCount val="52"/>
                <c:pt idx="0">
                  <c:v>0.29166666666666602</c:v>
                </c:pt>
                <c:pt idx="1">
                  <c:v>0.52083333333333304</c:v>
                </c:pt>
                <c:pt idx="2">
                  <c:v>0.75</c:v>
                </c:pt>
                <c:pt idx="3">
                  <c:v>1.2708333333333299</c:v>
                </c:pt>
                <c:pt idx="4">
                  <c:v>1.5</c:v>
                </c:pt>
                <c:pt idx="5">
                  <c:v>1.75</c:v>
                </c:pt>
                <c:pt idx="6">
                  <c:v>2.0625</c:v>
                </c:pt>
                <c:pt idx="7">
                  <c:v>2.2291666666666599</c:v>
                </c:pt>
                <c:pt idx="8">
                  <c:v>2.5</c:v>
                </c:pt>
                <c:pt idx="9">
                  <c:v>2.7708333333333299</c:v>
                </c:pt>
                <c:pt idx="10">
                  <c:v>3.0208333333333299</c:v>
                </c:pt>
                <c:pt idx="11">
                  <c:v>3.25</c:v>
                </c:pt>
                <c:pt idx="12">
                  <c:v>3.5208333333333299</c:v>
                </c:pt>
                <c:pt idx="13">
                  <c:v>3.7916666666666599</c:v>
                </c:pt>
                <c:pt idx="14">
                  <c:v>4.0208333333333304</c:v>
                </c:pt>
                <c:pt idx="15">
                  <c:v>4.2708333333333304</c:v>
                </c:pt>
                <c:pt idx="16">
                  <c:v>4.75</c:v>
                </c:pt>
                <c:pt idx="17">
                  <c:v>5.25</c:v>
                </c:pt>
                <c:pt idx="18">
                  <c:v>5.5208333333333304</c:v>
                </c:pt>
                <c:pt idx="19">
                  <c:v>5.75</c:v>
                </c:pt>
                <c:pt idx="20">
                  <c:v>6.0208333333333304</c:v>
                </c:pt>
                <c:pt idx="21">
                  <c:v>6.2708333333333304</c:v>
                </c:pt>
                <c:pt idx="22">
                  <c:v>6.5416666666666599</c:v>
                </c:pt>
                <c:pt idx="23">
                  <c:v>6.75</c:v>
                </c:pt>
                <c:pt idx="24">
                  <c:v>7.0208333333333304</c:v>
                </c:pt>
                <c:pt idx="25">
                  <c:v>7.1875</c:v>
                </c:pt>
                <c:pt idx="26">
                  <c:v>7.4791666666666599</c:v>
                </c:pt>
                <c:pt idx="27">
                  <c:v>7.7708333333333304</c:v>
                </c:pt>
                <c:pt idx="28">
                  <c:v>8.0208333333333304</c:v>
                </c:pt>
                <c:pt idx="29">
                  <c:v>8.2916666666666607</c:v>
                </c:pt>
                <c:pt idx="30">
                  <c:v>8.5</c:v>
                </c:pt>
                <c:pt idx="31">
                  <c:v>8.7708333333333304</c:v>
                </c:pt>
                <c:pt idx="32">
                  <c:v>9.0625</c:v>
                </c:pt>
                <c:pt idx="33">
                  <c:v>9.25</c:v>
                </c:pt>
                <c:pt idx="34">
                  <c:v>9.5416666666666607</c:v>
                </c:pt>
                <c:pt idx="35">
                  <c:v>9.9583333333333304</c:v>
                </c:pt>
                <c:pt idx="36">
                  <c:v>10.3125</c:v>
                </c:pt>
                <c:pt idx="37">
                  <c:v>10.5416666666666</c:v>
                </c:pt>
                <c:pt idx="38">
                  <c:v>10.8125</c:v>
                </c:pt>
                <c:pt idx="39">
                  <c:v>11.0208333333333</c:v>
                </c:pt>
                <c:pt idx="40">
                  <c:v>11.2916666666666</c:v>
                </c:pt>
                <c:pt idx="41">
                  <c:v>11.5416666666666</c:v>
                </c:pt>
                <c:pt idx="42">
                  <c:v>11.8125</c:v>
                </c:pt>
                <c:pt idx="43">
                  <c:v>12.0416666666666</c:v>
                </c:pt>
                <c:pt idx="44">
                  <c:v>12.2916666666666</c:v>
                </c:pt>
                <c:pt idx="45">
                  <c:v>12.375</c:v>
                </c:pt>
                <c:pt idx="46">
                  <c:v>12.5625</c:v>
                </c:pt>
                <c:pt idx="47">
                  <c:v>12.75</c:v>
                </c:pt>
                <c:pt idx="48">
                  <c:v>13.0208333333333</c:v>
                </c:pt>
                <c:pt idx="49">
                  <c:v>13.2916666666666</c:v>
                </c:pt>
                <c:pt idx="50">
                  <c:v>13.5625</c:v>
                </c:pt>
                <c:pt idx="51">
                  <c:v>13.8958333333333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F1-4C39-82B8-3543BF537224}"/>
            </c:ext>
          </c:extLst>
        </c:ser>
        <c:ser>
          <c:idx val="1"/>
          <c:order val="1"/>
          <c:tx>
            <c:v>ph is x regression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'plot-data'!$E$2:$E$30</c:f>
              <c:numCache>
                <c:formatCode>General</c:formatCode>
                <c:ptCount val="29"/>
                <c:pt idx="0">
                  <c:v>0</c:v>
                </c:pt>
                <c:pt idx="1">
                  <c:v>1.8518041904911187E-2</c:v>
                </c:pt>
                <c:pt idx="2">
                  <c:v>4.4932396896920967E-2</c:v>
                </c:pt>
                <c:pt idx="3">
                  <c:v>0.18210369417200223</c:v>
                </c:pt>
                <c:pt idx="4">
                  <c:v>0.41700577883367873</c:v>
                </c:pt>
                <c:pt idx="5">
                  <c:v>0.668405872452281</c:v>
                </c:pt>
                <c:pt idx="6">
                  <c:v>0.86401362724456821</c:v>
                </c:pt>
                <c:pt idx="7">
                  <c:v>0.97063975509331479</c:v>
                </c:pt>
                <c:pt idx="8">
                  <c:v>0.9959538699008994</c:v>
                </c:pt>
                <c:pt idx="9">
                  <c:v>0.97564320310469954</c:v>
                </c:pt>
                <c:pt idx="10">
                  <c:v>0.95570965954280496</c:v>
                </c:pt>
                <c:pt idx="11">
                  <c:v>0.97625594247837721</c:v>
                </c:pt>
                <c:pt idx="12">
                  <c:v>1.0603558606999837</c:v>
                </c:pt>
                <c:pt idx="13">
                  <c:v>1.2094331054471761</c:v>
                </c:pt>
                <c:pt idx="14">
                  <c:v>1.4049404186983141</c:v>
                </c:pt>
                <c:pt idx="15">
                  <c:v>1.6149908353187712</c:v>
                </c:pt>
                <c:pt idx="16">
                  <c:v>1.8038982379742405</c:v>
                </c:pt>
                <c:pt idx="17">
                  <c:v>1.9422894837201721</c:v>
                </c:pt>
                <c:pt idx="18">
                  <c:v>2.0155085131344288</c:v>
                </c:pt>
                <c:pt idx="19">
                  <c:v>2.0283978048445777</c:v>
                </c:pt>
                <c:pt idx="20">
                  <c:v>2.0051679587043338</c:v>
                </c:pt>
                <c:pt idx="21">
                  <c:v>1.9839057478143713</c:v>
                </c:pt>
                <c:pt idx="22">
                  <c:v>2.0062783413408933</c:v>
                </c:pt>
                <c:pt idx="23">
                  <c:v>2.1041202348128829</c:v>
                </c:pt>
                <c:pt idx="24">
                  <c:v>2.2857934008245415</c:v>
                </c:pt>
                <c:pt idx="25">
                  <c:v>2.5264439583393923</c:v>
                </c:pt>
                <c:pt idx="26">
                  <c:v>2.7674939224133102</c:v>
                </c:pt>
                <c:pt idx="27">
                  <c:v>2.9318580052304082</c:v>
                </c:pt>
                <c:pt idx="28">
                  <c:v>2.9624166626168122</c:v>
                </c:pt>
              </c:numCache>
            </c:numRef>
          </c:xVal>
          <c:yVal>
            <c:numRef>
              <c:f>'plot-data'!$D$2:$D$30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F1-4C39-82B8-3543BF537224}"/>
            </c:ext>
          </c:extLst>
        </c:ser>
        <c:ser>
          <c:idx val="2"/>
          <c:order val="2"/>
          <c:tx>
            <c:v>OH is x regression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'plot-data'!$J$2:$J$28</c:f>
              <c:numCache>
                <c:formatCode>General</c:formatCode>
                <c:ptCount val="27"/>
                <c:pt idx="0">
                  <c:v>0</c:v>
                </c:pt>
                <c:pt idx="1">
                  <c:v>0.11538461538461539</c:v>
                </c:pt>
                <c:pt idx="2">
                  <c:v>0.23076923076923078</c:v>
                </c:pt>
                <c:pt idx="3">
                  <c:v>0.34615384615384615</c:v>
                </c:pt>
                <c:pt idx="4">
                  <c:v>0.46153846153846156</c:v>
                </c:pt>
                <c:pt idx="5">
                  <c:v>0.57692307692307698</c:v>
                </c:pt>
                <c:pt idx="6">
                  <c:v>0.6923076923076924</c:v>
                </c:pt>
                <c:pt idx="7">
                  <c:v>0.80769230769230782</c:v>
                </c:pt>
                <c:pt idx="8">
                  <c:v>0.92307692307692324</c:v>
                </c:pt>
                <c:pt idx="9">
                  <c:v>1.0384615384615385</c:v>
                </c:pt>
                <c:pt idx="10">
                  <c:v>1.153846153846154</c:v>
                </c:pt>
                <c:pt idx="11">
                  <c:v>1.2692307692307694</c:v>
                </c:pt>
                <c:pt idx="12">
                  <c:v>1.3846153846153848</c:v>
                </c:pt>
                <c:pt idx="13">
                  <c:v>1.5000000000000002</c:v>
                </c:pt>
                <c:pt idx="14">
                  <c:v>1.6153846153846156</c:v>
                </c:pt>
                <c:pt idx="15">
                  <c:v>1.7307692307692311</c:v>
                </c:pt>
                <c:pt idx="16">
                  <c:v>1.8461538461538465</c:v>
                </c:pt>
                <c:pt idx="17">
                  <c:v>1.9615384615384619</c:v>
                </c:pt>
                <c:pt idx="18">
                  <c:v>2.0769230769230771</c:v>
                </c:pt>
                <c:pt idx="19">
                  <c:v>2.1923076923076925</c:v>
                </c:pt>
                <c:pt idx="20">
                  <c:v>2.3076923076923079</c:v>
                </c:pt>
                <c:pt idx="21">
                  <c:v>2.4230769230769234</c:v>
                </c:pt>
                <c:pt idx="22">
                  <c:v>2.5384615384615388</c:v>
                </c:pt>
                <c:pt idx="23">
                  <c:v>2.6538461538461542</c:v>
                </c:pt>
                <c:pt idx="24">
                  <c:v>2.7692307692307696</c:v>
                </c:pt>
                <c:pt idx="25">
                  <c:v>2.884615384615385</c:v>
                </c:pt>
                <c:pt idx="26">
                  <c:v>3</c:v>
                </c:pt>
              </c:numCache>
            </c:numRef>
          </c:xVal>
          <c:yVal>
            <c:numRef>
              <c:f>'plot-data'!$K$2:$K$28</c:f>
              <c:numCache>
                <c:formatCode>General</c:formatCode>
                <c:ptCount val="27"/>
                <c:pt idx="0">
                  <c:v>0</c:v>
                </c:pt>
                <c:pt idx="1">
                  <c:v>0.91434817155223969</c:v>
                </c:pt>
                <c:pt idx="2">
                  <c:v>1.9862143711176059</c:v>
                </c:pt>
                <c:pt idx="3">
                  <c:v>2.4010125830000377</c:v>
                </c:pt>
                <c:pt idx="4">
                  <c:v>2.1452182935772113</c:v>
                </c:pt>
                <c:pt idx="5">
                  <c:v>1.7960800858567127</c:v>
                </c:pt>
                <c:pt idx="6">
                  <c:v>1.8942589465451505</c:v>
                </c:pt>
                <c:pt idx="7">
                  <c:v>2.6448619011718737</c:v>
                </c:pt>
                <c:pt idx="8">
                  <c:v>3.892856093454629</c:v>
                </c:pt>
                <c:pt idx="9">
                  <c:v>5.2677431615797587</c:v>
                </c:pt>
                <c:pt idx="10">
                  <c:v>6.3854849507327263</c:v>
                </c:pt>
                <c:pt idx="11">
                  <c:v>7.0170270177836809</c:v>
                </c:pt>
                <c:pt idx="12">
                  <c:v>7.1688676246685077</c:v>
                </c:pt>
                <c:pt idx="13">
                  <c:v>7.0609433903942964</c:v>
                </c:pt>
                <c:pt idx="14">
                  <c:v>7.0220997007716512</c:v>
                </c:pt>
                <c:pt idx="15">
                  <c:v>7.3475103975608675</c:v>
                </c:pt>
                <c:pt idx="16">
                  <c:v>8.1720080366157291</c:v>
                </c:pt>
                <c:pt idx="17">
                  <c:v>9.4072587846855278</c:v>
                </c:pt>
                <c:pt idx="18">
                  <c:v>10.770415296614743</c:v>
                </c:pt>
                <c:pt idx="19">
                  <c:v>11.901131976282979</c:v>
                </c:pt>
                <c:pt idx="20">
                  <c:v>12.528929982865765</c:v>
                </c:pt>
                <c:pt idx="21">
                  <c:v>12.622629125595395</c:v>
                </c:pt>
                <c:pt idx="22">
                  <c:v>12.4391701322735</c:v>
                </c:pt>
                <c:pt idx="23">
                  <c:v>12.404358232695021</c:v>
                </c:pt>
                <c:pt idx="24">
                  <c:v>12.819066942903987</c:v>
                </c:pt>
                <c:pt idx="25">
                  <c:v>13.509923521932816</c:v>
                </c:pt>
                <c:pt idx="26">
                  <c:v>13.754603865415781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F1-4C39-82B8-3543BF537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07136"/>
        <c:axId val="259503296"/>
      </c:scatterChart>
      <c:valAx>
        <c:axId val="25950713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equivalent</a:t>
                </a:r>
                <a:r>
                  <a:rPr lang="en-GB" baseline="0"/>
                  <a:t> OH-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03296"/>
        <c:crosses val="autoZero"/>
        <c:crossBetween val="midCat"/>
      </c:valAx>
      <c:valAx>
        <c:axId val="259503296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0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Raw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'plot-data'!$B$2:$B$53</c:f>
              <c:numCache>
                <c:formatCode>General</c:formatCode>
                <c:ptCount val="52"/>
                <c:pt idx="0">
                  <c:v>0.29166666666666602</c:v>
                </c:pt>
                <c:pt idx="1">
                  <c:v>0.52083333333333304</c:v>
                </c:pt>
                <c:pt idx="2">
                  <c:v>0.75</c:v>
                </c:pt>
                <c:pt idx="3">
                  <c:v>1.2708333333333299</c:v>
                </c:pt>
                <c:pt idx="4">
                  <c:v>1.5</c:v>
                </c:pt>
                <c:pt idx="5">
                  <c:v>1.75</c:v>
                </c:pt>
                <c:pt idx="6">
                  <c:v>2.0625</c:v>
                </c:pt>
                <c:pt idx="7">
                  <c:v>2.2291666666666599</c:v>
                </c:pt>
                <c:pt idx="8">
                  <c:v>2.5</c:v>
                </c:pt>
                <c:pt idx="9">
                  <c:v>2.7708333333333299</c:v>
                </c:pt>
                <c:pt idx="10">
                  <c:v>3.0208333333333299</c:v>
                </c:pt>
                <c:pt idx="11">
                  <c:v>3.25</c:v>
                </c:pt>
                <c:pt idx="12">
                  <c:v>3.5208333333333299</c:v>
                </c:pt>
                <c:pt idx="13">
                  <c:v>3.7916666666666599</c:v>
                </c:pt>
                <c:pt idx="14">
                  <c:v>4.0208333333333304</c:v>
                </c:pt>
                <c:pt idx="15">
                  <c:v>4.2708333333333304</c:v>
                </c:pt>
                <c:pt idx="16">
                  <c:v>4.75</c:v>
                </c:pt>
                <c:pt idx="17">
                  <c:v>5.25</c:v>
                </c:pt>
                <c:pt idx="18">
                  <c:v>5.5208333333333304</c:v>
                </c:pt>
                <c:pt idx="19">
                  <c:v>5.75</c:v>
                </c:pt>
                <c:pt idx="20">
                  <c:v>6.0208333333333304</c:v>
                </c:pt>
                <c:pt idx="21">
                  <c:v>6.2708333333333304</c:v>
                </c:pt>
                <c:pt idx="22">
                  <c:v>6.5416666666666599</c:v>
                </c:pt>
                <c:pt idx="23">
                  <c:v>6.75</c:v>
                </c:pt>
                <c:pt idx="24">
                  <c:v>7.0208333333333304</c:v>
                </c:pt>
                <c:pt idx="25">
                  <c:v>7.1875</c:v>
                </c:pt>
                <c:pt idx="26">
                  <c:v>7.4791666666666599</c:v>
                </c:pt>
                <c:pt idx="27">
                  <c:v>7.7708333333333304</c:v>
                </c:pt>
                <c:pt idx="28">
                  <c:v>8.0208333333333304</c:v>
                </c:pt>
                <c:pt idx="29">
                  <c:v>8.2916666666666607</c:v>
                </c:pt>
                <c:pt idx="30">
                  <c:v>8.5</c:v>
                </c:pt>
                <c:pt idx="31">
                  <c:v>8.7708333333333304</c:v>
                </c:pt>
                <c:pt idx="32">
                  <c:v>9.0625</c:v>
                </c:pt>
                <c:pt idx="33">
                  <c:v>9.25</c:v>
                </c:pt>
                <c:pt idx="34">
                  <c:v>9.5416666666666607</c:v>
                </c:pt>
                <c:pt idx="35">
                  <c:v>9.9583333333333304</c:v>
                </c:pt>
                <c:pt idx="36">
                  <c:v>10.3125</c:v>
                </c:pt>
                <c:pt idx="37">
                  <c:v>10.5416666666666</c:v>
                </c:pt>
                <c:pt idx="38">
                  <c:v>10.8125</c:v>
                </c:pt>
                <c:pt idx="39">
                  <c:v>11.0208333333333</c:v>
                </c:pt>
                <c:pt idx="40">
                  <c:v>11.2916666666666</c:v>
                </c:pt>
                <c:pt idx="41">
                  <c:v>11.5416666666666</c:v>
                </c:pt>
                <c:pt idx="42">
                  <c:v>11.8125</c:v>
                </c:pt>
                <c:pt idx="43">
                  <c:v>12.0416666666666</c:v>
                </c:pt>
                <c:pt idx="44">
                  <c:v>12.2916666666666</c:v>
                </c:pt>
                <c:pt idx="45">
                  <c:v>12.375</c:v>
                </c:pt>
                <c:pt idx="46">
                  <c:v>12.5625</c:v>
                </c:pt>
                <c:pt idx="47">
                  <c:v>12.75</c:v>
                </c:pt>
                <c:pt idx="48">
                  <c:v>13.0208333333333</c:v>
                </c:pt>
                <c:pt idx="49">
                  <c:v>13.2916666666666</c:v>
                </c:pt>
                <c:pt idx="50">
                  <c:v>13.5625</c:v>
                </c:pt>
                <c:pt idx="51">
                  <c:v>13.8958333333333</c:v>
                </c:pt>
              </c:numCache>
            </c:numRef>
          </c:xVal>
          <c:yVal>
            <c:numRef>
              <c:f>'plot-data'!$A$2:$A$53</c:f>
              <c:numCache>
                <c:formatCode>General</c:formatCode>
                <c:ptCount val="52"/>
                <c:pt idx="0">
                  <c:v>5.76368876080691E-3</c:v>
                </c:pt>
                <c:pt idx="1">
                  <c:v>1.44092219020172E-2</c:v>
                </c:pt>
                <c:pt idx="2">
                  <c:v>2.8818443804034501E-2</c:v>
                </c:pt>
                <c:pt idx="3">
                  <c:v>0.103746397694524</c:v>
                </c:pt>
                <c:pt idx="4">
                  <c:v>0.17867435158501399</c:v>
                </c:pt>
                <c:pt idx="5">
                  <c:v>0.28242074927953797</c:v>
                </c:pt>
                <c:pt idx="6">
                  <c:v>0.43227665706051799</c:v>
                </c:pt>
                <c:pt idx="7">
                  <c:v>0.55907780979827004</c:v>
                </c:pt>
                <c:pt idx="8">
                  <c:v>0.68587896253602298</c:v>
                </c:pt>
                <c:pt idx="9">
                  <c:v>0.79538904899135399</c:v>
                </c:pt>
                <c:pt idx="10">
                  <c:v>0.87319884726224695</c:v>
                </c:pt>
                <c:pt idx="11">
                  <c:v>0.92219020172910604</c:v>
                </c:pt>
                <c:pt idx="12">
                  <c:v>0.95389048991354397</c:v>
                </c:pt>
                <c:pt idx="13">
                  <c:v>0.96829971181556096</c:v>
                </c:pt>
                <c:pt idx="14">
                  <c:v>0.97694524495677204</c:v>
                </c:pt>
                <c:pt idx="15">
                  <c:v>0.98559077809798201</c:v>
                </c:pt>
                <c:pt idx="16">
                  <c:v>0.99711815561959605</c:v>
                </c:pt>
                <c:pt idx="17">
                  <c:v>1.0028818443804</c:v>
                </c:pt>
                <c:pt idx="18">
                  <c:v>1.0086455331412101</c:v>
                </c:pt>
                <c:pt idx="19">
                  <c:v>1.02593659942363</c:v>
                </c:pt>
                <c:pt idx="20">
                  <c:v>1.05475504322766</c:v>
                </c:pt>
                <c:pt idx="21">
                  <c:v>1.09798270893371</c:v>
                </c:pt>
                <c:pt idx="22">
                  <c:v>1.1613832853025901</c:v>
                </c:pt>
                <c:pt idx="23">
                  <c:v>1.2536023054754999</c:v>
                </c:pt>
                <c:pt idx="24">
                  <c:v>1.3804034582132501</c:v>
                </c:pt>
                <c:pt idx="25">
                  <c:v>1.49279538904899</c:v>
                </c:pt>
                <c:pt idx="26">
                  <c:v>1.65994236311239</c:v>
                </c:pt>
                <c:pt idx="27">
                  <c:v>1.7752161383285301</c:v>
                </c:pt>
                <c:pt idx="28">
                  <c:v>1.8587896253602301</c:v>
                </c:pt>
                <c:pt idx="29">
                  <c:v>1.9193083573487</c:v>
                </c:pt>
                <c:pt idx="30">
                  <c:v>1.94812680115273</c:v>
                </c:pt>
                <c:pt idx="31">
                  <c:v>1.97118155619596</c:v>
                </c:pt>
                <c:pt idx="32">
                  <c:v>1.9798270893371701</c:v>
                </c:pt>
                <c:pt idx="33">
                  <c:v>1.98847262247838</c:v>
                </c:pt>
                <c:pt idx="34">
                  <c:v>1.9942363112391901</c:v>
                </c:pt>
                <c:pt idx="35">
                  <c:v>1.99999999999999</c:v>
                </c:pt>
                <c:pt idx="36">
                  <c:v>2.0028818443804002</c:v>
                </c:pt>
                <c:pt idx="37">
                  <c:v>2.0086455331412099</c:v>
                </c:pt>
                <c:pt idx="38">
                  <c:v>2.0201729106628199</c:v>
                </c:pt>
                <c:pt idx="39">
                  <c:v>2.0374639769452401</c:v>
                </c:pt>
                <c:pt idx="40">
                  <c:v>2.05763688760806</c:v>
                </c:pt>
                <c:pt idx="41">
                  <c:v>2.1066282420749198</c:v>
                </c:pt>
                <c:pt idx="42">
                  <c:v>2.1757925072046098</c:v>
                </c:pt>
                <c:pt idx="43">
                  <c:v>2.2766570605187302</c:v>
                </c:pt>
                <c:pt idx="44">
                  <c:v>2.4149855907780902</c:v>
                </c:pt>
                <c:pt idx="45">
                  <c:v>2.46397694524495</c:v>
                </c:pt>
                <c:pt idx="46">
                  <c:v>2.5504322766570602</c:v>
                </c:pt>
                <c:pt idx="47">
                  <c:v>2.6887608069164202</c:v>
                </c:pt>
                <c:pt idx="48">
                  <c:v>2.7953890489913502</c:v>
                </c:pt>
                <c:pt idx="49">
                  <c:v>2.8703170028818401</c:v>
                </c:pt>
                <c:pt idx="50">
                  <c:v>2.9250720461095101</c:v>
                </c:pt>
                <c:pt idx="51">
                  <c:v>2.9740634005763602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0A-45FC-BF74-826E7E088F2E}"/>
            </c:ext>
          </c:extLst>
        </c:ser>
        <c:ser>
          <c:idx val="1"/>
          <c:order val="1"/>
          <c:tx>
            <c:v>OH is x regression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'plot-data'!$K$2:$K$28</c:f>
              <c:numCache>
                <c:formatCode>General</c:formatCode>
                <c:ptCount val="27"/>
                <c:pt idx="0">
                  <c:v>0</c:v>
                </c:pt>
                <c:pt idx="1">
                  <c:v>0.91434817155223969</c:v>
                </c:pt>
                <c:pt idx="2">
                  <c:v>1.9862143711176059</c:v>
                </c:pt>
                <c:pt idx="3">
                  <c:v>2.4010125830000377</c:v>
                </c:pt>
                <c:pt idx="4">
                  <c:v>2.1452182935772113</c:v>
                </c:pt>
                <c:pt idx="5">
                  <c:v>1.7960800858567127</c:v>
                </c:pt>
                <c:pt idx="6">
                  <c:v>1.8942589465451505</c:v>
                </c:pt>
                <c:pt idx="7">
                  <c:v>2.6448619011718737</c:v>
                </c:pt>
                <c:pt idx="8">
                  <c:v>3.892856093454629</c:v>
                </c:pt>
                <c:pt idx="9">
                  <c:v>5.2677431615797587</c:v>
                </c:pt>
                <c:pt idx="10">
                  <c:v>6.3854849507327263</c:v>
                </c:pt>
                <c:pt idx="11">
                  <c:v>7.0170270177836809</c:v>
                </c:pt>
                <c:pt idx="12">
                  <c:v>7.1688676246685077</c:v>
                </c:pt>
                <c:pt idx="13">
                  <c:v>7.0609433903942964</c:v>
                </c:pt>
                <c:pt idx="14">
                  <c:v>7.0220997007716512</c:v>
                </c:pt>
                <c:pt idx="15">
                  <c:v>7.3475103975608675</c:v>
                </c:pt>
                <c:pt idx="16">
                  <c:v>8.1720080366157291</c:v>
                </c:pt>
                <c:pt idx="17">
                  <c:v>9.4072587846855278</c:v>
                </c:pt>
                <c:pt idx="18">
                  <c:v>10.770415296614743</c:v>
                </c:pt>
                <c:pt idx="19">
                  <c:v>11.901131976282979</c:v>
                </c:pt>
                <c:pt idx="20">
                  <c:v>12.528929982865765</c:v>
                </c:pt>
                <c:pt idx="21">
                  <c:v>12.622629125595395</c:v>
                </c:pt>
                <c:pt idx="22">
                  <c:v>12.4391701322735</c:v>
                </c:pt>
                <c:pt idx="23">
                  <c:v>12.404358232695021</c:v>
                </c:pt>
                <c:pt idx="24">
                  <c:v>12.819066942903987</c:v>
                </c:pt>
                <c:pt idx="25">
                  <c:v>13.509923521932816</c:v>
                </c:pt>
                <c:pt idx="26">
                  <c:v>13.754603865415781</c:v>
                </c:pt>
              </c:numCache>
            </c:numRef>
          </c:xVal>
          <c:yVal>
            <c:numRef>
              <c:f>'plot-data'!$J$2:$J$28</c:f>
              <c:numCache>
                <c:formatCode>General</c:formatCode>
                <c:ptCount val="27"/>
                <c:pt idx="0">
                  <c:v>0</c:v>
                </c:pt>
                <c:pt idx="1">
                  <c:v>0.11538461538461539</c:v>
                </c:pt>
                <c:pt idx="2">
                  <c:v>0.23076923076923078</c:v>
                </c:pt>
                <c:pt idx="3">
                  <c:v>0.34615384615384615</c:v>
                </c:pt>
                <c:pt idx="4">
                  <c:v>0.46153846153846156</c:v>
                </c:pt>
                <c:pt idx="5">
                  <c:v>0.57692307692307698</c:v>
                </c:pt>
                <c:pt idx="6">
                  <c:v>0.6923076923076924</c:v>
                </c:pt>
                <c:pt idx="7">
                  <c:v>0.80769230769230782</c:v>
                </c:pt>
                <c:pt idx="8">
                  <c:v>0.92307692307692324</c:v>
                </c:pt>
                <c:pt idx="9">
                  <c:v>1.0384615384615385</c:v>
                </c:pt>
                <c:pt idx="10">
                  <c:v>1.153846153846154</c:v>
                </c:pt>
                <c:pt idx="11">
                  <c:v>1.2692307692307694</c:v>
                </c:pt>
                <c:pt idx="12">
                  <c:v>1.3846153846153848</c:v>
                </c:pt>
                <c:pt idx="13">
                  <c:v>1.5000000000000002</c:v>
                </c:pt>
                <c:pt idx="14">
                  <c:v>1.6153846153846156</c:v>
                </c:pt>
                <c:pt idx="15">
                  <c:v>1.7307692307692311</c:v>
                </c:pt>
                <c:pt idx="16">
                  <c:v>1.8461538461538465</c:v>
                </c:pt>
                <c:pt idx="17">
                  <c:v>1.9615384615384619</c:v>
                </c:pt>
                <c:pt idx="18">
                  <c:v>2.0769230769230771</c:v>
                </c:pt>
                <c:pt idx="19">
                  <c:v>2.1923076923076925</c:v>
                </c:pt>
                <c:pt idx="20">
                  <c:v>2.3076923076923079</c:v>
                </c:pt>
                <c:pt idx="21">
                  <c:v>2.4230769230769234</c:v>
                </c:pt>
                <c:pt idx="22">
                  <c:v>2.5384615384615388</c:v>
                </c:pt>
                <c:pt idx="23">
                  <c:v>2.6538461538461542</c:v>
                </c:pt>
                <c:pt idx="24">
                  <c:v>2.7692307692307696</c:v>
                </c:pt>
                <c:pt idx="25">
                  <c:v>2.884615384615385</c:v>
                </c:pt>
                <c:pt idx="2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0A-45FC-BF74-826E7E088F2E}"/>
            </c:ext>
          </c:extLst>
        </c:ser>
        <c:ser>
          <c:idx val="2"/>
          <c:order val="2"/>
          <c:tx>
            <c:strRef>
              <c:f>'plot-data'!$E$1</c:f>
              <c:strCache>
                <c:ptCount val="1"/>
                <c:pt idx="0">
                  <c:v>pH is x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'plot-data'!$D$2:$D$30</c:f>
              <c:numCache>
                <c:formatCode>General</c:formatCode>
                <c:ptCount val="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</c:numCache>
            </c:numRef>
          </c:xVal>
          <c:yVal>
            <c:numRef>
              <c:f>'plot-data'!$E$2:$E$30</c:f>
              <c:numCache>
                <c:formatCode>General</c:formatCode>
                <c:ptCount val="29"/>
                <c:pt idx="0">
                  <c:v>0</c:v>
                </c:pt>
                <c:pt idx="1">
                  <c:v>1.8518041904911187E-2</c:v>
                </c:pt>
                <c:pt idx="2">
                  <c:v>4.4932396896920967E-2</c:v>
                </c:pt>
                <c:pt idx="3">
                  <c:v>0.18210369417200223</c:v>
                </c:pt>
                <c:pt idx="4">
                  <c:v>0.41700577883367873</c:v>
                </c:pt>
                <c:pt idx="5">
                  <c:v>0.668405872452281</c:v>
                </c:pt>
                <c:pt idx="6">
                  <c:v>0.86401362724456821</c:v>
                </c:pt>
                <c:pt idx="7">
                  <c:v>0.97063975509331479</c:v>
                </c:pt>
                <c:pt idx="8">
                  <c:v>0.9959538699008994</c:v>
                </c:pt>
                <c:pt idx="9">
                  <c:v>0.97564320310469954</c:v>
                </c:pt>
                <c:pt idx="10">
                  <c:v>0.95570965954280496</c:v>
                </c:pt>
                <c:pt idx="11">
                  <c:v>0.97625594247837721</c:v>
                </c:pt>
                <c:pt idx="12">
                  <c:v>1.0603558606999837</c:v>
                </c:pt>
                <c:pt idx="13">
                  <c:v>1.2094331054471761</c:v>
                </c:pt>
                <c:pt idx="14">
                  <c:v>1.4049404186983141</c:v>
                </c:pt>
                <c:pt idx="15">
                  <c:v>1.6149908353187712</c:v>
                </c:pt>
                <c:pt idx="16">
                  <c:v>1.8038982379742405</c:v>
                </c:pt>
                <c:pt idx="17">
                  <c:v>1.9422894837201721</c:v>
                </c:pt>
                <c:pt idx="18">
                  <c:v>2.0155085131344288</c:v>
                </c:pt>
                <c:pt idx="19">
                  <c:v>2.0283978048445777</c:v>
                </c:pt>
                <c:pt idx="20">
                  <c:v>2.0051679587043338</c:v>
                </c:pt>
                <c:pt idx="21">
                  <c:v>1.9839057478143713</c:v>
                </c:pt>
                <c:pt idx="22">
                  <c:v>2.0062783413408933</c:v>
                </c:pt>
                <c:pt idx="23">
                  <c:v>2.1041202348128829</c:v>
                </c:pt>
                <c:pt idx="24">
                  <c:v>2.2857934008245415</c:v>
                </c:pt>
                <c:pt idx="25">
                  <c:v>2.5264439583393923</c:v>
                </c:pt>
                <c:pt idx="26">
                  <c:v>2.7674939224133102</c:v>
                </c:pt>
                <c:pt idx="27">
                  <c:v>2.9318580052304082</c:v>
                </c:pt>
                <c:pt idx="28">
                  <c:v>2.9624166626168122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0A-45FC-BF74-826E7E088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40256"/>
        <c:axId val="259546976"/>
      </c:scatterChart>
      <c:valAx>
        <c:axId val="259540256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6976"/>
        <c:crosses val="autoZero"/>
        <c:crossBetween val="midCat"/>
      </c:valAx>
      <c:valAx>
        <c:axId val="25954697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equivalent</a:t>
                </a:r>
                <a:r>
                  <a:rPr lang="en-GB" baseline="0"/>
                  <a:t> OH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4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24</xdr:row>
      <xdr:rowOff>0</xdr:rowOff>
    </xdr:from>
    <xdr:to>
      <xdr:col>30</xdr:col>
      <xdr:colOff>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18B3F-E4BA-A480-D7A0-51C374CD5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</xdr:colOff>
      <xdr:row>2</xdr:row>
      <xdr:rowOff>0</xdr:rowOff>
    </xdr:from>
    <xdr:to>
      <xdr:col>30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1BB821-C485-4A7E-B362-EB18C1B82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</xdr:colOff>
      <xdr:row>0</xdr:row>
      <xdr:rowOff>28575</xdr:rowOff>
    </xdr:from>
    <xdr:to>
      <xdr:col>19</xdr:col>
      <xdr:colOff>647700</xdr:colOff>
      <xdr:row>35</xdr:row>
      <xdr:rowOff>178253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316994-50CB-9AE6-3AFC-F0CA78546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3D308-D068-4625-B737-EE28545B5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50BE9-EC19-4532-BB54-77D95F29A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2FE07-E454-4AA5-A32D-628711746FBA}" name="Table1" displayName="Table1" ref="A1:B53" totalsRowShown="0">
  <autoFilter ref="A1:B53" xr:uid="{4B82FE07-E454-4AA5-A32D-628711746FBA}"/>
  <sortState xmlns:xlrd2="http://schemas.microsoft.com/office/spreadsheetml/2017/richdata2" ref="A2:B53">
    <sortCondition ref="A1:A53"/>
  </sortState>
  <tableColumns count="2">
    <tableColumn id="1" xr3:uid="{A0C2E35E-BFE7-4DC2-9696-5B189E90B642}" name="Equivalent OH-"/>
    <tableColumn id="2" xr3:uid="{AF1A7B33-F62F-4E4C-B874-1135AEA0CC84}" name="p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FC89-64DC-4D2F-AE08-248A717DE867}">
  <dimension ref="A1:AG53"/>
  <sheetViews>
    <sheetView tabSelected="1" zoomScaleNormal="100" workbookViewId="0">
      <selection activeCell="I24" sqref="I24"/>
    </sheetView>
  </sheetViews>
  <sheetFormatPr defaultRowHeight="15" x14ac:dyDescent="0.25"/>
  <cols>
    <col min="1" max="1" width="16.7109375" customWidth="1"/>
    <col min="5" max="5" width="12.7109375" bestFit="1" customWidth="1"/>
    <col min="11" max="11" width="16" customWidth="1"/>
    <col min="20" max="20" width="12.7109375" bestFit="1" customWidth="1"/>
    <col min="22" max="22" width="12.7109375" bestFit="1" customWidth="1"/>
  </cols>
  <sheetData>
    <row r="1" spans="1:33" x14ac:dyDescent="0.25">
      <c r="A1" t="s">
        <v>0</v>
      </c>
      <c r="B1" t="s">
        <v>1</v>
      </c>
      <c r="D1" t="s">
        <v>1</v>
      </c>
      <c r="E1" t="s">
        <v>2</v>
      </c>
      <c r="F1" t="s">
        <v>4</v>
      </c>
      <c r="J1" t="s">
        <v>11</v>
      </c>
      <c r="K1" t="s">
        <v>3</v>
      </c>
    </row>
    <row r="2" spans="1:33" x14ac:dyDescent="0.25">
      <c r="A2">
        <v>5.76368876080691E-3</v>
      </c>
      <c r="B2">
        <v>0.29166666666666602</v>
      </c>
      <c r="D2" cm="1">
        <f t="array" ref="D2:D30">_xlfn.SEQUENCE(29,1,0,0.5)</f>
        <v>0</v>
      </c>
      <c r="E2" t="e" cm="1">
        <f t="array" ref="E2">SUM(_xlfn.ANCHORARRAY(V$4)*$D2^{10,9,8,7,6,5,4,3,2,1,0})</f>
        <v>#NUM!</v>
      </c>
      <c r="F2">
        <f>$H$2/(1+EXP(-$H$5*(D2-$H$8)))+$H$3/(1+EXP(-$H$6*(D2-$H$9)))+$H$4/(1+EXP(-$H$7*(D2-$H$10)))</f>
        <v>6.4845365524424563E-3</v>
      </c>
      <c r="G2" t="s">
        <v>5</v>
      </c>
      <c r="H2">
        <v>0.98698832000000003</v>
      </c>
      <c r="J2">
        <v>0</v>
      </c>
      <c r="K2" t="e" cm="1">
        <f t="array" ref="K2">SUM(_xlfn.ANCHORARRAY(V$13)*$J2^{11,10,9,8,7,6,5,4,3,2,1,0})</f>
        <v>#NUM!</v>
      </c>
    </row>
    <row r="3" spans="1:33" x14ac:dyDescent="0.25">
      <c r="A3">
        <v>1.44092219020172E-2</v>
      </c>
      <c r="B3">
        <v>0.52083333333333304</v>
      </c>
      <c r="D3">
        <v>0.5</v>
      </c>
      <c r="E3" cm="1">
        <f t="array" ref="E3">SUM(_xlfn.ANCHORARRAY(V$4)*$D3^{10,9,8,7,6,5,4,3,2,1,0})</f>
        <v>1.8518041904911187E-2</v>
      </c>
      <c r="F3">
        <f t="shared" ref="F3:F30" si="0">$H$2/(1+EXP(-$H$5*(D3-$H$8)))+$H$3/(1+EXP(-$H$6*(D3-$H$9)))+$H$4/(1+EXP(-$H$7*(D3-$H$10)))</f>
        <v>2.0869442011863283E-2</v>
      </c>
      <c r="G3" t="s">
        <v>6</v>
      </c>
      <c r="H3">
        <v>1.0069641</v>
      </c>
      <c r="J3">
        <f t="shared" ref="J3:J27" si="1">J2+J$28/26</f>
        <v>0.11538461538461539</v>
      </c>
      <c r="K3" cm="1">
        <f t="array" ref="K3">SUM(_xlfn.ANCHORARRAY(V$13)*$J3^{11,10,9,8,7,6,5,4,3,2,1,0})</f>
        <v>0.91434817155223969</v>
      </c>
      <c r="V3" t="s">
        <v>2</v>
      </c>
    </row>
    <row r="4" spans="1:33" x14ac:dyDescent="0.25">
      <c r="A4">
        <v>2.8818443804034501E-2</v>
      </c>
      <c r="B4">
        <v>0.75</v>
      </c>
      <c r="D4">
        <v>1</v>
      </c>
      <c r="E4" cm="1">
        <f t="array" ref="E4">SUM(_xlfn.ANCHORARRAY(V$4)*$D4^{10,9,8,7,6,5,4,3,2,1,0})</f>
        <v>4.4932396896920967E-2</v>
      </c>
      <c r="F4">
        <f t="shared" si="0"/>
        <v>6.5048001667529456E-2</v>
      </c>
      <c r="G4" t="s">
        <v>7</v>
      </c>
      <c r="H4">
        <v>0.93783362999999997</v>
      </c>
      <c r="J4">
        <f t="shared" si="1"/>
        <v>0.23076923076923078</v>
      </c>
      <c r="K4" cm="1">
        <f t="array" ref="K4">SUM(_xlfn.ANCHORARRAY(V$13)*$J4^{11,10,9,8,7,6,5,4,3,2,1,0})</f>
        <v>1.9862143711176059</v>
      </c>
      <c r="V4" cm="1">
        <f t="array" ref="V4:AF4">LINEST(Table1[Equivalent OH-],Table1[pH]^{1,2,3,4,5,6,7,8,9,10},TRUE)</f>
        <v>-1.3074220341723079E-8</v>
      </c>
      <c r="W4">
        <v>1.3807559122313142E-6</v>
      </c>
      <c r="X4">
        <v>-5.7691691448472379E-5</v>
      </c>
      <c r="Y4">
        <v>1.2710917327580316E-3</v>
      </c>
      <c r="Z4">
        <v>-1.6271389914130303E-2</v>
      </c>
      <c r="AA4">
        <v>0.12408002762390079</v>
      </c>
      <c r="AB4">
        <v>-0.55012449026022758</v>
      </c>
      <c r="AC4">
        <v>1.3069815239842602</v>
      </c>
      <c r="AD4">
        <v>-1.3866908476804445</v>
      </c>
      <c r="AE4">
        <v>0.66634985915631828</v>
      </c>
      <c r="AF4">
        <v>-0.10060705373575729</v>
      </c>
    </row>
    <row r="5" spans="1:33" x14ac:dyDescent="0.25">
      <c r="A5">
        <v>0.103746397694524</v>
      </c>
      <c r="B5">
        <v>1.2708333333333299</v>
      </c>
      <c r="D5">
        <v>1.5</v>
      </c>
      <c r="E5" cm="1">
        <f t="array" ref="E5">SUM(_xlfn.ANCHORARRAY(V$4)*$D5^{10,9,8,7,6,5,4,3,2,1,0})</f>
        <v>0.18210369417200223</v>
      </c>
      <c r="F5">
        <f t="shared" si="0"/>
        <v>0.18485444040396709</v>
      </c>
      <c r="G5" t="s">
        <v>8</v>
      </c>
      <c r="H5">
        <v>2.3672905900000001</v>
      </c>
      <c r="J5">
        <f t="shared" si="1"/>
        <v>0.34615384615384615</v>
      </c>
      <c r="K5" cm="1">
        <f t="array" ref="K5">SUM(_xlfn.ANCHORARRAY(V$13)*$J5^{11,10,9,8,7,6,5,4,3,2,1,0})</f>
        <v>2.4010125830000377</v>
      </c>
    </row>
    <row r="6" spans="1:33" x14ac:dyDescent="0.25">
      <c r="A6">
        <v>0.17867435158501399</v>
      </c>
      <c r="B6">
        <v>1.5</v>
      </c>
      <c r="D6">
        <v>2</v>
      </c>
      <c r="E6" cm="1">
        <f t="array" ref="E6">SUM(_xlfn.ANCHORARRAY(V$4)*$D6^{10,9,8,7,6,5,4,3,2,1,0})</f>
        <v>0.41700577883367873</v>
      </c>
      <c r="F6">
        <f t="shared" si="0"/>
        <v>0.42387344881036404</v>
      </c>
      <c r="G6" t="s">
        <v>9</v>
      </c>
      <c r="H6">
        <v>2.2989091799999999</v>
      </c>
      <c r="J6">
        <f t="shared" si="1"/>
        <v>0.46153846153846156</v>
      </c>
      <c r="K6" cm="1">
        <f t="array" ref="K6">SUM(_xlfn.ANCHORARRAY(V$13)*$J6^{11,10,9,8,7,6,5,4,3,2,1,0})</f>
        <v>2.1452182935772113</v>
      </c>
    </row>
    <row r="7" spans="1:33" x14ac:dyDescent="0.25">
      <c r="A7">
        <v>0.28242074927953797</v>
      </c>
      <c r="B7">
        <v>1.75</v>
      </c>
      <c r="D7">
        <v>2.5</v>
      </c>
      <c r="E7" cm="1">
        <f t="array" ref="E7">SUM(_xlfn.ANCHORARRAY(V$4)*$D7^{10,9,8,7,6,5,4,3,2,1,0})</f>
        <v>0.668405872452281</v>
      </c>
      <c r="F7">
        <f t="shared" si="0"/>
        <v>0.70163169473607656</v>
      </c>
      <c r="G7" t="s">
        <v>10</v>
      </c>
      <c r="H7">
        <v>2.59878959</v>
      </c>
      <c r="J7">
        <f t="shared" si="1"/>
        <v>0.57692307692307698</v>
      </c>
      <c r="K7" cm="1">
        <f t="array" ref="K7">SUM(_xlfn.ANCHORARRAY(V$13)*$J7^{11,10,9,8,7,6,5,4,3,2,1,0})</f>
        <v>1.7960800858567127</v>
      </c>
    </row>
    <row r="8" spans="1:33" x14ac:dyDescent="0.25">
      <c r="A8">
        <v>0.43227665706051799</v>
      </c>
      <c r="B8">
        <v>2.0625</v>
      </c>
      <c r="D8">
        <v>3</v>
      </c>
      <c r="E8" cm="1">
        <f t="array" ref="E8">SUM(_xlfn.ANCHORARRAY(V$4)*$D8^{10,9,8,7,6,5,4,3,2,1,0})</f>
        <v>0.86401362724456821</v>
      </c>
      <c r="F8">
        <f t="shared" si="0"/>
        <v>0.87775337285663513</v>
      </c>
      <c r="G8" t="s">
        <v>12</v>
      </c>
      <c r="H8">
        <v>2.12</v>
      </c>
      <c r="J8">
        <f t="shared" si="1"/>
        <v>0.6923076923076924</v>
      </c>
      <c r="K8" cm="1">
        <f t="array" ref="K8">SUM(_xlfn.ANCHORARRAY(V$13)*$J8^{11,10,9,8,7,6,5,4,3,2,1,0})</f>
        <v>1.8942589465451505</v>
      </c>
    </row>
    <row r="9" spans="1:33" x14ac:dyDescent="0.25">
      <c r="A9">
        <v>0.55907780979827004</v>
      </c>
      <c r="B9">
        <v>2.2291666666666599</v>
      </c>
      <c r="D9">
        <v>3.5</v>
      </c>
      <c r="E9" cm="1">
        <f t="array" ref="E9">SUM(_xlfn.ANCHORARRAY(V$4)*$D9^{10,9,8,7,6,5,4,3,2,1,0})</f>
        <v>0.97063975509331479</v>
      </c>
      <c r="F9">
        <f t="shared" si="0"/>
        <v>0.95093946772224947</v>
      </c>
      <c r="G9" t="s">
        <v>13</v>
      </c>
      <c r="H9">
        <v>7.21</v>
      </c>
      <c r="J9">
        <f t="shared" si="1"/>
        <v>0.80769230769230782</v>
      </c>
      <c r="K9" cm="1">
        <f t="array" ref="K9">SUM(_xlfn.ANCHORARRAY(V$13)*$J9^{11,10,9,8,7,6,5,4,3,2,1,0})</f>
        <v>2.6448619011718737</v>
      </c>
    </row>
    <row r="10" spans="1:33" x14ac:dyDescent="0.25">
      <c r="A10">
        <v>0.68587896253602298</v>
      </c>
      <c r="B10">
        <v>2.5</v>
      </c>
      <c r="D10">
        <v>4</v>
      </c>
      <c r="E10" cm="1">
        <f t="array" ref="E10">SUM(_xlfn.ANCHORARRAY(V$4)*$D10^{10,9,8,7,6,5,4,3,2,1,0})</f>
        <v>0.9959538699008994</v>
      </c>
      <c r="F10">
        <f t="shared" si="0"/>
        <v>0.97622833915097851</v>
      </c>
      <c r="G10" t="s">
        <v>14</v>
      </c>
      <c r="H10">
        <v>12.32</v>
      </c>
      <c r="J10">
        <f t="shared" si="1"/>
        <v>0.92307692307692324</v>
      </c>
      <c r="K10" cm="1">
        <f t="array" ref="K10">SUM(_xlfn.ANCHORARRAY(V$13)*$J10^{11,10,9,8,7,6,5,4,3,2,1,0})</f>
        <v>3.892856093454629</v>
      </c>
    </row>
    <row r="11" spans="1:33" x14ac:dyDescent="0.25">
      <c r="A11">
        <v>0.79538904899135399</v>
      </c>
      <c r="B11">
        <v>2.7708333333333299</v>
      </c>
      <c r="D11">
        <v>4.5</v>
      </c>
      <c r="E11" cm="1">
        <f t="array" ref="E11">SUM(_xlfn.ANCHORARRAY(V$4)*$D11^{10,9,8,7,6,5,4,3,2,1,0})</f>
        <v>0.97564320310469954</v>
      </c>
      <c r="F11">
        <f t="shared" si="0"/>
        <v>0.98545285640842406</v>
      </c>
      <c r="J11">
        <f t="shared" si="1"/>
        <v>1.0384615384615385</v>
      </c>
      <c r="K11" cm="1">
        <f t="array" ref="K11">SUM(_xlfn.ANCHORARRAY(V$13)*$J11^{11,10,9,8,7,6,5,4,3,2,1,0})</f>
        <v>5.2677431615797587</v>
      </c>
    </row>
    <row r="12" spans="1:33" x14ac:dyDescent="0.25">
      <c r="A12">
        <v>0.87319884726224695</v>
      </c>
      <c r="B12">
        <v>3.0208333333333299</v>
      </c>
      <c r="D12">
        <v>5</v>
      </c>
      <c r="E12" cm="1">
        <f t="array" ref="E12">SUM(_xlfn.ANCHORARRAY(V$4)*$D12^{10,9,8,7,6,5,4,3,2,1,0})</f>
        <v>0.95570965954280496</v>
      </c>
      <c r="F12">
        <f t="shared" si="0"/>
        <v>0.9921304780028164</v>
      </c>
      <c r="J12">
        <f t="shared" si="1"/>
        <v>1.153846153846154</v>
      </c>
      <c r="K12" cm="1">
        <f t="array" ref="K12">SUM(_xlfn.ANCHORARRAY(V$13)*$J12^{11,10,9,8,7,6,5,4,3,2,1,0})</f>
        <v>6.3854849507327263</v>
      </c>
      <c r="V12" t="s">
        <v>3</v>
      </c>
    </row>
    <row r="13" spans="1:33" x14ac:dyDescent="0.25">
      <c r="A13">
        <v>0.92219020172910604</v>
      </c>
      <c r="B13">
        <v>3.25</v>
      </c>
      <c r="D13">
        <v>5.5</v>
      </c>
      <c r="E13" cm="1">
        <f t="array" ref="E13">SUM(_xlfn.ANCHORARRAY(V$4)*$D13^{10,9,8,7,6,5,4,3,2,1,0})</f>
        <v>0.97625594247837721</v>
      </c>
      <c r="F13">
        <f t="shared" si="0"/>
        <v>1.0060356500407437</v>
      </c>
      <c r="J13">
        <f t="shared" si="1"/>
        <v>1.2692307692307694</v>
      </c>
      <c r="K13" cm="1">
        <f t="array" ref="K13">SUM(_xlfn.ANCHORARRAY(V$13)*$J13^{11,10,9,8,7,6,5,4,3,2,1,0})</f>
        <v>7.0170270177836809</v>
      </c>
      <c r="V13" cm="1">
        <f t="array" ref="V13:AG13">LINEST(Table1[pH],Table1[Equivalent OH-]^{1,2,3,4,5,6,7,8,9,10,11},TRUE)</f>
        <v>1.2845764396692352</v>
      </c>
      <c r="W13">
        <v>-20.305805587764073</v>
      </c>
      <c r="X13">
        <v>133.31665942812842</v>
      </c>
      <c r="Y13">
        <v>-464.2738249195329</v>
      </c>
      <c r="Z13">
        <v>892.33814669446463</v>
      </c>
      <c r="AA13">
        <v>-824.3645629128647</v>
      </c>
      <c r="AB13">
        <v>0</v>
      </c>
      <c r="AC13">
        <v>703.48727417634257</v>
      </c>
      <c r="AD13">
        <v>-575.16596624017336</v>
      </c>
      <c r="AE13">
        <v>168.71225355456338</v>
      </c>
      <c r="AF13">
        <v>-10.893532330963241</v>
      </c>
      <c r="AG13">
        <v>0.68570875092336792</v>
      </c>
    </row>
    <row r="14" spans="1:33" x14ac:dyDescent="0.25">
      <c r="A14">
        <v>0.95389048991354397</v>
      </c>
      <c r="B14">
        <v>3.5208333333333299</v>
      </c>
      <c r="D14">
        <v>6</v>
      </c>
      <c r="E14" cm="1">
        <f t="array" ref="E14">SUM(_xlfn.ANCHORARRAY(V$4)*$D14^{10,9,8,7,6,5,4,3,2,1,0})</f>
        <v>1.0603558606999837</v>
      </c>
      <c r="F14">
        <f t="shared" si="0"/>
        <v>1.0456155524445843</v>
      </c>
      <c r="J14">
        <f t="shared" si="1"/>
        <v>1.3846153846153848</v>
      </c>
      <c r="K14" cm="1">
        <f t="array" ref="K14">SUM(_xlfn.ANCHORARRAY(V$13)*$J14^{11,10,9,8,7,6,5,4,3,2,1,0})</f>
        <v>7.1688676246685077</v>
      </c>
    </row>
    <row r="15" spans="1:33" x14ac:dyDescent="0.25">
      <c r="A15">
        <v>0.96829971181556096</v>
      </c>
      <c r="B15">
        <v>3.7916666666666599</v>
      </c>
      <c r="D15">
        <v>6.5</v>
      </c>
      <c r="E15" cm="1">
        <f t="array" ref="E15">SUM(_xlfn.ANCHORARRAY(V$4)*$D15^{10,9,8,7,6,5,4,3,2,1,0})</f>
        <v>1.2094331054471761</v>
      </c>
      <c r="F15">
        <f t="shared" si="0"/>
        <v>1.1516221087409779</v>
      </c>
      <c r="J15">
        <f t="shared" si="1"/>
        <v>1.5000000000000002</v>
      </c>
      <c r="K15" cm="1">
        <f t="array" ref="K15">SUM(_xlfn.ANCHORARRAY(V$13)*$J15^{11,10,9,8,7,6,5,4,3,2,1,0})</f>
        <v>7.0609433903942964</v>
      </c>
    </row>
    <row r="16" spans="1:33" x14ac:dyDescent="0.25">
      <c r="A16">
        <v>0.97694524495677204</v>
      </c>
      <c r="B16">
        <v>4.0208333333333304</v>
      </c>
      <c r="D16">
        <v>7</v>
      </c>
      <c r="E16" cm="1">
        <f t="array" ref="E16">SUM(_xlfn.ANCHORARRAY(V$4)*$D16^{10,9,8,7,6,5,4,3,2,1,0})</f>
        <v>1.4049404186983141</v>
      </c>
      <c r="F16">
        <f t="shared" si="0"/>
        <v>1.3712352720921741</v>
      </c>
      <c r="J16">
        <f t="shared" si="1"/>
        <v>1.6153846153846156</v>
      </c>
      <c r="K16" cm="1">
        <f t="array" ref="K16">SUM(_xlfn.ANCHORARRAY(V$13)*$J16^{11,10,9,8,7,6,5,4,3,2,1,0})</f>
        <v>7.0220997007716512</v>
      </c>
    </row>
    <row r="17" spans="1:11" x14ac:dyDescent="0.25">
      <c r="A17">
        <v>0.98559077809798201</v>
      </c>
      <c r="B17">
        <v>4.2708333333333304</v>
      </c>
      <c r="D17">
        <v>7.5</v>
      </c>
      <c r="E17" cm="1">
        <f t="array" ref="E17">SUM(_xlfn.ANCHORARRAY(V$4)*$D17^{10,9,8,7,6,5,4,3,2,1,0})</f>
        <v>1.6149908353187712</v>
      </c>
      <c r="F17">
        <f t="shared" si="0"/>
        <v>1.6523505982279945</v>
      </c>
      <c r="J17">
        <f t="shared" si="1"/>
        <v>1.7307692307692311</v>
      </c>
      <c r="K17" cm="1">
        <f t="array" ref="K17">SUM(_xlfn.ANCHORARRAY(V$13)*$J17^{11,10,9,8,7,6,5,4,3,2,1,0})</f>
        <v>7.3475103975608675</v>
      </c>
    </row>
    <row r="18" spans="1:11" x14ac:dyDescent="0.25">
      <c r="A18">
        <v>0.99711815561959605</v>
      </c>
      <c r="B18">
        <v>4.75</v>
      </c>
      <c r="D18">
        <v>8</v>
      </c>
      <c r="E18" cm="1">
        <f t="array" ref="E18">SUM(_xlfn.ANCHORARRAY(V$4)*$D18^{10,9,8,7,6,5,4,3,2,1,0})</f>
        <v>1.8038982379742405</v>
      </c>
      <c r="F18">
        <f t="shared" si="0"/>
        <v>1.8530918552835938</v>
      </c>
      <c r="J18">
        <f t="shared" si="1"/>
        <v>1.8461538461538465</v>
      </c>
      <c r="K18" cm="1">
        <f t="array" ref="K18">SUM(_xlfn.ANCHORARRAY(V$13)*$J18^{11,10,9,8,7,6,5,4,3,2,1,0})</f>
        <v>8.1720080366157291</v>
      </c>
    </row>
    <row r="19" spans="1:11" x14ac:dyDescent="0.25">
      <c r="A19">
        <v>1.0028818443804</v>
      </c>
      <c r="B19">
        <v>5.25</v>
      </c>
      <c r="D19">
        <v>8.5</v>
      </c>
      <c r="E19" cm="1">
        <f t="array" ref="E19">SUM(_xlfn.ANCHORARRAY(V$4)*$D19^{10,9,8,7,6,5,4,3,2,1,0})</f>
        <v>1.9422894837201721</v>
      </c>
      <c r="F19">
        <f t="shared" si="0"/>
        <v>1.9446519535114015</v>
      </c>
      <c r="J19">
        <f t="shared" si="1"/>
        <v>1.9615384615384619</v>
      </c>
      <c r="K19" cm="1">
        <f t="array" ref="K19">SUM(_xlfn.ANCHORARRAY(V$13)*$J19^{11,10,9,8,7,6,5,4,3,2,1,0})</f>
        <v>9.4072587846855278</v>
      </c>
    </row>
    <row r="20" spans="1:11" x14ac:dyDescent="0.25">
      <c r="A20">
        <v>1.0086455331412101</v>
      </c>
      <c r="B20">
        <v>5.5208333333333304</v>
      </c>
      <c r="D20">
        <v>9</v>
      </c>
      <c r="E20" cm="1">
        <f t="array" ref="E20">SUM(_xlfn.ANCHORARRAY(V$4)*$D20^{10,9,8,7,6,5,4,3,2,1,0})</f>
        <v>2.0155085131344288</v>
      </c>
      <c r="F20">
        <f t="shared" si="0"/>
        <v>1.9779454030159984</v>
      </c>
      <c r="J20">
        <f t="shared" si="1"/>
        <v>2.0769230769230771</v>
      </c>
      <c r="K20" cm="1">
        <f t="array" ref="K20">SUM(_xlfn.ANCHORARRAY(V$13)*$J20^{11,10,9,8,7,6,5,4,3,2,1,0})</f>
        <v>10.770415296614743</v>
      </c>
    </row>
    <row r="21" spans="1:11" x14ac:dyDescent="0.25">
      <c r="A21">
        <v>1.02593659942363</v>
      </c>
      <c r="B21">
        <v>5.75</v>
      </c>
      <c r="D21">
        <v>9.5</v>
      </c>
      <c r="E21" cm="1">
        <f t="array" ref="E21">SUM(_xlfn.ANCHORARRAY(V$4)*$D21^{10,9,8,7,6,5,4,3,2,1,0})</f>
        <v>2.0283978048445777</v>
      </c>
      <c r="F21">
        <f t="shared" si="0"/>
        <v>1.9893864900015983</v>
      </c>
      <c r="J21">
        <f t="shared" si="1"/>
        <v>2.1923076923076925</v>
      </c>
      <c r="K21" cm="1">
        <f t="array" ref="K21">SUM(_xlfn.ANCHORARRAY(V$13)*$J21^{11,10,9,8,7,6,5,4,3,2,1,0})</f>
        <v>11.901131976282979</v>
      </c>
    </row>
    <row r="22" spans="1:11" x14ac:dyDescent="0.25">
      <c r="A22">
        <v>1.05475504322766</v>
      </c>
      <c r="B22">
        <v>6.0208333333333304</v>
      </c>
      <c r="D22">
        <v>10</v>
      </c>
      <c r="E22" cm="1">
        <f t="array" ref="E22">SUM(_xlfn.ANCHORARRAY(V$4)*$D22^{10,9,8,7,6,5,4,3,2,1,0})</f>
        <v>2.0051679587043338</v>
      </c>
      <c r="F22">
        <f t="shared" si="0"/>
        <v>1.9945575263542228</v>
      </c>
      <c r="J22">
        <f t="shared" si="1"/>
        <v>2.3076923076923079</v>
      </c>
      <c r="K22" cm="1">
        <f t="array" ref="K22">SUM(_xlfn.ANCHORARRAY(V$13)*$J22^{11,10,9,8,7,6,5,4,3,2,1,0})</f>
        <v>12.528929982865765</v>
      </c>
    </row>
    <row r="23" spans="1:11" x14ac:dyDescent="0.25">
      <c r="A23">
        <v>1.09798270893371</v>
      </c>
      <c r="B23">
        <v>6.2708333333333304</v>
      </c>
      <c r="D23">
        <v>10.5</v>
      </c>
      <c r="E23" cm="1">
        <f t="array" ref="E23">SUM(_xlfn.ANCHORARRAY(V$4)*$D23^{10,9,8,7,6,5,4,3,2,1,0})</f>
        <v>1.9839057478143713</v>
      </c>
      <c r="F23">
        <f t="shared" si="0"/>
        <v>2.0016369603161634</v>
      </c>
      <c r="J23">
        <f t="shared" si="1"/>
        <v>2.4230769230769234</v>
      </c>
      <c r="K23" cm="1">
        <f t="array" ref="K23">SUM(_xlfn.ANCHORARRAY(V$13)*$J23^{11,10,9,8,7,6,5,4,3,2,1,0})</f>
        <v>12.622629125595395</v>
      </c>
    </row>
    <row r="24" spans="1:11" x14ac:dyDescent="0.25">
      <c r="A24">
        <v>1.1613832853025901</v>
      </c>
      <c r="B24">
        <v>6.5416666666666599</v>
      </c>
      <c r="D24">
        <v>11</v>
      </c>
      <c r="E24" cm="1">
        <f t="array" ref="E24">SUM(_xlfn.ANCHORARRAY(V$4)*$D24^{10,9,8,7,6,5,4,3,2,1,0})</f>
        <v>2.0062783413408933</v>
      </c>
      <c r="F24">
        <f t="shared" si="0"/>
        <v>2.023196098879128</v>
      </c>
      <c r="J24">
        <f t="shared" si="1"/>
        <v>2.5384615384615388</v>
      </c>
      <c r="K24" cm="1">
        <f t="array" ref="K24">SUM(_xlfn.ANCHORARRAY(V$13)*$J24^{11,10,9,8,7,6,5,4,3,2,1,0})</f>
        <v>12.4391701322735</v>
      </c>
    </row>
    <row r="25" spans="1:11" x14ac:dyDescent="0.25">
      <c r="A25">
        <v>1.2536023054754999</v>
      </c>
      <c r="B25">
        <v>6.75</v>
      </c>
      <c r="D25">
        <v>11.5</v>
      </c>
      <c r="E25" cm="1">
        <f t="array" ref="E25">SUM(_xlfn.ANCHORARRAY(V$4)*$D25^{10,9,8,7,6,5,4,3,2,1,0})</f>
        <v>2.1041202348128829</v>
      </c>
      <c r="F25">
        <f t="shared" si="0"/>
        <v>2.0934222889180094</v>
      </c>
      <c r="J25">
        <f t="shared" si="1"/>
        <v>2.6538461538461542</v>
      </c>
      <c r="K25" cm="1">
        <f t="array" ref="K25">SUM(_xlfn.ANCHORARRAY(V$13)*$J25^{11,10,9,8,7,6,5,4,3,2,1,0})</f>
        <v>12.404358232695021</v>
      </c>
    </row>
    <row r="26" spans="1:11" x14ac:dyDescent="0.25">
      <c r="A26">
        <v>1.3804034582132501</v>
      </c>
      <c r="B26">
        <v>7.0208333333333304</v>
      </c>
      <c r="D26">
        <v>12</v>
      </c>
      <c r="E26" cm="1">
        <f t="array" ref="E26">SUM(_xlfn.ANCHORARRAY(V$4)*$D26^{10,9,8,7,6,5,4,3,2,1,0})</f>
        <v>2.2857934008245415</v>
      </c>
      <c r="F26">
        <f t="shared" si="0"/>
        <v>2.2783846665528529</v>
      </c>
      <c r="J26">
        <f t="shared" si="1"/>
        <v>2.7692307692307696</v>
      </c>
      <c r="K26" cm="1">
        <f t="array" ref="K26">SUM(_xlfn.ANCHORARRAY(V$13)*$J26^{11,10,9,8,7,6,5,4,3,2,1,0})</f>
        <v>12.819066942903987</v>
      </c>
    </row>
    <row r="27" spans="1:11" x14ac:dyDescent="0.25">
      <c r="A27">
        <v>1.49279538904899</v>
      </c>
      <c r="B27">
        <v>7.1875</v>
      </c>
      <c r="D27">
        <v>12.5</v>
      </c>
      <c r="E27" cm="1">
        <f t="array" ref="E27">SUM(_xlfn.ANCHORARRAY(V$4)*$D27^{10,9,8,7,6,5,4,3,2,1,0})</f>
        <v>2.5264439583393923</v>
      </c>
      <c r="F27">
        <f t="shared" si="0"/>
        <v>2.5705823032461086</v>
      </c>
      <c r="J27">
        <f t="shared" si="1"/>
        <v>2.884615384615385</v>
      </c>
      <c r="K27" cm="1">
        <f t="array" ref="K27">SUM(_xlfn.ANCHORARRAY(V$13)*$J27^{11,10,9,8,7,6,5,4,3,2,1,0})</f>
        <v>13.509923521932816</v>
      </c>
    </row>
    <row r="28" spans="1:11" x14ac:dyDescent="0.25">
      <c r="A28">
        <v>1.65994236311239</v>
      </c>
      <c r="B28">
        <v>7.4791666666666599</v>
      </c>
      <c r="D28">
        <v>13</v>
      </c>
      <c r="E28" cm="1">
        <f t="array" ref="E28">SUM(_xlfn.ANCHORARRAY(V$4)*$D28^{10,9,8,7,6,5,4,3,2,1,0})</f>
        <v>2.7674939224133102</v>
      </c>
      <c r="F28">
        <f t="shared" si="0"/>
        <v>2.7949603093215307</v>
      </c>
      <c r="J28">
        <v>3</v>
      </c>
      <c r="K28" cm="1">
        <f t="array" ref="K28">SUM(_xlfn.ANCHORARRAY(V$13)*$J28^{11,10,9,8,7,6,5,4,3,2,1,0})</f>
        <v>13.754603865415781</v>
      </c>
    </row>
    <row r="29" spans="1:11" x14ac:dyDescent="0.25">
      <c r="A29">
        <v>1.7752161383285301</v>
      </c>
      <c r="B29">
        <v>7.7708333333333304</v>
      </c>
      <c r="D29">
        <v>13.5</v>
      </c>
      <c r="E29" cm="1">
        <f t="array" ref="E29">SUM(_xlfn.ANCHORARRAY(V$4)*$D29^{10,9,8,7,6,5,4,3,2,1,0})</f>
        <v>2.9318580052304082</v>
      </c>
      <c r="F29">
        <f t="shared" si="0"/>
        <v>2.8900449915490438</v>
      </c>
    </row>
    <row r="30" spans="1:11" x14ac:dyDescent="0.25">
      <c r="A30">
        <v>1.8587896253602301</v>
      </c>
      <c r="B30">
        <v>8.0208333333333304</v>
      </c>
      <c r="D30">
        <v>14</v>
      </c>
      <c r="E30" cm="1">
        <f t="array" ref="E30">SUM(_xlfn.ANCHORARRAY(V$4)*$D30^{10,9,8,7,6,5,4,3,2,1,0})</f>
        <v>2.9624166626168122</v>
      </c>
      <c r="F30">
        <f t="shared" si="0"/>
        <v>2.9200225923706289</v>
      </c>
    </row>
    <row r="31" spans="1:11" x14ac:dyDescent="0.25">
      <c r="A31">
        <v>1.9193083573487</v>
      </c>
      <c r="B31">
        <v>8.2916666666666607</v>
      </c>
    </row>
    <row r="32" spans="1:11" x14ac:dyDescent="0.25">
      <c r="A32">
        <v>1.94812680115273</v>
      </c>
      <c r="B32">
        <v>8.5</v>
      </c>
      <c r="D32">
        <v>8</v>
      </c>
      <c r="F32">
        <f t="shared" ref="F32:F35" si="2">$H$2/(1+EXP(-$H$5*(D32-$H$8)))+$H$3/(1+EXP(-$H$6*(D32-$H$9)))+$H$4/(1+EXP(-$H$7*(D32-$H$10)))</f>
        <v>1.8530918552835938</v>
      </c>
    </row>
    <row r="33" spans="1:6" x14ac:dyDescent="0.25">
      <c r="A33">
        <v>1.97118155619596</v>
      </c>
      <c r="B33">
        <v>8.7708333333333304</v>
      </c>
      <c r="D33">
        <v>6</v>
      </c>
      <c r="F33">
        <f t="shared" si="2"/>
        <v>1.0456155524445843</v>
      </c>
    </row>
    <row r="34" spans="1:6" x14ac:dyDescent="0.25">
      <c r="A34">
        <v>1.9798270893371701</v>
      </c>
      <c r="B34">
        <v>9.0625</v>
      </c>
      <c r="D34">
        <v>5.3</v>
      </c>
      <c r="F34">
        <f t="shared" si="2"/>
        <v>0.99878076877247524</v>
      </c>
    </row>
    <row r="35" spans="1:6" x14ac:dyDescent="0.25">
      <c r="A35">
        <v>1.98847262247838</v>
      </c>
      <c r="B35">
        <v>9.25</v>
      </c>
      <c r="D35">
        <v>3.5</v>
      </c>
      <c r="F35">
        <f t="shared" si="2"/>
        <v>0.95093946772224947</v>
      </c>
    </row>
    <row r="36" spans="1:6" x14ac:dyDescent="0.25">
      <c r="A36">
        <v>1.9942363112391901</v>
      </c>
      <c r="B36">
        <v>9.5416666666666607</v>
      </c>
    </row>
    <row r="37" spans="1:6" x14ac:dyDescent="0.25">
      <c r="A37">
        <v>1.99999999999999</v>
      </c>
      <c r="B37">
        <v>9.9583333333333304</v>
      </c>
    </row>
    <row r="38" spans="1:6" x14ac:dyDescent="0.25">
      <c r="A38">
        <v>2.0028818443804002</v>
      </c>
      <c r="B38">
        <v>10.3125</v>
      </c>
    </row>
    <row r="39" spans="1:6" x14ac:dyDescent="0.25">
      <c r="A39">
        <v>2.0086455331412099</v>
      </c>
      <c r="B39">
        <v>10.5416666666666</v>
      </c>
    </row>
    <row r="40" spans="1:6" x14ac:dyDescent="0.25">
      <c r="A40">
        <v>2.0201729106628199</v>
      </c>
      <c r="B40">
        <v>10.8125</v>
      </c>
    </row>
    <row r="41" spans="1:6" x14ac:dyDescent="0.25">
      <c r="A41">
        <v>2.0374639769452401</v>
      </c>
      <c r="B41">
        <v>11.0208333333333</v>
      </c>
    </row>
    <row r="42" spans="1:6" x14ac:dyDescent="0.25">
      <c r="A42">
        <v>2.05763688760806</v>
      </c>
      <c r="B42">
        <v>11.2916666666666</v>
      </c>
    </row>
    <row r="43" spans="1:6" x14ac:dyDescent="0.25">
      <c r="A43">
        <v>2.1066282420749198</v>
      </c>
      <c r="B43">
        <v>11.5416666666666</v>
      </c>
    </row>
    <row r="44" spans="1:6" x14ac:dyDescent="0.25">
      <c r="A44">
        <v>2.1757925072046098</v>
      </c>
      <c r="B44">
        <v>11.8125</v>
      </c>
    </row>
    <row r="45" spans="1:6" x14ac:dyDescent="0.25">
      <c r="A45">
        <v>2.2766570605187302</v>
      </c>
      <c r="B45">
        <v>12.0416666666666</v>
      </c>
    </row>
    <row r="46" spans="1:6" x14ac:dyDescent="0.25">
      <c r="A46">
        <v>2.4149855907780902</v>
      </c>
      <c r="B46">
        <v>12.2916666666666</v>
      </c>
    </row>
    <row r="47" spans="1:6" x14ac:dyDescent="0.25">
      <c r="A47">
        <v>2.46397694524495</v>
      </c>
      <c r="B47">
        <v>12.375</v>
      </c>
    </row>
    <row r="48" spans="1:6" x14ac:dyDescent="0.25">
      <c r="A48">
        <v>2.5504322766570602</v>
      </c>
      <c r="B48">
        <v>12.5625</v>
      </c>
    </row>
    <row r="49" spans="1:2" x14ac:dyDescent="0.25">
      <c r="A49">
        <v>2.6887608069164202</v>
      </c>
      <c r="B49">
        <v>12.75</v>
      </c>
    </row>
    <row r="50" spans="1:2" x14ac:dyDescent="0.25">
      <c r="A50">
        <v>2.7953890489913502</v>
      </c>
      <c r="B50">
        <v>13.0208333333333</v>
      </c>
    </row>
    <row r="51" spans="1:2" x14ac:dyDescent="0.25">
      <c r="A51">
        <v>2.8703170028818401</v>
      </c>
      <c r="B51">
        <v>13.2916666666666</v>
      </c>
    </row>
    <row r="52" spans="1:2" x14ac:dyDescent="0.25">
      <c r="A52">
        <v>2.9250720461095101</v>
      </c>
      <c r="B52">
        <v>13.5625</v>
      </c>
    </row>
    <row r="53" spans="1:2" x14ac:dyDescent="0.25">
      <c r="A53">
        <v>2.9740634005763602</v>
      </c>
      <c r="B53">
        <v>13.8958333333333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4D7A-24CD-4453-A527-2F1E5FC5424E}">
  <dimension ref="A1"/>
  <sheetViews>
    <sheetView workbookViewId="0">
      <selection activeCell="S22" sqref="S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CCC4-114A-4561-8669-372B08D02643}">
  <dimension ref="A1"/>
  <sheetViews>
    <sheetView workbookViewId="0">
      <selection activeCell="R24" sqref="R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plot-data</vt:lpstr>
      <vt:lpstr>pH against equivalent OH</vt:lpstr>
      <vt:lpstr>equivalent OH against 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Carruthers</dc:creator>
  <cp:lastModifiedBy>Andrew Carruthers</cp:lastModifiedBy>
  <dcterms:created xsi:type="dcterms:W3CDTF">2026-03-09T16:59:17Z</dcterms:created>
  <dcterms:modified xsi:type="dcterms:W3CDTF">2026-03-10T18:07:34Z</dcterms:modified>
</cp:coreProperties>
</file>